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hetvi\Data Analyst tops\Module-1=Excel\Excel-Assessment\"/>
    </mc:Choice>
  </mc:AlternateContent>
  <xr:revisionPtr revIDLastSave="0" documentId="13_ncr:1_{27030AB4-3CF8-4EF2-9303-F781D6769410}" xr6:coauthVersionLast="47" xr6:coauthVersionMax="47" xr10:uidLastSave="{00000000-0000-0000-0000-000000000000}"/>
  <bookViews>
    <workbookView xWindow="-108" yWindow="-108" windowWidth="23256" windowHeight="12456" firstSheet="1" activeTab="1" xr2:uid="{93D97F6B-3621-4FCE-8FCF-D6A2234AD962}"/>
  </bookViews>
  <sheets>
    <sheet name="E-Commerce" sheetId="1" r:id="rId1"/>
    <sheet name="Raw_Data" sheetId="2" r:id="rId2"/>
    <sheet name="Revenue_Analysis" sheetId="3" r:id="rId3"/>
    <sheet name="Fulfillment_Analysis" sheetId="4" r:id="rId4"/>
    <sheet name="Trends_&amp;_Customers" sheetId="5" r:id="rId5"/>
  </sheets>
  <definedNames>
    <definedName name="_xlnm._FilterDatabase" localSheetId="2" hidden="1">Revenue_Analysis!$O$3:$Q$24</definedName>
    <definedName name="_xlnm._FilterDatabase" localSheetId="4" hidden="1">'Trends_&amp;_Customers'!$P$14:$R$40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6" i="5" l="1"/>
  <c r="R7" i="5"/>
  <c r="R8" i="5"/>
  <c r="R9" i="5"/>
  <c r="R10" i="5"/>
  <c r="R5" i="5"/>
  <c r="B13" i="4"/>
  <c r="A13" i="4"/>
  <c r="A4" i="4"/>
  <c r="R5" i="3"/>
  <c r="R6" i="3"/>
  <c r="R7" i="3"/>
  <c r="R8" i="3"/>
  <c r="R9" i="3"/>
  <c r="R10" i="3"/>
  <c r="R11" i="3"/>
  <c r="R12" i="3"/>
  <c r="R13" i="3"/>
  <c r="R4" i="3"/>
  <c r="B4" i="3"/>
  <c r="A4" i="3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V4" i="5"/>
  <c r="T13" i="3"/>
  <c r="T4" i="3"/>
  <c r="T6" i="3"/>
  <c r="T7" i="3"/>
  <c r="T8" i="3"/>
  <c r="T9" i="3"/>
  <c r="T10" i="3"/>
  <c r="T11" i="3"/>
  <c r="T5" i="3"/>
  <c r="T12" i="3"/>
</calcChain>
</file>

<file path=xl/sharedStrings.xml><?xml version="1.0" encoding="utf-8"?>
<sst xmlns="http://schemas.openxmlformats.org/spreadsheetml/2006/main" count="27222" uniqueCount="1617">
  <si>
    <t>Order ID</t>
  </si>
  <si>
    <t>Order Date</t>
  </si>
  <si>
    <t>State</t>
  </si>
  <si>
    <t>Region</t>
  </si>
  <si>
    <t>Category</t>
  </si>
  <si>
    <t>Product</t>
  </si>
  <si>
    <t>Quantity</t>
  </si>
  <si>
    <t>Unit Price (?)</t>
  </si>
  <si>
    <t>Discount Rate</t>
  </si>
  <si>
    <t>Total Price (?)</t>
  </si>
  <si>
    <t>Payment Type</t>
  </si>
  <si>
    <t>Customer Segment</t>
  </si>
  <si>
    <t>Shipping Method</t>
  </si>
  <si>
    <t>Delivery Status</t>
  </si>
  <si>
    <t>ORD0001</t>
  </si>
  <si>
    <t>Karnataka</t>
  </si>
  <si>
    <t>North</t>
  </si>
  <si>
    <t>Electronics</t>
  </si>
  <si>
    <t>Smartphone</t>
  </si>
  <si>
    <t>Debit Card</t>
  </si>
  <si>
    <t>Regular</t>
  </si>
  <si>
    <t>Same-Day</t>
  </si>
  <si>
    <t>Delivered</t>
  </si>
  <si>
    <t>ORD0002</t>
  </si>
  <si>
    <t>Maharashtra</t>
  </si>
  <si>
    <t>West</t>
  </si>
  <si>
    <t>ORD0003</t>
  </si>
  <si>
    <t>Grocery</t>
  </si>
  <si>
    <t>Milk</t>
  </si>
  <si>
    <t>First-Time</t>
  </si>
  <si>
    <t>Express</t>
  </si>
  <si>
    <t>ORD0004</t>
  </si>
  <si>
    <t>Headphones</t>
  </si>
  <si>
    <t>COD</t>
  </si>
  <si>
    <t>Prime</t>
  </si>
  <si>
    <t>ORD0005</t>
  </si>
  <si>
    <t>Gujarat</t>
  </si>
  <si>
    <t>Returned</t>
  </si>
  <si>
    <t>ORD0006</t>
  </si>
  <si>
    <t>East</t>
  </si>
  <si>
    <t>Smartwatch</t>
  </si>
  <si>
    <t>Net Banking</t>
  </si>
  <si>
    <t>ORD0007</t>
  </si>
  <si>
    <t>South</t>
  </si>
  <si>
    <t>Laptop</t>
  </si>
  <si>
    <t>ORD0008</t>
  </si>
  <si>
    <t>UPI</t>
  </si>
  <si>
    <t>ORD0009</t>
  </si>
  <si>
    <t>Tamil Nadu</t>
  </si>
  <si>
    <t>Books</t>
  </si>
  <si>
    <t>Biography</t>
  </si>
  <si>
    <t>ORD0010</t>
  </si>
  <si>
    <t>Delhi</t>
  </si>
  <si>
    <t>Comics</t>
  </si>
  <si>
    <t>Standard</t>
  </si>
  <si>
    <t>ORD0011</t>
  </si>
  <si>
    <t>Novel</t>
  </si>
  <si>
    <t>ORD0012</t>
  </si>
  <si>
    <t>Credit Card</t>
  </si>
  <si>
    <t>In Transit</t>
  </si>
  <si>
    <t>ORD0013</t>
  </si>
  <si>
    <t>Clothing</t>
  </si>
  <si>
    <t>T-shirt</t>
  </si>
  <si>
    <t>ORD0014</t>
  </si>
  <si>
    <t>ORD0015</t>
  </si>
  <si>
    <t>ORD0016</t>
  </si>
  <si>
    <t>Dress</t>
  </si>
  <si>
    <t>ORD0017</t>
  </si>
  <si>
    <t>Oil</t>
  </si>
  <si>
    <t>ORD0018</t>
  </si>
  <si>
    <t>ORD0019</t>
  </si>
  <si>
    <t>ORD0020</t>
  </si>
  <si>
    <t>ORD0021</t>
  </si>
  <si>
    <t>Textbook</t>
  </si>
  <si>
    <t>ORD0022</t>
  </si>
  <si>
    <t>Jeans</t>
  </si>
  <si>
    <t>ORD0023</t>
  </si>
  <si>
    <t>ORD0024</t>
  </si>
  <si>
    <t>ORD0025</t>
  </si>
  <si>
    <t>Rice</t>
  </si>
  <si>
    <t>ORD0026</t>
  </si>
  <si>
    <t>ORD0027</t>
  </si>
  <si>
    <t>ORD0028</t>
  </si>
  <si>
    <t>ORD0029</t>
  </si>
  <si>
    <t>ORD0030</t>
  </si>
  <si>
    <t>ORD0031</t>
  </si>
  <si>
    <t>ORD0032</t>
  </si>
  <si>
    <t>Biscuits</t>
  </si>
  <si>
    <t>Cancelled</t>
  </si>
  <si>
    <t>ORD0033</t>
  </si>
  <si>
    <t>ORD0034</t>
  </si>
  <si>
    <t>ORD0035</t>
  </si>
  <si>
    <t>Jacket</t>
  </si>
  <si>
    <t>ORD0036</t>
  </si>
  <si>
    <t>ORD0037</t>
  </si>
  <si>
    <t>ORD0038</t>
  </si>
  <si>
    <t>ORD0039</t>
  </si>
  <si>
    <t>ORD0040</t>
  </si>
  <si>
    <t>ORD0041</t>
  </si>
  <si>
    <t>Home Decor</t>
  </si>
  <si>
    <t>Sofa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</si>
  <si>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</si>
  <si>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</si>
  <si>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</si>
  <si>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</si>
  <si>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</si>
  <si>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</si>
  <si>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</si>
  <si>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</si>
  <si>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</si>
  <si>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</si>
  <si>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Curtain</t>
  </si>
  <si>
    <t>ORD0052</t>
  </si>
  <si>
    <t>ORD0053</t>
  </si>
  <si>
    <t>ORD0054</t>
  </si>
  <si>
    <t>Table</t>
  </si>
  <si>
    <t>ORD0055</t>
  </si>
  <si>
    <t>ORD0056</t>
  </si>
  <si>
    <t>ORD0057</t>
  </si>
  <si>
    <t>ORD0058</t>
  </si>
  <si>
    <t>Lamp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</si>
  <si>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</si>
  <si>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</si>
  <si>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</si>
  <si>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</si>
  <si>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</si>
  <si>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</si>
  <si>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</si>
  <si>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</si>
  <si>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</si>
  <si>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</si>
  <si>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</si>
  <si>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</si>
  <si>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</si>
  <si>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</si>
  <si>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</si>
  <si>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</si>
  <si>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</si>
  <si>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</si>
  <si>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</si>
  <si>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</si>
  <si>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</si>
  <si>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</si>
  <si>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</si>
  <si>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</si>
  <si>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</si>
  <si>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</si>
  <si>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</si>
  <si>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</si>
  <si>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</si>
  <si>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</si>
  <si>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</si>
  <si>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</si>
  <si>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</si>
  <si>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</si>
  <si>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</si>
  <si>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</si>
  <si>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</si>
  <si>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</si>
  <si>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</si>
  <si>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</si>
  <si>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</si>
  <si>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</si>
  <si>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</si>
  <si>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</si>
  <si>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</si>
  <si>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</si>
  <si>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</si>
  <si>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</si>
  <si>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</si>
  <si>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</si>
  <si>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</si>
  <si>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</si>
  <si>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</si>
  <si>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</si>
  <si>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</si>
  <si>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</si>
  <si>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</si>
  <si>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</si>
  <si>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</si>
  <si>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</si>
  <si>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</si>
  <si>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</si>
  <si>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</si>
  <si>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</si>
  <si>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</si>
  <si>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</si>
  <si>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</si>
  <si>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</si>
  <si>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</si>
  <si>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</si>
  <si>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</si>
  <si>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</si>
  <si>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</si>
  <si>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</si>
  <si>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</si>
  <si>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</si>
  <si>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</si>
  <si>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</si>
  <si>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</si>
  <si>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</si>
  <si>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</si>
  <si>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</si>
  <si>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</si>
  <si>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</si>
  <si>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</si>
  <si>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</si>
  <si>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</si>
  <si>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</si>
  <si>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</si>
  <si>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</si>
  <si>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</si>
  <si>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</si>
  <si>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</si>
  <si>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</si>
  <si>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</si>
  <si>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</si>
  <si>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</si>
  <si>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</si>
  <si>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</si>
  <si>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</si>
  <si>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</si>
  <si>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</si>
  <si>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</si>
  <si>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</si>
  <si>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</si>
  <si>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</si>
  <si>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</si>
  <si>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</si>
  <si>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</si>
  <si>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</si>
  <si>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</si>
  <si>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</si>
  <si>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</si>
  <si>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</si>
  <si>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</si>
  <si>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</si>
  <si>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</si>
  <si>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</si>
  <si>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</si>
  <si>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</si>
  <si>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</si>
  <si>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</si>
  <si>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</si>
  <si>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</si>
  <si>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</si>
  <si>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</si>
  <si>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</si>
  <si>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</si>
  <si>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</si>
  <si>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</si>
  <si>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</si>
  <si>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</si>
  <si>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</si>
  <si>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</si>
  <si>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</si>
  <si>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</si>
  <si>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</si>
  <si>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</si>
  <si>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</si>
  <si>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</si>
  <si>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</si>
  <si>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</si>
  <si>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</si>
  <si>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</si>
  <si>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</si>
  <si>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</si>
  <si>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</si>
  <si>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</si>
  <si>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</si>
  <si>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</si>
  <si>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</si>
  <si>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</si>
  <si>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</si>
  <si>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</si>
  <si>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</si>
  <si>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</si>
  <si>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</si>
  <si>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</si>
  <si>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</si>
  <si>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</si>
  <si>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</si>
  <si>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</si>
  <si>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</si>
  <si>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</si>
  <si>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</si>
  <si>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</si>
  <si>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</si>
  <si>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</si>
  <si>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</si>
  <si>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</si>
  <si>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</si>
  <si>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</si>
  <si>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</si>
  <si>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</si>
  <si>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</si>
  <si>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</si>
  <si>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</si>
  <si>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</si>
  <si>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</si>
  <si>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</si>
  <si>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</si>
  <si>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</si>
  <si>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</si>
  <si>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</si>
  <si>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</si>
  <si>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</si>
  <si>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</si>
  <si>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</si>
  <si>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</si>
  <si>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</si>
  <si>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</si>
  <si>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</si>
  <si>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</si>
  <si>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</si>
  <si>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</si>
  <si>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</si>
  <si>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</si>
  <si>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</si>
  <si>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</si>
  <si>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</si>
  <si>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</si>
  <si>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</si>
  <si>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</si>
  <si>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</si>
  <si>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</si>
  <si>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</si>
  <si>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</si>
  <si>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</si>
  <si>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</si>
  <si>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</si>
  <si>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</si>
  <si>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</si>
  <si>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</si>
  <si>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</si>
  <si>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</si>
  <si>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</si>
  <si>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</si>
  <si>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</si>
  <si>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</si>
  <si>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</si>
  <si>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</si>
  <si>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</si>
  <si>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</si>
  <si>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</si>
  <si>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</si>
  <si>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</si>
  <si>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</si>
  <si>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</si>
  <si>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</si>
  <si>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</si>
  <si>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</si>
  <si>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</si>
  <si>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</si>
  <si>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</si>
  <si>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</si>
  <si>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</si>
  <si>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</si>
  <si>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</si>
  <si>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</si>
  <si>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</si>
  <si>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</si>
  <si>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</si>
  <si>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</si>
  <si>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</si>
  <si>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</si>
  <si>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</si>
  <si>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</si>
  <si>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</si>
  <si>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</si>
  <si>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</si>
  <si>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</si>
  <si>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</si>
  <si>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</si>
  <si>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</si>
  <si>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</si>
  <si>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</si>
  <si>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</si>
  <si>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</si>
  <si>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</si>
  <si>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</si>
  <si>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</si>
  <si>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</si>
  <si>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</si>
  <si>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</si>
  <si>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</si>
  <si>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</si>
  <si>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</si>
  <si>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</si>
  <si>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</si>
  <si>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</si>
  <si>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</si>
  <si>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</si>
  <si>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</si>
  <si>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</si>
  <si>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</si>
  <si>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</si>
  <si>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</si>
  <si>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</si>
  <si>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</si>
  <si>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</si>
  <si>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</si>
  <si>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</si>
  <si>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</si>
  <si>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</si>
  <si>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</si>
  <si>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</si>
  <si>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</si>
  <si>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</si>
  <si>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</si>
  <si>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</si>
  <si>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</si>
  <si>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</si>
  <si>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</si>
  <si>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</si>
  <si>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</si>
  <si>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</si>
  <si>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</si>
  <si>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</si>
  <si>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</si>
  <si>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</si>
  <si>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</si>
  <si>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</si>
  <si>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</si>
  <si>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</si>
  <si>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</si>
  <si>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</si>
  <si>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</si>
  <si>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</si>
  <si>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</si>
  <si>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</si>
  <si>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</si>
  <si>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</si>
  <si>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</si>
  <si>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</si>
  <si>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</si>
  <si>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</si>
  <si>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</si>
  <si>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</si>
  <si>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</si>
  <si>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</si>
  <si>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</si>
  <si>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</si>
  <si>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</si>
  <si>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</si>
  <si>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</si>
  <si>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</si>
  <si>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</si>
  <si>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</si>
  <si>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</si>
  <si>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</si>
  <si>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</si>
  <si>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</si>
  <si>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</si>
  <si>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</si>
  <si>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</si>
  <si>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</si>
  <si>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</si>
  <si>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</si>
  <si>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</si>
  <si>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</si>
  <si>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</si>
  <si>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</si>
  <si>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</si>
  <si>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</si>
  <si>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</si>
  <si>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</si>
  <si>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</si>
  <si>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</si>
  <si>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</si>
  <si>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</si>
  <si>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</si>
  <si>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</si>
  <si>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</si>
  <si>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</si>
  <si>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</si>
  <si>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</si>
  <si>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</si>
  <si>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</si>
  <si>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</si>
  <si>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</si>
  <si>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</si>
  <si>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</si>
  <si>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</si>
  <si>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</si>
  <si>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</si>
  <si>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</si>
  <si>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</si>
  <si>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</si>
  <si>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</si>
  <si>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</si>
  <si>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</si>
  <si>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</si>
  <si>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</si>
  <si>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</si>
  <si>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</si>
  <si>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</si>
  <si>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</si>
  <si>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</si>
  <si>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</si>
  <si>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</si>
  <si>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</si>
  <si>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</si>
  <si>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</si>
  <si>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</si>
  <si>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</si>
  <si>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</si>
  <si>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</si>
  <si>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</si>
  <si>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</si>
  <si>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</si>
  <si>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</si>
  <si>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</si>
  <si>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</si>
  <si>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</si>
  <si>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</si>
  <si>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</si>
  <si>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</si>
  <si>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</si>
  <si>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</si>
  <si>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</si>
  <si>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</si>
  <si>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</si>
  <si>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</si>
  <si>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</si>
  <si>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</si>
  <si>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</si>
  <si>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</si>
  <si>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</si>
  <si>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</si>
  <si>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</si>
  <si>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</si>
  <si>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</si>
  <si>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</si>
  <si>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</si>
  <si>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</si>
  <si>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</si>
  <si>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</si>
  <si>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</si>
  <si>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</si>
  <si>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</si>
  <si>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</si>
  <si>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</si>
  <si>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</si>
  <si>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</si>
  <si>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</si>
  <si>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</si>
  <si>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</si>
  <si>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</si>
  <si>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</si>
  <si>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</si>
  <si>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</si>
  <si>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</si>
  <si>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</si>
  <si>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</si>
  <si>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</si>
  <si>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</si>
  <si>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</si>
  <si>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</si>
  <si>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</si>
  <si>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</si>
  <si>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</si>
  <si>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</si>
  <si>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</si>
  <si>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</si>
  <si>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</si>
  <si>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</si>
  <si>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</si>
  <si>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</si>
  <si>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</si>
  <si>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</si>
  <si>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</si>
  <si>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</si>
  <si>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</si>
  <si>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</si>
  <si>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</si>
  <si>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</si>
  <si>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</si>
  <si>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</si>
  <si>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</si>
  <si>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</si>
  <si>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</si>
  <si>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</si>
  <si>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</si>
  <si>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</si>
  <si>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</si>
  <si>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</si>
  <si>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</si>
  <si>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</si>
  <si>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</si>
  <si>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</si>
  <si>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</si>
  <si>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</si>
  <si>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</si>
  <si>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</si>
  <si>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</si>
  <si>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</si>
  <si>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</si>
  <si>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</si>
  <si>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</si>
  <si>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</si>
  <si>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</si>
  <si>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</si>
  <si>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</si>
  <si>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</si>
  <si>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</si>
  <si>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</si>
  <si>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</si>
  <si>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</si>
  <si>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</si>
  <si>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</si>
  <si>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</si>
  <si>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</si>
  <si>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</si>
  <si>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</si>
  <si>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</si>
  <si>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</si>
  <si>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</si>
  <si>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</si>
  <si>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</si>
  <si>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</si>
  <si>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</si>
  <si>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</si>
  <si>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</si>
  <si>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</si>
  <si>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</si>
  <si>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</si>
  <si>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</si>
  <si>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</si>
  <si>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</si>
  <si>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</si>
  <si>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</si>
  <si>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</si>
  <si>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</si>
  <si>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</si>
  <si>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</si>
  <si>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</si>
  <si>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</si>
  <si>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</si>
  <si>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</si>
  <si>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</si>
  <si>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</si>
  <si>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</si>
  <si>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</si>
  <si>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</si>
  <si>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</si>
  <si>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</si>
  <si>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</si>
  <si>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</si>
  <si>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</si>
  <si>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</si>
  <si>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</si>
  <si>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</si>
  <si>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</si>
  <si>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</si>
  <si>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</si>
  <si>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</si>
  <si>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</si>
  <si>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</si>
  <si>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</si>
  <si>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</si>
  <si>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</si>
  <si>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</si>
  <si>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</si>
  <si>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</si>
  <si>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</si>
  <si>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</si>
  <si>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</si>
  <si>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</si>
  <si>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</si>
  <si>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</si>
  <si>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</si>
  <si>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</si>
  <si>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</si>
  <si>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</si>
  <si>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</si>
  <si>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</si>
  <si>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</si>
  <si>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</si>
  <si>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</si>
  <si>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</si>
  <si>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</si>
  <si>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</si>
  <si>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</si>
  <si>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</si>
  <si>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</si>
  <si>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</si>
  <si>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</si>
  <si>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</si>
  <si>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</si>
  <si>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</si>
  <si>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</si>
  <si>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</si>
  <si>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</si>
  <si>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</si>
  <si>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</si>
  <si>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</si>
  <si>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</si>
  <si>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</si>
  <si>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</si>
  <si>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</si>
  <si>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</si>
  <si>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</si>
  <si>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</si>
  <si>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</si>
  <si>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</si>
  <si>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</si>
  <si>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</si>
  <si>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</si>
  <si>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</si>
  <si>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</si>
  <si>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</si>
  <si>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</si>
  <si>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</si>
  <si>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</si>
  <si>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</si>
  <si>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</si>
  <si>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</si>
  <si>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</si>
  <si>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</si>
  <si>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</si>
  <si>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</si>
  <si>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</si>
  <si>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</si>
  <si>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</si>
  <si>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</si>
  <si>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</si>
  <si>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</si>
  <si>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</si>
  <si>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</si>
  <si>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</si>
  <si>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</si>
  <si>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</si>
  <si>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</si>
  <si>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</si>
  <si>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</si>
  <si>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</si>
  <si>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</si>
  <si>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</si>
  <si>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</si>
  <si>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</si>
  <si>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</si>
  <si>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</si>
  <si>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</si>
  <si>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</si>
  <si>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</si>
  <si>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</si>
  <si>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</si>
  <si>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</si>
  <si>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</si>
  <si>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</si>
  <si>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</si>
  <si>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</si>
  <si>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</si>
  <si>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</si>
  <si>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</si>
  <si>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</si>
  <si>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</si>
  <si>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</si>
  <si>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</si>
  <si>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</si>
  <si>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</si>
  <si>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</si>
  <si>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</si>
  <si>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</si>
  <si>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</si>
  <si>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</si>
  <si>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</si>
  <si>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</si>
  <si>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</si>
  <si>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</si>
  <si>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</si>
  <si>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</si>
  <si>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</si>
  <si>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</si>
  <si>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</si>
  <si>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</si>
  <si>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</si>
  <si>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</si>
  <si>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</si>
  <si>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</si>
  <si>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</si>
  <si>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</si>
  <si>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</si>
  <si>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</si>
  <si>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</si>
  <si>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</si>
  <si>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</si>
  <si>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</si>
  <si>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</si>
  <si>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</si>
  <si>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</si>
  <si>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</si>
  <si>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</si>
  <si>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</si>
  <si>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</si>
  <si>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</si>
  <si>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</si>
  <si>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</si>
  <si>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</si>
  <si>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</si>
  <si>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</si>
  <si>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</si>
  <si>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</si>
  <si>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</si>
  <si>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</si>
  <si>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</si>
  <si>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</si>
  <si>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</si>
  <si>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</si>
  <si>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</si>
  <si>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</si>
  <si>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</si>
  <si>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</si>
  <si>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</si>
  <si>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</si>
  <si>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</si>
  <si>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</si>
  <si>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</si>
  <si>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</si>
  <si>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</si>
  <si>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</si>
  <si>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</si>
  <si>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</si>
  <si>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</si>
  <si>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</si>
  <si>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</si>
  <si>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</si>
  <si>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</si>
  <si>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</si>
  <si>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</si>
  <si>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</si>
  <si>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</si>
  <si>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</si>
  <si>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</si>
  <si>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</si>
  <si>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</si>
  <si>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</si>
  <si>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</si>
  <si>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</si>
  <si>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</si>
  <si>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</si>
  <si>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</si>
  <si>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</si>
  <si>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</si>
  <si>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</si>
  <si>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</si>
  <si>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</si>
  <si>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</si>
  <si>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</si>
  <si>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</si>
  <si>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</si>
  <si>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</si>
  <si>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</si>
  <si>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</si>
  <si>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</si>
  <si>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</si>
  <si>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</si>
  <si>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</si>
  <si>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</si>
  <si>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</si>
  <si>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</si>
  <si>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</si>
  <si>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</si>
  <si>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</si>
  <si>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</si>
  <si>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</si>
  <si>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</si>
  <si>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</si>
  <si>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</si>
  <si>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</si>
  <si>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</si>
  <si>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</si>
  <si>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</si>
  <si>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</si>
  <si>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</si>
  <si>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</si>
  <si>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</si>
  <si>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</si>
  <si>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</si>
  <si>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</si>
  <si>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</si>
  <si>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</si>
  <si>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</si>
  <si>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</si>
  <si>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</si>
  <si>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</si>
  <si>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</si>
  <si>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</si>
  <si>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</si>
  <si>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</si>
  <si>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</si>
  <si>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</si>
  <si>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</si>
  <si>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</si>
  <si>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</si>
  <si>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</si>
  <si>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</si>
  <si>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</si>
  <si>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</si>
  <si>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</si>
  <si>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</si>
  <si>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</si>
  <si>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</si>
  <si>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</si>
  <si>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</si>
  <si>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</si>
  <si>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</si>
  <si>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</si>
  <si>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</si>
  <si>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</si>
  <si>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</si>
  <si>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</si>
  <si>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</si>
  <si>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</si>
  <si>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</si>
  <si>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</si>
  <si>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</si>
  <si>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</si>
  <si>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</si>
  <si>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</si>
  <si>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</si>
  <si>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</si>
  <si>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</si>
  <si>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</si>
  <si>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</si>
  <si>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</si>
  <si>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</si>
  <si>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</si>
  <si>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</si>
  <si>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</si>
  <si>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</si>
  <si>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</si>
  <si>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</si>
  <si>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</si>
  <si>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</si>
  <si>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</si>
  <si>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</si>
  <si>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</si>
  <si>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</si>
  <si>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</si>
  <si>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</si>
  <si>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</si>
  <si>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</si>
  <si>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</si>
  <si>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</si>
  <si>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</si>
  <si>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</si>
  <si>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</si>
  <si>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</si>
  <si>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</si>
  <si>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</si>
  <si>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</si>
  <si>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</si>
  <si>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</si>
  <si>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</si>
  <si>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</si>
  <si>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</si>
  <si>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</si>
  <si>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</si>
  <si>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</si>
  <si>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</si>
  <si>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</si>
  <si>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</si>
  <si>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</si>
  <si>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</si>
  <si>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</si>
  <si>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</si>
  <si>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</si>
  <si>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</si>
  <si>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</si>
  <si>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</si>
  <si>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</si>
  <si>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</si>
  <si>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</si>
  <si>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</si>
  <si>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</si>
  <si>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</si>
  <si>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</si>
  <si>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</si>
  <si>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</si>
  <si>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</si>
  <si>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</si>
  <si>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</si>
  <si>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</si>
  <si>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</si>
  <si>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</si>
  <si>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</si>
  <si>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</si>
  <si>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</si>
  <si>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</si>
  <si>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</si>
  <si>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</si>
  <si>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</si>
  <si>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</si>
  <si>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</si>
  <si>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</si>
  <si>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</si>
  <si>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</si>
  <si>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</si>
  <si>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</si>
  <si>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</si>
  <si>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</si>
  <si>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</si>
  <si>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</si>
  <si>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</si>
  <si>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</si>
  <si>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</si>
  <si>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</si>
  <si>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</si>
  <si>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</si>
  <si>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</si>
  <si>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</si>
  <si>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</si>
  <si>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</si>
  <si>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</si>
  <si>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</si>
  <si>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</si>
  <si>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</si>
  <si>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</si>
  <si>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</si>
  <si>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</si>
  <si>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</si>
  <si>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</si>
  <si>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</si>
  <si>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</si>
  <si>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</si>
  <si>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</si>
  <si>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</si>
  <si>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</si>
  <si>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</si>
  <si>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</si>
  <si>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</si>
  <si>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</si>
  <si>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</si>
  <si>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</si>
  <si>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</si>
  <si>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</si>
  <si>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</si>
  <si>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</si>
  <si>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</si>
  <si>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</si>
  <si>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</si>
  <si>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</si>
  <si>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</si>
  <si>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</si>
  <si>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</si>
  <si>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</si>
  <si>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</si>
  <si>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</si>
  <si>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</si>
  <si>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</si>
  <si>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</si>
  <si>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</si>
  <si>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</si>
  <si>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</si>
  <si>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</si>
  <si>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</si>
  <si>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</si>
  <si>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</si>
  <si>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</si>
  <si>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</si>
  <si>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</si>
  <si>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</si>
  <si>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</si>
  <si>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</si>
  <si>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</si>
  <si>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</si>
  <si>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</si>
  <si>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</si>
  <si>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</si>
  <si>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</si>
  <si>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</si>
  <si>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</si>
  <si>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</si>
  <si>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</si>
  <si>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</si>
  <si>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</si>
  <si>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</si>
  <si>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</si>
  <si>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</si>
  <si>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</si>
  <si>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</si>
  <si>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</si>
  <si>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</si>
  <si>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</si>
  <si>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</si>
  <si>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</si>
  <si>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</si>
  <si>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</si>
  <si>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</si>
  <si>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</si>
  <si>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</si>
  <si>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</si>
  <si>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</si>
  <si>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</si>
  <si>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</si>
  <si>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</si>
  <si>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</si>
  <si>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</si>
  <si>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</si>
  <si>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</si>
  <si>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</si>
  <si>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</si>
  <si>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</si>
  <si>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</si>
  <si>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</si>
  <si>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</si>
  <si>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</si>
  <si>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</si>
  <si>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</si>
  <si>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</si>
  <si>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</si>
  <si>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</si>
  <si>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</si>
  <si>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</si>
  <si>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</si>
  <si>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</si>
  <si>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</si>
  <si>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</si>
  <si>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</si>
  <si>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</si>
  <si>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</si>
  <si>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</si>
  <si>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</si>
  <si>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</si>
  <si>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</si>
  <si>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</si>
  <si>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</si>
  <si>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</si>
  <si>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</si>
  <si>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</si>
  <si>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</si>
  <si>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</si>
  <si>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</si>
  <si>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</si>
  <si>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</si>
  <si>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</si>
  <si>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</si>
  <si>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</si>
  <si>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</si>
  <si>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</si>
  <si>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</si>
  <si>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</si>
  <si>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</si>
  <si>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</si>
  <si>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</si>
  <si>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</si>
  <si>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</si>
  <si>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</si>
  <si>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</si>
  <si>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</si>
  <si>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</si>
  <si>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</si>
  <si>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</si>
  <si>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</si>
  <si>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</si>
  <si>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</si>
  <si>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</si>
  <si>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</si>
  <si>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</si>
  <si>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</si>
  <si>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</si>
  <si>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</si>
  <si>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</si>
  <si>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</si>
  <si>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</si>
  <si>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</si>
  <si>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</si>
  <si>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</si>
  <si>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</si>
  <si>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</si>
  <si>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</si>
  <si>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</si>
  <si>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</si>
  <si>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</si>
  <si>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</si>
  <si>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</si>
  <si>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</si>
  <si>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</si>
  <si>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</si>
  <si>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</si>
  <si>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</si>
  <si>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</si>
  <si>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</si>
  <si>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</si>
  <si>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</si>
  <si>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</si>
  <si>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</si>
  <si>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</si>
  <si>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</si>
  <si>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</si>
  <si>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</si>
  <si>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</si>
  <si>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</si>
  <si>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</si>
  <si>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</si>
  <si>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</si>
  <si>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</si>
  <si>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</si>
  <si>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</si>
  <si>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</si>
  <si>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</si>
  <si>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</si>
  <si>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</si>
  <si>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</si>
  <si>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</si>
  <si>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</si>
  <si>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</si>
  <si>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</si>
  <si>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</si>
  <si>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</si>
  <si>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</si>
  <si>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</si>
  <si>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</si>
  <si>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</si>
  <si>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</si>
  <si>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</si>
  <si>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</si>
  <si>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</si>
  <si>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</si>
  <si>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</si>
  <si>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</si>
  <si>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</si>
  <si>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</si>
  <si>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</si>
  <si>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</si>
  <si>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</si>
  <si>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</si>
  <si>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</si>
  <si>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</si>
  <si>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</si>
  <si>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</si>
  <si>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</si>
  <si>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</si>
  <si>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</si>
  <si>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</si>
  <si>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</si>
  <si>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</si>
  <si>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</si>
  <si>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</si>
  <si>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</si>
  <si>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</si>
  <si>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</si>
  <si>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</si>
  <si>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</si>
  <si>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</si>
  <si>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</si>
  <si>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</si>
  <si>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</si>
  <si>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</si>
  <si>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</si>
  <si>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</si>
  <si>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</si>
  <si>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</si>
  <si>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</si>
  <si>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</si>
  <si>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</si>
  <si>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</si>
  <si>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</si>
  <si>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</si>
  <si>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</si>
  <si>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</si>
  <si>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</si>
  <si>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</si>
  <si>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</si>
  <si>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</si>
  <si>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</si>
  <si>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</si>
  <si>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</si>
  <si>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</si>
  <si>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</si>
  <si>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</si>
  <si>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</si>
  <si>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</si>
  <si>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</si>
  <si>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</si>
  <si>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</si>
  <si>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</si>
  <si>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</si>
  <si>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</si>
  <si>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</si>
  <si>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</si>
  <si>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</si>
  <si>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</si>
  <si>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</si>
  <si>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</si>
  <si>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</si>
  <si>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</si>
  <si>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</si>
  <si>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</si>
  <si>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</si>
  <si>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</si>
  <si>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</si>
  <si>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</si>
  <si>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</si>
  <si>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</si>
  <si>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</si>
  <si>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</si>
  <si>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</si>
  <si>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</si>
  <si>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</si>
  <si>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</si>
  <si>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</si>
  <si>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</si>
  <si>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</si>
  <si>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</si>
  <si>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</si>
  <si>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</si>
  <si>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</si>
  <si>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</si>
  <si>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</si>
  <si>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</si>
  <si>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</si>
  <si>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</si>
  <si>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</si>
  <si>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</si>
  <si>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</si>
  <si>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</si>
  <si>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</si>
  <si>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</si>
  <si>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</si>
  <si>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</si>
  <si>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</si>
  <si>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</si>
  <si>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</si>
  <si>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</si>
  <si>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</si>
  <si>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</si>
  <si>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</si>
  <si>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</si>
  <si>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</si>
  <si>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</si>
  <si>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</si>
  <si>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</si>
  <si>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</si>
  <si>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</si>
  <si>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</si>
  <si>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</si>
  <si>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</si>
  <si>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</si>
  <si>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</si>
  <si>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</si>
  <si>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</si>
  <si>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</si>
  <si>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</si>
  <si>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</si>
  <si>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</si>
  <si>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</si>
  <si>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</si>
  <si>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</si>
  <si>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</si>
  <si>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</si>
  <si>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</si>
  <si>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</si>
  <si>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</si>
  <si>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</si>
  <si>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</si>
  <si>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</si>
  <si>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</si>
  <si>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</si>
  <si>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</si>
  <si>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</si>
  <si>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</si>
  <si>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</si>
  <si>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</si>
  <si>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</si>
  <si>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</si>
  <si>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</si>
  <si>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</si>
  <si>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</si>
  <si>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</si>
  <si>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</si>
  <si>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</si>
  <si>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</si>
  <si>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</si>
  <si>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</si>
  <si>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</si>
  <si>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</si>
  <si>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</si>
  <si>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</si>
  <si>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</si>
  <si>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</si>
  <si>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</si>
  <si>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</si>
  <si>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</si>
  <si>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</si>
  <si>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</si>
  <si>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</si>
  <si>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</si>
  <si>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</si>
  <si>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</si>
  <si>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</si>
  <si>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</si>
  <si>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</si>
  <si>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</si>
  <si>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</si>
  <si>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</si>
  <si>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</si>
  <si>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</si>
  <si>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</si>
  <si>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</si>
  <si>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</si>
  <si>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</si>
  <si>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</si>
  <si>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</si>
  <si>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</si>
  <si>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</si>
  <si>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</si>
  <si>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</si>
  <si>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</si>
  <si>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</si>
  <si>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</si>
  <si>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</si>
  <si>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</si>
  <si>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</si>
  <si>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</si>
  <si>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</si>
  <si>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</si>
  <si>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</si>
  <si>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</si>
  <si>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</si>
  <si>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</si>
  <si>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</si>
  <si>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</si>
  <si>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</si>
  <si>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</si>
  <si>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</si>
  <si>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</si>
  <si>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</si>
  <si>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</si>
  <si>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</si>
  <si>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</si>
  <si>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</si>
  <si>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</si>
  <si>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</si>
  <si>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</si>
  <si>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</si>
  <si>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</si>
  <si>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</si>
  <si>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</si>
  <si>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</si>
  <si>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</si>
  <si>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</si>
  <si>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</si>
  <si>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</si>
  <si>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</si>
  <si>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</si>
  <si>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</si>
  <si>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</si>
  <si>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</si>
  <si>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</si>
  <si>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</si>
  <si>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</si>
  <si>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</si>
  <si>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</si>
  <si>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</si>
  <si>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</si>
  <si>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</si>
  <si>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</si>
  <si>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</si>
  <si>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</si>
  <si>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</si>
  <si>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</si>
  <si>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</si>
  <si>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</si>
  <si>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</si>
  <si>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</si>
  <si>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</si>
  <si>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</si>
  <si>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</si>
  <si>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</si>
  <si>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</si>
  <si>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</si>
  <si>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</si>
  <si>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</si>
  <si>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</si>
  <si>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</si>
  <si>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</si>
  <si>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</si>
  <si>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</si>
  <si>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</si>
  <si>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</si>
  <si>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</si>
  <si>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</si>
  <si>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</si>
  <si>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</si>
  <si>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</si>
  <si>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</si>
  <si>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</si>
  <si>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</si>
  <si>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</si>
  <si>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</si>
  <si>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</si>
  <si>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</si>
  <si>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</si>
  <si>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</si>
  <si>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</si>
  <si>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</si>
  <si>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</si>
  <si>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</si>
  <si>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</si>
  <si>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</si>
  <si>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</si>
  <si>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</si>
  <si>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</si>
  <si>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</si>
  <si>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</si>
  <si>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</si>
  <si>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</si>
  <si>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</si>
  <si>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</si>
  <si>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</si>
  <si>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</si>
  <si>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</si>
  <si>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</si>
  <si>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</si>
  <si>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</si>
  <si>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</si>
  <si>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</si>
  <si>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</si>
  <si>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</si>
  <si>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</si>
  <si>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</si>
  <si>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</si>
  <si>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</si>
  <si>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</si>
  <si>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</si>
  <si>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</si>
  <si>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</si>
  <si>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</si>
  <si>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</si>
  <si>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</si>
  <si>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</si>
  <si>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</si>
  <si>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</si>
  <si>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</si>
  <si>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</si>
  <si>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</si>
  <si>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</si>
  <si>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</si>
  <si>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</si>
  <si>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</si>
  <si>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</si>
  <si>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</si>
  <si>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</si>
  <si>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</si>
  <si>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</si>
  <si>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</si>
  <si>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</si>
  <si>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</si>
  <si>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</si>
  <si>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</si>
  <si>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</si>
  <si>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</si>
  <si>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</si>
  <si>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</si>
  <si>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</si>
  <si>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</si>
  <si>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</si>
  <si>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</si>
  <si>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</si>
  <si>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</si>
  <si>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Gross Revenue</t>
  </si>
  <si>
    <t>Day of Week</t>
  </si>
  <si>
    <t>Month</t>
  </si>
  <si>
    <t>High Value Flag</t>
  </si>
  <si>
    <t>Q-1</t>
  </si>
  <si>
    <t>Total Gross Revenue</t>
  </si>
  <si>
    <t>Q-2</t>
  </si>
  <si>
    <t>Total Net Revenue</t>
  </si>
  <si>
    <t>Row Labels</t>
  </si>
  <si>
    <t>Grand Total</t>
  </si>
  <si>
    <t>Sum of Total Price (?)</t>
  </si>
  <si>
    <t>Q-3</t>
  </si>
  <si>
    <t>Top-10_Product</t>
  </si>
  <si>
    <t>Sum of Total Price</t>
  </si>
  <si>
    <t>Top-10%</t>
  </si>
  <si>
    <t>Q-4</t>
  </si>
  <si>
    <t>Average of Total Price (?)</t>
  </si>
  <si>
    <t>Q-5</t>
  </si>
  <si>
    <t>Average of Discount Rate</t>
  </si>
  <si>
    <t>Q-8</t>
  </si>
  <si>
    <t xml:space="preserve"> overall order fulfillment rate</t>
  </si>
  <si>
    <t>Q-9</t>
  </si>
  <si>
    <t>Column Labels</t>
  </si>
  <si>
    <t>Count of Order ID</t>
  </si>
  <si>
    <t>Q-10</t>
  </si>
  <si>
    <t>Q-11</t>
  </si>
  <si>
    <t>Average Loss</t>
  </si>
  <si>
    <t>Total Loss</t>
  </si>
  <si>
    <t>Q-12</t>
  </si>
  <si>
    <t>Q-13</t>
  </si>
  <si>
    <t>Jan</t>
  </si>
  <si>
    <t>Feb</t>
  </si>
  <si>
    <t>Mar</t>
  </si>
  <si>
    <t>Apr</t>
  </si>
  <si>
    <t>May</t>
  </si>
  <si>
    <t>Jun</t>
  </si>
  <si>
    <t>Jul</t>
  </si>
  <si>
    <t>Q-14</t>
  </si>
  <si>
    <t>Monday</t>
  </si>
  <si>
    <t>Tuesday</t>
  </si>
  <si>
    <t>Wednesday</t>
  </si>
  <si>
    <t>Thursday</t>
  </si>
  <si>
    <t>Friday</t>
  </si>
  <si>
    <t>Saturday</t>
  </si>
  <si>
    <t>Sunday</t>
  </si>
  <si>
    <t>Q-15</t>
  </si>
  <si>
    <t>Months</t>
  </si>
  <si>
    <t>Growth</t>
  </si>
  <si>
    <t>Q-17</t>
  </si>
  <si>
    <t>High Value</t>
  </si>
  <si>
    <t>Normal</t>
  </si>
  <si>
    <t>Persentage</t>
  </si>
  <si>
    <t>Q-18</t>
  </si>
  <si>
    <t>Average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</si>
</sst>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15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9" fontId="0" fillId="0" borderId="1" xfId="1" applyFont="1" applyBorder="1"/>
    <xf numFmtId="164" fontId="0" fillId="0" borderId="1" xfId="0" applyNumberFormat="1" applyBorder="1"/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6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(2).xlsx]Revenue_Analysis!PivotTable1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Revenue_Analysis!$E$3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Revenue_Analysis!$D$4:$D$9</c:f>
              <c:strCache>
                <c:ptCount val="5"/>
                <c:pt idx="0">
                  <c:v>Home Decor</c:v>
                </c:pt>
                <c:pt idx="1">
                  <c:v>Electronics</c:v>
                </c:pt>
                <c:pt idx="2">
                  <c:v>Grocery</c:v>
                </c:pt>
                <c:pt idx="3">
                  <c:v>Books</c:v>
                </c:pt>
                <c:pt idx="4">
                  <c:v>Clothing</c:v>
                </c:pt>
              </c:strCache>
            </c:strRef>
          </c:cat>
          <c:val>
            <c:numRef>
              <c:f>Revenue_Analysis!$E$4:$E$9</c:f>
              <c:numCache>
                <c:formatCode>General</c:formatCode>
                <c:ptCount val="5"/>
                <c:pt idx="0">
                  <c:v>2189602.0399999986</c:v>
                </c:pt>
                <c:pt idx="1">
                  <c:v>2058812.6999999995</c:v>
                </c:pt>
                <c:pt idx="2">
                  <c:v>1975775.7900000007</c:v>
                </c:pt>
                <c:pt idx="3">
                  <c:v>1954015.7199999997</c:v>
                </c:pt>
                <c:pt idx="4">
                  <c:v>1802015.0299999991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A8-4F58-A994-98061ED79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3017984"/>
        <c:axId val="2023023264"/>
      </c:barChart>
      <c:catAx>
        <c:axId val="202301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023264"/>
        <c:crosses val="autoZero"/>
        <c:auto val="1"/>
        <c:lblAlgn val="ctr"/>
        <c:lblOffset val="100"/>
        <c:noMultiLvlLbl val="0"/>
      </c:catAx>
      <c:valAx>
        <c:axId val="202302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01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(2).xlsx]Trends_&amp;_Customers!PivotTable4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'Trends_&amp;_Customers'!$B$3:$B$4</c:f>
              <c:strCache>
                <c:ptCount val="1"/>
                <c:pt idx="0">
                  <c:v>Books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'Trends_&amp;_Customers'!$A$5:$A$12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'Trends_&amp;_Customers'!$B$5:$B$12</c:f>
              <c:numCache>
                <c:formatCode>General</c:formatCode>
                <c:ptCount val="7"/>
                <c:pt idx="0">
                  <c:v>292785.18</c:v>
                </c:pt>
                <c:pt idx="1">
                  <c:v>320998.04999999993</c:v>
                </c:pt>
                <c:pt idx="2">
                  <c:v>328622.55</c:v>
                </c:pt>
                <c:pt idx="3">
                  <c:v>366265.84</c:v>
                </c:pt>
                <c:pt idx="4">
                  <c:v>320205.10000000003</c:v>
                </c:pt>
                <c:pt idx="5">
                  <c:v>290754.57999999996</c:v>
                </c:pt>
                <c:pt idx="6">
                  <c:v>34384.42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D5A-43D5-AB00-8087A115DAE1}"/>
            </c:ext>
          </c:extLst>
        </c:ser>
        <c:ser>
          <c:idx val="1"/>
          <c:order val="1"/>
          <c:tx>
            <c:strRef>
              <c:f>'Trends_&amp;_Customers'!$C$3:$C$4</c:f>
              <c:strCache>
                <c:ptCount val="1"/>
                <c:pt idx="0">
                  <c:v>Clothing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'Trends_&amp;_Customers'!$A$5:$A$12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'Trends_&amp;_Customers'!$C$5:$C$12</c:f>
              <c:numCache>
                <c:formatCode>General</c:formatCode>
                <c:ptCount val="7"/>
                <c:pt idx="0">
                  <c:v>315402.47000000003</c:v>
                </c:pt>
                <c:pt idx="1">
                  <c:v>254475.39</c:v>
                </c:pt>
                <c:pt idx="2">
                  <c:v>214208.82000000004</c:v>
                </c:pt>
                <c:pt idx="3">
                  <c:v>295296.64999999997</c:v>
                </c:pt>
                <c:pt idx="4">
                  <c:v>388807.3299999999</c:v>
                </c:pt>
                <c:pt idx="5">
                  <c:v>265956.05</c:v>
                </c:pt>
                <c:pt idx="6">
                  <c:v>67868.319999999992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D5A-43D5-AB00-8087A115DAE1}"/>
            </c:ext>
          </c:extLst>
        </c:ser>
        <c:ser>
          <c:idx val="2"/>
          <c:order val="2"/>
          <c:tx>
            <c:strRef>
              <c:f>'Trends_&amp;_Customers'!$D$3:$D$4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'Trends_&amp;_Customers'!$A$5:$A$12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'Trends_&amp;_Customers'!$D$5:$D$12</c:f>
              <c:numCache>
                <c:formatCode>General</c:formatCode>
                <c:ptCount val="7"/>
                <c:pt idx="0">
                  <c:v>218833.46999999994</c:v>
                </c:pt>
                <c:pt idx="1">
                  <c:v>407673.97999999992</c:v>
                </c:pt>
                <c:pt idx="2">
                  <c:v>284808.58</c:v>
                </c:pt>
                <c:pt idx="3">
                  <c:v>437403.49999999983</c:v>
                </c:pt>
                <c:pt idx="4">
                  <c:v>348770.53999999992</c:v>
                </c:pt>
                <c:pt idx="5">
                  <c:v>326963.80999999994</c:v>
                </c:pt>
                <c:pt idx="6">
                  <c:v>34358.82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D5A-43D5-AB00-8087A115DAE1}"/>
            </c:ext>
          </c:extLst>
        </c:ser>
        <c:ser>
          <c:idx val="3"/>
          <c:order val="3"/>
          <c:tx>
            <c:strRef>
              <c:f>'Trends_&amp;_Customers'!$E$3:$E$4</c:f>
              <c:strCache>
                <c:ptCount val="1"/>
                <c:pt idx="0">
                  <c:v>Grocery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'Trends_&amp;_Customers'!$A$5:$A$12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'Trends_&amp;_Customers'!$E$5:$E$12</c:f>
              <c:numCache>
                <c:formatCode>General</c:formatCode>
                <c:ptCount val="7"/>
                <c:pt idx="0">
                  <c:v>380665.35</c:v>
                </c:pt>
                <c:pt idx="1">
                  <c:v>220962.41999999998</c:v>
                </c:pt>
                <c:pt idx="2">
                  <c:v>445343.8</c:v>
                </c:pt>
                <c:pt idx="3">
                  <c:v>236798.94</c:v>
                </c:pt>
                <c:pt idx="4">
                  <c:v>328485.89</c:v>
                </c:pt>
                <c:pt idx="5">
                  <c:v>316107.93999999994</c:v>
                </c:pt>
                <c:pt idx="6">
                  <c:v>47411.450000000004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D5A-43D5-AB00-8087A115DAE1}"/>
            </c:ext>
          </c:extLst>
        </c:ser>
        <c:ser>
          <c:idx val="4"/>
          <c:order val="4"/>
          <c:tx>
            <c:strRef>
              <c:f>'Trends_&amp;_Customers'!$F$3:$F$4</c:f>
              <c:strCache>
                <c:ptCount val="1"/>
                <c:pt idx="0">
                  <c:v>Home Decor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'Trends_&amp;_Customers'!$A$5:$A$12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'Trends_&amp;_Customers'!$F$5:$F$12</c:f>
              <c:numCache>
                <c:formatCode>General</c:formatCode>
                <c:ptCount val="7"/>
                <c:pt idx="0">
                  <c:v>332718.04999999993</c:v>
                </c:pt>
                <c:pt idx="1">
                  <c:v>375146.11000000004</c:v>
                </c:pt>
                <c:pt idx="2">
                  <c:v>396211.45000000007</c:v>
                </c:pt>
                <c:pt idx="3">
                  <c:v>367340.29000000004</c:v>
                </c:pt>
                <c:pt idx="4">
                  <c:v>345258.37000000011</c:v>
                </c:pt>
                <c:pt idx="5">
                  <c:v>311127.84000000003</c:v>
                </c:pt>
                <c:pt idx="6">
                  <c:v>61799.93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9D5A-43D5-AB00-8087A115D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1651327"/>
        <c:axId val="911639807"/>
      </c:lineChart>
      <c:catAx>
        <c:axId val="91165132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639807"/>
        <c:crosses val="autoZero"/>
        <c:auto val="1"/>
        <c:lblAlgn val="ctr"/>
        <c:lblOffset val="100"/>
        <c:noMultiLvlLbl val="0"/>
      </c:catAx>
      <c:valAx>
        <c:axId val="91163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65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(2).xlsx]Trends_&amp;_Customers!PivotTable5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'Trends_&amp;_Customers'!$J$3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'Trends_&amp;_Customers'!$I$4:$I$11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'Trends_&amp;_Customers'!$J$4:$J$11</c:f>
              <c:numCache>
                <c:formatCode>General</c:formatCode>
                <c:ptCount val="7"/>
                <c:pt idx="0">
                  <c:v>1468421.4099999997</c:v>
                </c:pt>
                <c:pt idx="1">
                  <c:v>1357162.6799999995</c:v>
                </c:pt>
                <c:pt idx="2">
                  <c:v>1282647.49</c:v>
                </c:pt>
                <c:pt idx="3">
                  <c:v>1494970.7200000007</c:v>
                </c:pt>
                <c:pt idx="4">
                  <c:v>1417296.1499999997</c:v>
                </c:pt>
                <c:pt idx="5">
                  <c:v>1437661.6499999994</c:v>
                </c:pt>
                <c:pt idx="6">
                  <c:v>1522061.1799999992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7-4649-B85A-027617118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1671967"/>
        <c:axId val="911670047"/>
      </c:barChart>
      <c:catAx>
        <c:axId val="91167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670047"/>
        <c:crosses val="autoZero"/>
        <c:auto val="1"/>
        <c:lblAlgn val="ctr"/>
        <c:lblOffset val="100"/>
        <c:noMultiLvlLbl val="0"/>
      </c:catAx>
      <c:valAx>
        <c:axId val="91167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67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163830</xdr:rowOff>
    </xdr:from>
    <xdr:to>
      <xdr:col>12</xdr:col>
      <xdr:colOff>594360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838C16-B5FC-75FC-A78E-0A892148AF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11430</xdr:rowOff>
    </xdr:from>
    <xdr:to>
      <xdr:col>5</xdr:col>
      <xdr:colOff>15240</xdr:colOff>
      <xdr:row>27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ADEA20-724E-DE0D-3F35-FAB47FA72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11</xdr:row>
      <xdr:rowOff>3810</xdr:rowOff>
    </xdr:from>
    <xdr:to>
      <xdr:col>14</xdr:col>
      <xdr:colOff>7620</xdr:colOff>
      <xdr:row>26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A60007-B3E9-62A9-8445-F31E5DC3D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xit Pandya" refreshedDate="46064.480856249997" createdVersion="8" refreshedVersion="8" minRefreshableVersion="3" recordCount="1500" xr:uid="{553E3874-3221-47FF-A800-F3652C2FBD20}">
  <cacheSource type="worksheet">
    <worksheetSource name="Table1"/>
  </cacheSource>
  <cacheFields count="20">
    <cacheField name="Order ID" numFmtId="0">
      <sharedItems/>
    </cacheField>
    <cacheField name="Order Date" numFmtId="15">
      <sharedItems containsSemiMixedTypes="0" containsNonDate="0" containsDate="1" containsString="0" minDate="2025-01-03T00:00:00" maxDate="2025-07-05T00:00:00" count="183">
        <d v="2025-05-07T00:00:00"/>
        <d v="2025-01-24T00:00:00"/>
        <d v="2025-01-07T00:00:00"/>
        <d v="2025-05-26T00:00:00"/>
        <d v="2025-02-25T00:00:00"/>
        <d v="2025-02-19T00:00:00"/>
        <d v="2025-02-15T00:00:00"/>
        <d v="2025-01-30T00:00:00"/>
        <d v="2025-01-22T00:00:00"/>
        <d v="2025-05-14T00:00:00"/>
        <d v="2025-06-25T00:00:00"/>
        <d v="2025-04-18T00:00:00"/>
        <d v="2025-01-19T00:00:00"/>
        <d v="2025-04-27T00:00:00"/>
        <d v="2025-03-25T00:00:00"/>
        <d v="2025-01-09T00:00:00"/>
        <d v="2025-01-08T00:00:00"/>
        <d v="2025-01-21T00:00:00"/>
        <d v="2025-02-14T00:00:00"/>
        <d v="2025-02-17T00:00:00"/>
        <d v="2025-04-11T00:00:00"/>
        <d v="2025-04-29T00:00:00"/>
        <d v="2025-04-21T00:00:00"/>
        <d v="2025-02-10T00:00:00"/>
        <d v="2025-05-22T00:00:00"/>
        <d v="2025-05-09T00:00:00"/>
        <d v="2025-05-19T00:00:00"/>
        <d v="2025-03-31T00:00:00"/>
        <d v="2025-02-26T00:00:00"/>
        <d v="2025-06-09T00:00:00"/>
        <d v="2025-06-20T00:00:00"/>
        <d v="2025-01-04T00:00:00"/>
        <d v="2025-05-30T00:00:00"/>
        <d v="2025-06-08T00:00:00"/>
        <d v="2025-02-03T00:00:00"/>
        <d v="2025-05-18T00:00:00"/>
        <d v="2025-03-26T00:00:00"/>
        <d v="2025-03-10T00:00:00"/>
        <d v="2025-02-02T00:00:00"/>
        <d v="2025-02-13T00:00:00"/>
        <d v="2025-05-31T00:00:00"/>
        <d v="2025-03-09T00:00:00"/>
        <d v="2025-03-17T00:00:00"/>
        <d v="2025-03-13T00:00:00"/>
        <d v="2025-06-16T00:00:00"/>
        <d v="2025-04-30T00:00:00"/>
        <d v="2025-02-23T00:00:00"/>
        <d v="2025-01-11T00:00:00"/>
        <d v="2025-05-24T00:00:00"/>
        <d v="2025-04-02T00:00:00"/>
        <d v="2025-04-17T00:00:00"/>
        <d v="2025-01-27T00:00:00"/>
        <d v="2025-07-01T00:00:00"/>
        <d v="2025-01-18T00:00:00"/>
        <d v="2025-04-20T00:00:00"/>
        <d v="2025-02-28T00:00:00"/>
        <d v="2025-06-13T00:00:00"/>
        <d v="2025-05-05T00:00:00"/>
        <d v="2025-05-03T00:00:00"/>
        <d v="2025-06-23T00:00:00"/>
        <d v="2025-06-19T00:00:00"/>
        <d v="2025-03-14T00:00:00"/>
        <d v="2025-04-25T00:00:00"/>
        <d v="2025-02-09T00:00:00"/>
        <d v="2025-01-16T00:00:00"/>
        <d v="2025-05-11T00:00:00"/>
        <d v="2025-02-16T00:00:00"/>
        <d v="2025-06-02T00:00:00"/>
        <d v="2025-06-18T00:00:00"/>
        <d v="2025-04-01T00:00:00"/>
        <d v="2025-05-06T00:00:00"/>
        <d v="2025-03-15T00:00:00"/>
        <d v="2025-03-12T00:00:00"/>
        <d v="2025-02-12T00:00:00"/>
        <d v="2025-05-13T00:00:00"/>
        <d v="2025-07-03T00:00:00"/>
        <d v="2025-05-15T00:00:00"/>
        <d v="2025-05-08T00:00:00"/>
        <d v="2025-05-01T00:00:00"/>
        <d v="2025-02-05T00:00:00"/>
        <d v="2025-04-16T00:00:00"/>
        <d v="2025-02-24T00:00:00"/>
        <d v="2025-05-16T00:00:00"/>
        <d v="2025-03-06T00:00:00"/>
        <d v="2025-06-15T00:00:00"/>
        <d v="2025-06-01T00:00:00"/>
        <d v="2025-01-13T00:00:00"/>
        <d v="2025-06-11T00:00:00"/>
        <d v="2025-03-05T00:00:00"/>
        <d v="2025-03-21T00:00:00"/>
        <d v="2025-01-15T00:00:00"/>
        <d v="2025-06-29T00:00:00"/>
        <d v="2025-04-23T00:00:00"/>
        <d v="2025-06-22T00:00:00"/>
        <d v="2025-05-10T00:00:00"/>
        <d v="2025-04-09T00:00:00"/>
        <d v="2025-03-20T00:00:00"/>
        <d v="2025-05-27T00:00:00"/>
        <d v="2025-04-22T00:00:00"/>
        <d v="2025-05-28T00:00:00"/>
        <d v="2025-04-26T00:00:00"/>
        <d v="2025-03-27T00:00:00"/>
        <d v="2025-06-26T00:00:00"/>
        <d v="2025-01-29T00:00:00"/>
        <d v="2025-04-08T00:00:00"/>
        <d v="2025-01-20T00:00:00"/>
        <d v="2025-05-29T00:00:00"/>
        <d v="2025-01-12T00:00:00"/>
        <d v="2025-02-01T00:00:00"/>
        <d v="2025-05-04T00:00:00"/>
        <d v="2025-06-05T00:00:00"/>
        <d v="2025-04-28T00:00:00"/>
        <d v="2025-03-18T00:00:00"/>
        <d v="2025-04-03T00:00:00"/>
        <d v="2025-04-15T00:00:00"/>
        <d v="2025-02-20T00:00:00"/>
        <d v="2025-01-05T00:00:00"/>
        <d v="2025-01-25T00:00:00"/>
        <d v="2025-03-28T00:00:00"/>
        <d v="2025-01-03T00:00:00"/>
        <d v="2025-05-23T00:00:00"/>
        <d v="2025-04-10T00:00:00"/>
        <d v="2025-02-06T00:00:00"/>
        <d v="2025-01-23T00:00:00"/>
        <d v="2025-06-21T00:00:00"/>
        <d v="2025-03-01T00:00:00"/>
        <d v="2025-03-16T00:00:00"/>
        <d v="2025-06-03T00:00:00"/>
        <d v="2025-06-30T00:00:00"/>
        <d v="2025-04-07T00:00:00"/>
        <d v="2025-01-06T00:00:00"/>
        <d v="2025-07-02T00:00:00"/>
        <d v="2025-03-03T00:00:00"/>
        <d v="2025-02-18T00:00:00"/>
        <d v="2025-01-14T00:00:00"/>
        <d v="2025-05-25T00:00:00"/>
        <d v="2025-06-10T00:00:00"/>
        <d v="2025-04-05T00:00:00"/>
        <d v="2025-04-19T00:00:00"/>
        <d v="2025-02-04T00:00:00"/>
        <d v="2025-02-11T00:00:00"/>
        <d v="2025-05-21T00:00:00"/>
        <d v="2025-03-04T00:00:00"/>
        <d v="2025-03-29T00:00:00"/>
        <d v="2025-04-13T00:00:00"/>
        <d v="2025-01-26T00:00:00"/>
        <d v="2025-05-20T00:00:00"/>
        <d v="2025-06-27T00:00:00"/>
        <d v="2025-03-08T00:00:00"/>
        <d v="2025-04-12T00:00:00"/>
        <d v="2025-05-12T00:00:00"/>
        <d v="2025-01-28T00:00:00"/>
        <d v="2025-04-24T00:00:00"/>
        <d v="2025-04-04T00:00:00"/>
        <d v="2025-06-04T00:00:00"/>
        <d v="2025-03-23T00:00:00"/>
        <d v="2025-02-08T00:00:00"/>
        <d v="2025-03-22T00:00:00"/>
        <d v="2025-06-07T00:00:00"/>
        <d v="2025-02-07T00:00:00"/>
        <d v="2025-01-17T00:00:00"/>
        <d v="2025-03-30T00:00:00"/>
        <d v="2025-06-14T00:00:00"/>
        <d v="2025-04-06T00:00:00"/>
        <d v="2025-03-19T00:00:00"/>
        <d v="2025-02-27T00:00:00"/>
        <d v="2025-06-17T00:00:00"/>
        <d v="2025-07-04T00:00:00"/>
        <d v="2025-06-24T00:00:00"/>
        <d v="2025-01-10T00:00:00"/>
        <d v="2025-04-14T00:00:00"/>
        <d v="2025-02-22T00:00:00"/>
        <d v="2025-03-02T00:00:00"/>
        <d v="2025-03-11T00:00:00"/>
        <d v="2025-06-28T00:00:00"/>
        <d v="2025-05-17T00:00:00"/>
        <d v="2025-01-31T00:00:00"/>
        <d v="2025-06-06T00:00:00"/>
        <d v="2025-03-24T00:00:00"/>
        <d v="2025-03-07T00:00:00"/>
        <d v="2025-02-21T00:00:00"/>
        <d v="2025-05-02T00:00:00"/>
        <d v="2025-06-12T00:00:00"/>
      </sharedItems>
      <fieldGroup par="19"/>
    </cacheField>
    <cacheField name="State" numFmtId="0">
      <sharedItems/>
    </cacheField>
    <cacheField name="Region" numFmtId="0">
      <sharedItems count="4">
        <s v="North"/>
        <s v="West"/>
        <s v="East"/>
        <s v="South"/>
      </sharedItems>
    </cacheField>
    <cacheField name="Category" numFmtId="0">
      <sharedItems count="5">
        <s v="Electronics"/>
        <s v="Grocery"/>
        <s v="Books"/>
        <s v="Clothing"/>
        <s v="Home Decor"/>
      </sharedItems>
    </cacheField>
    <cacheField name="Product" numFmtId="0">
      <sharedItems count="20">
        <s v="Smartphone"/>
        <s v="Milk"/>
        <s v="Headphones"/>
        <s v="Smartwatch"/>
        <s v="Laptop"/>
        <s v="Biography"/>
        <s v="Comics"/>
        <s v="Novel"/>
        <s v="T-shirt"/>
        <s v="Dress"/>
        <s v="Oil"/>
        <s v="Textbook"/>
        <s v="Jeans"/>
        <s v="Rice"/>
        <s v="Biscuits"/>
        <s v="Jacket"/>
        <s v="Sofa"/>
        <s v="Curtain"/>
        <s v="Table"/>
        <s v="Lamp"/>
      </sharedItems>
    </cacheField>
    <cacheField name="Quantity" numFmtId="0">
      <sharedItems containsSemiMixedTypes="0" containsString="0" containsNumber="1" containsInteger="1" minValue="1" maxValue="5"/>
    </cacheField>
    <cacheField name="Unit Price (?)" numFmtId="0">
      <sharedItems containsSemiMixedTypes="0" containsString="0" containsNumber="1" minValue="103.31" maxValue="4997.28"/>
    </cacheField>
    <cacheField name="Discount Rate" numFmtId="0">
      <sharedItems containsSemiMixedTypes="0" containsString="0" containsNumber="1" minValue="0" maxValue="0.25"/>
    </cacheField>
    <cacheField name="Total Price (?)" numFmtId="0">
      <sharedItems containsSemiMixedTypes="0" containsString="0" containsNumber="1" minValue="92.68" maxValue="24951.1"/>
    </cacheField>
    <cacheField name="Payment Type" numFmtId="0">
      <sharedItems/>
    </cacheField>
    <cacheField name="Customer Segment" numFmtId="0">
      <sharedItems count="3">
        <s v="Regular"/>
        <s v="First-Time"/>
        <s v="Prime"/>
      </sharedItems>
    </cacheField>
    <cacheField name="Shipping Method" numFmtId="0">
      <sharedItems count="3">
        <s v="Same-Day"/>
        <s v="Express"/>
        <s v="Standard"/>
      </sharedItems>
    </cacheField>
    <cacheField name="Delivery Status" numFmtId="0">
      <sharedItems count="4">
        <s v="Delivered"/>
        <s v="Returned"/>
        <s v="In Transit"/>
        <s v="Cancelled"/>
      </sharedItems>
    </cacheField>
    <cacheField name="Gross Revenue" numFmtId="0">
      <sharedItems containsSemiMixedTypes="0" containsString="0" containsNumber="1" minValue="105.32" maxValue="24973.3"/>
    </cacheField>
    <cacheField name="Day of Week" numFmtId="0">
      <sharedItems count="7">
        <s v="Wednesday"/>
        <s v="Friday"/>
        <s v="Tuesday"/>
        <s v="Monday"/>
        <s v="Saturday"/>
        <s v="Thursday"/>
        <s v="Sunday"/>
      </sharedItems>
    </cacheField>
    <cacheField name="Month" numFmtId="0">
      <sharedItems count="7">
        <s v="May"/>
        <s v="Jan"/>
        <s v="Feb"/>
        <s v="Jun"/>
        <s v="Apr"/>
        <s v="Mar"/>
        <s v="Jul"/>
      </sharedItems>
    </cacheField>
    <cacheField name="High Value Flag" numFmtId="0">
      <sharedItems count="2">
        <s v="High Value"/>
        <s v="Normal"/>
      </sharedItems>
    </cacheField>
    <cacheField name="Days (Order Date)" numFmtId="0" databaseField="0">
      <fieldGroup base="1">
        <rangePr groupBy="days" startDate="2025-01-03T00:00:00" endDate="2025-07-05T00:00:00"/>
        <groupItems count="368">
          <s v="&lt;03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5-07-2025"/>
        </groupItems>
      </fieldGroup>
    </cacheField>
    <cacheField name="Months (Order Date)" numFmtId="0" databaseField="0">
      <fieldGroup base="1">
        <rangePr groupBy="months" startDate="2025-01-03T00:00:00" endDate="2025-07-05T00:00:00"/>
        <groupItems count="14">
          <s v="&lt;03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5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ORD0001"/>
    <x v="0"/>
    <s v="Karnataka"/>
    <x v="0"/>
    <x v="0"/>
    <x v="0"/>
    <n v="2"/>
    <n v="3708.71"/>
    <n v="0.17"/>
    <n v="6156.46"/>
    <s v="Debit Card"/>
    <x v="0"/>
    <x v="0"/>
    <x v="0"/>
    <n v="7417.42"/>
    <x v="0"/>
    <x v="0"/>
    <x v="0"/>
  </r>
  <r>
    <s v="ORD0002"/>
    <x v="1"/>
    <s v="Maharashtra"/>
    <x v="1"/>
    <x v="0"/>
    <x v="0"/>
    <n v="5"/>
    <n v="3049.89"/>
    <n v="0.14000000000000001"/>
    <n v="13114.53"/>
    <s v="Debit Card"/>
    <x v="0"/>
    <x v="0"/>
    <x v="0"/>
    <n v="15249.449999999999"/>
    <x v="1"/>
    <x v="1"/>
    <x v="0"/>
  </r>
  <r>
    <s v="ORD0003"/>
    <x v="2"/>
    <s v="Maharashtra"/>
    <x v="0"/>
    <x v="1"/>
    <x v="1"/>
    <n v="4"/>
    <n v="1767.23"/>
    <n v="0.04"/>
    <n v="6786.16"/>
    <s v="Debit Card"/>
    <x v="1"/>
    <x v="1"/>
    <x v="0"/>
    <n v="7068.92"/>
    <x v="2"/>
    <x v="1"/>
    <x v="0"/>
  </r>
  <r>
    <s v="ORD0004"/>
    <x v="3"/>
    <s v="Karnataka"/>
    <x v="0"/>
    <x v="0"/>
    <x v="2"/>
    <n v="1"/>
    <n v="3675.69"/>
    <n v="0.13"/>
    <n v="3197.85"/>
    <s v="COD"/>
    <x v="2"/>
    <x v="1"/>
    <x v="0"/>
    <n v="3675.69"/>
    <x v="3"/>
    <x v="0"/>
    <x v="0"/>
  </r>
  <r>
    <s v="ORD0005"/>
    <x v="4"/>
    <s v="Gujarat"/>
    <x v="0"/>
    <x v="1"/>
    <x v="1"/>
    <n v="1"/>
    <n v="324.54000000000002"/>
    <n v="0.06"/>
    <n v="305.07"/>
    <s v="Debit Card"/>
    <x v="1"/>
    <x v="1"/>
    <x v="1"/>
    <n v="324.54000000000002"/>
    <x v="2"/>
    <x v="2"/>
    <x v="1"/>
  </r>
  <r>
    <s v="ORD0006"/>
    <x v="5"/>
    <s v="Karnataka"/>
    <x v="2"/>
    <x v="0"/>
    <x v="3"/>
    <n v="3"/>
    <n v="897.01"/>
    <n v="0.09"/>
    <n v="2448.84"/>
    <s v="Net Banking"/>
    <x v="1"/>
    <x v="0"/>
    <x v="0"/>
    <n v="2691.0299999999997"/>
    <x v="0"/>
    <x v="2"/>
    <x v="0"/>
  </r>
  <r>
    <s v="ORD0007"/>
    <x v="6"/>
    <s v="Gujarat"/>
    <x v="3"/>
    <x v="0"/>
    <x v="4"/>
    <n v="4"/>
    <n v="1959.33"/>
    <n v="0.25"/>
    <n v="5877.99"/>
    <s v="Debit Card"/>
    <x v="0"/>
    <x v="0"/>
    <x v="0"/>
    <n v="7837.32"/>
    <x v="4"/>
    <x v="2"/>
    <x v="0"/>
  </r>
  <r>
    <s v="ORD0008"/>
    <x v="7"/>
    <s v="Maharashtra"/>
    <x v="2"/>
    <x v="0"/>
    <x v="4"/>
    <n v="3"/>
    <n v="424.32"/>
    <n v="0.23"/>
    <n v="980.18"/>
    <s v="UPI"/>
    <x v="2"/>
    <x v="0"/>
    <x v="0"/>
    <n v="1272.96"/>
    <x v="5"/>
    <x v="1"/>
    <x v="1"/>
  </r>
  <r>
    <s v="ORD0009"/>
    <x v="3"/>
    <s v="Tamil Nadu"/>
    <x v="1"/>
    <x v="2"/>
    <x v="5"/>
    <n v="2"/>
    <n v="1308.47"/>
    <n v="0.14000000000000001"/>
    <n v="2250.5700000000002"/>
    <s v="Debit Card"/>
    <x v="2"/>
    <x v="1"/>
    <x v="1"/>
    <n v="2616.94"/>
    <x v="3"/>
    <x v="0"/>
    <x v="0"/>
  </r>
  <r>
    <s v="ORD0010"/>
    <x v="8"/>
    <s v="Delhi"/>
    <x v="3"/>
    <x v="2"/>
    <x v="6"/>
    <n v="4"/>
    <n v="545.46"/>
    <n v="0.01"/>
    <n v="2160.02"/>
    <s v="Debit Card"/>
    <x v="1"/>
    <x v="2"/>
    <x v="0"/>
    <n v="2181.84"/>
    <x v="0"/>
    <x v="1"/>
    <x v="0"/>
  </r>
  <r>
    <s v="ORD0011"/>
    <x v="9"/>
    <s v="Tamil Nadu"/>
    <x v="0"/>
    <x v="2"/>
    <x v="7"/>
    <n v="4"/>
    <n v="2692.66"/>
    <n v="0.24"/>
    <n v="8185.69"/>
    <s v="Net Banking"/>
    <x v="1"/>
    <x v="2"/>
    <x v="0"/>
    <n v="10770.64"/>
    <x v="0"/>
    <x v="0"/>
    <x v="0"/>
  </r>
  <r>
    <s v="ORD0012"/>
    <x v="3"/>
    <s v="Karnataka"/>
    <x v="2"/>
    <x v="1"/>
    <x v="1"/>
    <n v="4"/>
    <n v="874.97"/>
    <n v="0"/>
    <n v="3499.88"/>
    <s v="Credit Card"/>
    <x v="2"/>
    <x v="0"/>
    <x v="2"/>
    <n v="3499.88"/>
    <x v="3"/>
    <x v="0"/>
    <x v="0"/>
  </r>
  <r>
    <s v="ORD0013"/>
    <x v="10"/>
    <s v="Karnataka"/>
    <x v="0"/>
    <x v="3"/>
    <x v="8"/>
    <n v="2"/>
    <n v="848.91"/>
    <n v="0.19"/>
    <n v="1375.23"/>
    <s v="COD"/>
    <x v="1"/>
    <x v="0"/>
    <x v="0"/>
    <n v="1697.82"/>
    <x v="0"/>
    <x v="3"/>
    <x v="0"/>
  </r>
  <r>
    <s v="ORD0014"/>
    <x v="11"/>
    <s v="Maharashtra"/>
    <x v="0"/>
    <x v="2"/>
    <x v="7"/>
    <n v="2"/>
    <n v="383.83"/>
    <n v="0.22"/>
    <n v="598.77"/>
    <s v="UPI"/>
    <x v="2"/>
    <x v="2"/>
    <x v="0"/>
    <n v="767.66"/>
    <x v="1"/>
    <x v="4"/>
    <x v="1"/>
  </r>
  <r>
    <s v="ORD0015"/>
    <x v="12"/>
    <s v="Delhi"/>
    <x v="3"/>
    <x v="0"/>
    <x v="4"/>
    <n v="2"/>
    <n v="1398.78"/>
    <n v="0.22"/>
    <n v="2182.1"/>
    <s v="Net Banking"/>
    <x v="1"/>
    <x v="1"/>
    <x v="1"/>
    <n v="2797.56"/>
    <x v="6"/>
    <x v="1"/>
    <x v="0"/>
  </r>
  <r>
    <s v="ORD0016"/>
    <x v="13"/>
    <s v="Tamil Nadu"/>
    <x v="2"/>
    <x v="3"/>
    <x v="9"/>
    <n v="5"/>
    <n v="2312.2800000000002"/>
    <n v="0.06"/>
    <n v="10867.72"/>
    <s v="UPI"/>
    <x v="2"/>
    <x v="2"/>
    <x v="0"/>
    <n v="11561.400000000001"/>
    <x v="6"/>
    <x v="4"/>
    <x v="0"/>
  </r>
  <r>
    <s v="ORD0017"/>
    <x v="14"/>
    <s v="Gujarat"/>
    <x v="0"/>
    <x v="1"/>
    <x v="10"/>
    <n v="1"/>
    <n v="3568.42"/>
    <n v="0.01"/>
    <n v="3532.74"/>
    <s v="Debit Card"/>
    <x v="0"/>
    <x v="2"/>
    <x v="1"/>
    <n v="3568.42"/>
    <x v="2"/>
    <x v="5"/>
    <x v="0"/>
  </r>
  <r>
    <s v="ORD0018"/>
    <x v="15"/>
    <s v="Karnataka"/>
    <x v="1"/>
    <x v="0"/>
    <x v="4"/>
    <n v="5"/>
    <n v="748.33"/>
    <n v="0.23"/>
    <n v="2881.07"/>
    <s v="Net Banking"/>
    <x v="0"/>
    <x v="0"/>
    <x v="0"/>
    <n v="3741.65"/>
    <x v="5"/>
    <x v="1"/>
    <x v="0"/>
  </r>
  <r>
    <s v="ORD0019"/>
    <x v="16"/>
    <s v="Delhi"/>
    <x v="0"/>
    <x v="2"/>
    <x v="5"/>
    <n v="4"/>
    <n v="1836.06"/>
    <n v="0.1"/>
    <n v="6609.82"/>
    <s v="Credit Card"/>
    <x v="0"/>
    <x v="0"/>
    <x v="0"/>
    <n v="7344.24"/>
    <x v="0"/>
    <x v="1"/>
    <x v="0"/>
  </r>
  <r>
    <s v="ORD0020"/>
    <x v="17"/>
    <s v="Tamil Nadu"/>
    <x v="1"/>
    <x v="0"/>
    <x v="0"/>
    <n v="2"/>
    <n v="1038.79"/>
    <n v="0.13"/>
    <n v="1807.49"/>
    <s v="UPI"/>
    <x v="0"/>
    <x v="2"/>
    <x v="0"/>
    <n v="2077.58"/>
    <x v="2"/>
    <x v="1"/>
    <x v="0"/>
  </r>
  <r>
    <s v="ORD0021"/>
    <x v="18"/>
    <s v="Maharashtra"/>
    <x v="0"/>
    <x v="2"/>
    <x v="11"/>
    <n v="1"/>
    <n v="347.88"/>
    <n v="0.25"/>
    <n v="260.91000000000003"/>
    <s v="Net Banking"/>
    <x v="1"/>
    <x v="2"/>
    <x v="1"/>
    <n v="347.88"/>
    <x v="1"/>
    <x v="2"/>
    <x v="1"/>
  </r>
  <r>
    <s v="ORD0022"/>
    <x v="19"/>
    <s v="Tamil Nadu"/>
    <x v="1"/>
    <x v="3"/>
    <x v="12"/>
    <n v="2"/>
    <n v="4336.79"/>
    <n v="0.23"/>
    <n v="6678.66"/>
    <s v="Net Banking"/>
    <x v="2"/>
    <x v="2"/>
    <x v="0"/>
    <n v="8673.58"/>
    <x v="3"/>
    <x v="2"/>
    <x v="0"/>
  </r>
  <r>
    <s v="ORD0023"/>
    <x v="20"/>
    <s v="Tamil Nadu"/>
    <x v="2"/>
    <x v="2"/>
    <x v="6"/>
    <n v="5"/>
    <n v="3343.17"/>
    <n v="0.12"/>
    <n v="14709.95"/>
    <s v="UPI"/>
    <x v="2"/>
    <x v="2"/>
    <x v="0"/>
    <n v="16715.849999999999"/>
    <x v="1"/>
    <x v="4"/>
    <x v="0"/>
  </r>
  <r>
    <s v="ORD0024"/>
    <x v="21"/>
    <s v="Karnataka"/>
    <x v="3"/>
    <x v="0"/>
    <x v="0"/>
    <n v="5"/>
    <n v="2436.2600000000002"/>
    <n v="0.23"/>
    <n v="9379.6"/>
    <s v="Credit Card"/>
    <x v="0"/>
    <x v="0"/>
    <x v="0"/>
    <n v="12181.300000000001"/>
    <x v="2"/>
    <x v="4"/>
    <x v="0"/>
  </r>
  <r>
    <s v="ORD0025"/>
    <x v="16"/>
    <s v="Delhi"/>
    <x v="3"/>
    <x v="1"/>
    <x v="13"/>
    <n v="1"/>
    <n v="3408.54"/>
    <n v="0.06"/>
    <n v="3204.03"/>
    <s v="Credit Card"/>
    <x v="1"/>
    <x v="2"/>
    <x v="0"/>
    <n v="3408.54"/>
    <x v="0"/>
    <x v="1"/>
    <x v="0"/>
  </r>
  <r>
    <s v="ORD0026"/>
    <x v="22"/>
    <s v="Tamil Nadu"/>
    <x v="2"/>
    <x v="0"/>
    <x v="0"/>
    <n v="5"/>
    <n v="1650.21"/>
    <n v="7.0000000000000007E-2"/>
    <n v="7673.48"/>
    <s v="COD"/>
    <x v="1"/>
    <x v="0"/>
    <x v="0"/>
    <n v="8251.0499999999993"/>
    <x v="3"/>
    <x v="4"/>
    <x v="0"/>
  </r>
  <r>
    <s v="ORD0027"/>
    <x v="23"/>
    <s v="Karnataka"/>
    <x v="0"/>
    <x v="2"/>
    <x v="11"/>
    <n v="1"/>
    <n v="145.65"/>
    <n v="0.16"/>
    <n v="122.35"/>
    <s v="Net Banking"/>
    <x v="2"/>
    <x v="0"/>
    <x v="0"/>
    <n v="145.65"/>
    <x v="3"/>
    <x v="2"/>
    <x v="1"/>
  </r>
  <r>
    <s v="ORD0028"/>
    <x v="24"/>
    <s v="Delhi"/>
    <x v="2"/>
    <x v="3"/>
    <x v="9"/>
    <n v="2"/>
    <n v="1910.68"/>
    <n v="0.04"/>
    <n v="3668.51"/>
    <s v="UPI"/>
    <x v="0"/>
    <x v="0"/>
    <x v="0"/>
    <n v="3821.36"/>
    <x v="5"/>
    <x v="0"/>
    <x v="0"/>
  </r>
  <r>
    <s v="ORD0029"/>
    <x v="25"/>
    <s v="Gujarat"/>
    <x v="0"/>
    <x v="1"/>
    <x v="13"/>
    <n v="1"/>
    <n v="4700.76"/>
    <n v="0.03"/>
    <n v="4559.74"/>
    <s v="UPI"/>
    <x v="1"/>
    <x v="2"/>
    <x v="0"/>
    <n v="4700.76"/>
    <x v="1"/>
    <x v="0"/>
    <x v="0"/>
  </r>
  <r>
    <s v="ORD0030"/>
    <x v="26"/>
    <s v="Karnataka"/>
    <x v="1"/>
    <x v="3"/>
    <x v="9"/>
    <n v="3"/>
    <n v="1097.6300000000001"/>
    <n v="0.16"/>
    <n v="2766.03"/>
    <s v="COD"/>
    <x v="0"/>
    <x v="1"/>
    <x v="0"/>
    <n v="3292.8900000000003"/>
    <x v="3"/>
    <x v="0"/>
    <x v="0"/>
  </r>
  <r>
    <s v="ORD0031"/>
    <x v="11"/>
    <s v="Tamil Nadu"/>
    <x v="3"/>
    <x v="0"/>
    <x v="0"/>
    <n v="1"/>
    <n v="1734.43"/>
    <n v="0.03"/>
    <n v="1682.4"/>
    <s v="UPI"/>
    <x v="0"/>
    <x v="1"/>
    <x v="0"/>
    <n v="1734.43"/>
    <x v="1"/>
    <x v="4"/>
    <x v="0"/>
  </r>
  <r>
    <s v="ORD0032"/>
    <x v="14"/>
    <s v="Gujarat"/>
    <x v="0"/>
    <x v="1"/>
    <x v="14"/>
    <n v="1"/>
    <n v="4730.75"/>
    <n v="0.17"/>
    <n v="3926.52"/>
    <s v="Credit Card"/>
    <x v="0"/>
    <x v="2"/>
    <x v="3"/>
    <n v="4730.75"/>
    <x v="2"/>
    <x v="5"/>
    <x v="0"/>
  </r>
  <r>
    <s v="ORD0033"/>
    <x v="18"/>
    <s v="Tamil Nadu"/>
    <x v="2"/>
    <x v="1"/>
    <x v="10"/>
    <n v="3"/>
    <n v="1886.79"/>
    <n v="0.23"/>
    <n v="4358.4799999999996"/>
    <s v="Debit Card"/>
    <x v="0"/>
    <x v="2"/>
    <x v="0"/>
    <n v="5660.37"/>
    <x v="1"/>
    <x v="2"/>
    <x v="0"/>
  </r>
  <r>
    <s v="ORD0034"/>
    <x v="27"/>
    <s v="Karnataka"/>
    <x v="3"/>
    <x v="3"/>
    <x v="8"/>
    <n v="5"/>
    <n v="3772.44"/>
    <n v="0.23"/>
    <n v="14523.89"/>
    <s v="COD"/>
    <x v="2"/>
    <x v="2"/>
    <x v="2"/>
    <n v="18862.2"/>
    <x v="3"/>
    <x v="5"/>
    <x v="0"/>
  </r>
  <r>
    <s v="ORD0035"/>
    <x v="13"/>
    <s v="Maharashtra"/>
    <x v="3"/>
    <x v="3"/>
    <x v="15"/>
    <n v="3"/>
    <n v="3933.69"/>
    <n v="0.1"/>
    <n v="10620.96"/>
    <s v="Debit Card"/>
    <x v="1"/>
    <x v="0"/>
    <x v="0"/>
    <n v="11801.07"/>
    <x v="6"/>
    <x v="4"/>
    <x v="0"/>
  </r>
  <r>
    <s v="ORD0036"/>
    <x v="28"/>
    <s v="Maharashtra"/>
    <x v="3"/>
    <x v="0"/>
    <x v="3"/>
    <n v="2"/>
    <n v="4101.2700000000004"/>
    <n v="0.12"/>
    <n v="7218.24"/>
    <s v="Net Banking"/>
    <x v="0"/>
    <x v="1"/>
    <x v="0"/>
    <n v="8202.5400000000009"/>
    <x v="0"/>
    <x v="2"/>
    <x v="0"/>
  </r>
  <r>
    <s v="ORD0037"/>
    <x v="29"/>
    <s v="Karnataka"/>
    <x v="2"/>
    <x v="3"/>
    <x v="15"/>
    <n v="3"/>
    <n v="1820.62"/>
    <n v="0.13"/>
    <n v="4751.82"/>
    <s v="UPI"/>
    <x v="0"/>
    <x v="0"/>
    <x v="1"/>
    <n v="5461.86"/>
    <x v="3"/>
    <x v="3"/>
    <x v="0"/>
  </r>
  <r>
    <s v="ORD0038"/>
    <x v="30"/>
    <s v="Delhi"/>
    <x v="2"/>
    <x v="0"/>
    <x v="2"/>
    <n v="1"/>
    <n v="631.16999999999996"/>
    <n v="0.11"/>
    <n v="561.74"/>
    <s v="COD"/>
    <x v="2"/>
    <x v="0"/>
    <x v="0"/>
    <n v="631.16999999999996"/>
    <x v="1"/>
    <x v="3"/>
    <x v="1"/>
  </r>
  <r>
    <s v="ORD0039"/>
    <x v="31"/>
    <s v="Tamil Nadu"/>
    <x v="3"/>
    <x v="1"/>
    <x v="13"/>
    <n v="3"/>
    <n v="317.49"/>
    <n v="0.11"/>
    <n v="847.7"/>
    <s v="COD"/>
    <x v="0"/>
    <x v="0"/>
    <x v="0"/>
    <n v="952.47"/>
    <x v="4"/>
    <x v="1"/>
    <x v="1"/>
  </r>
  <r>
    <s v="ORD0040"/>
    <x v="32"/>
    <s v="Gujarat"/>
    <x v="1"/>
    <x v="0"/>
    <x v="2"/>
    <n v="1"/>
    <n v="3626.8"/>
    <n v="0.08"/>
    <n v="3336.66"/>
    <s v="UPI"/>
    <x v="1"/>
    <x v="1"/>
    <x v="0"/>
    <n v="3626.8"/>
    <x v="1"/>
    <x v="0"/>
    <x v="0"/>
  </r>
  <r>
    <s v="ORD0041"/>
    <x v="33"/>
    <s v="Delhi"/>
    <x v="2"/>
    <x v="4"/>
    <x v="16"/>
    <n v="4"/>
    <n v="3418.86"/>
    <n v="0.23"/>
    <n v="10530.09"/>
    <s v="Net Banking"/>
    <x v="1"/>
    <x v="0"/>
    <x v="0"/>
    <n v="13675.44"/>
    <x v="6"/>
    <x v="3"/>
    <x v="0"/>
  </r>
  <r>
    <s v="ORD0042"/>
    <x v="34"/>
    <s v="Karnataka"/>
    <x v="1"/>
    <x v="0"/>
    <x v="2"/>
    <n v="5"/>
    <n v="3072.64"/>
    <n v="0.08"/>
    <n v="14134.14"/>
    <s v="Debit Card"/>
    <x v="2"/>
    <x v="1"/>
    <x v="0"/>
    <n v="15363.199999999999"/>
    <x v="3"/>
    <x v="2"/>
    <x v="0"/>
  </r>
  <r>
    <s v="ORD0043"/>
    <x v="35"/>
    <s v="Delhi"/>
    <x v="3"/>
    <x v="1"/>
    <x v="14"/>
    <n v="5"/>
    <n v="3352.88"/>
    <n v="0.15"/>
    <n v="14249.74"/>
    <s v="Credit Card"/>
    <x v="2"/>
    <x v="2"/>
    <x v="0"/>
    <n v="16764.400000000001"/>
    <x v="6"/>
    <x v="0"/>
    <x v="0"/>
  </r>
  <r>
    <s v="ORD0044"/>
    <x v="36"/>
    <s v="Delhi"/>
    <x v="1"/>
    <x v="3"/>
    <x v="12"/>
    <n v="2"/>
    <n v="4921.29"/>
    <n v="0.15"/>
    <n v="8366.19"/>
    <s v="Credit Card"/>
    <x v="0"/>
    <x v="2"/>
    <x v="0"/>
    <n v="9842.58"/>
    <x v="0"/>
    <x v="5"/>
    <x v="0"/>
  </r>
  <r>
    <s v="ORD0045"/>
    <x v="37"/>
    <s v="Tamil Nadu"/>
    <x v="1"/>
    <x v="1"/>
    <x v="10"/>
    <n v="2"/>
    <n v="823.1"/>
    <n v="0.17"/>
    <n v="1366.35"/>
    <s v="Net Banking"/>
    <x v="2"/>
    <x v="2"/>
    <x v="0"/>
    <n v="1646.2"/>
    <x v="3"/>
    <x v="5"/>
    <x v="0"/>
  </r>
  <r>
    <s v="ORD0046"/>
    <x v="4"/>
    <s v="Maharashtra"/>
    <x v="2"/>
    <x v="1"/>
    <x v="14"/>
    <n v="1"/>
    <n v="2336.66"/>
    <n v="0.2"/>
    <n v="1869.33"/>
    <s v="COD"/>
    <x v="0"/>
    <x v="0"/>
    <x v="2"/>
    <n v="2336.66"/>
    <x v="2"/>
    <x v="2"/>
    <x v="0"/>
  </r>
  <r>
    <s v="ORD0047"/>
    <x v="38"/>
    <s v="Gujarat"/>
    <x v="2"/>
    <x v="2"/>
    <x v="5"/>
    <n v="4"/>
    <n v="2305.34"/>
    <n v="0.19"/>
    <n v="7469.3"/>
    <s v="Net Banking"/>
    <x v="0"/>
    <x v="0"/>
    <x v="3"/>
    <n v="9221.36"/>
    <x v="6"/>
    <x v="2"/>
    <x v="0"/>
  </r>
  <r>
    <s v="ORD0048"/>
    <x v="39"/>
    <s v="Delhi"/>
    <x v="2"/>
    <x v="1"/>
    <x v="14"/>
    <n v="1"/>
    <n v="3596.37"/>
    <n v="0.06"/>
    <n v="3380.59"/>
    <s v="UPI"/>
    <x v="2"/>
    <x v="1"/>
    <x v="1"/>
    <n v="3596.37"/>
    <x v="5"/>
    <x v="2"/>
    <x v="0"/>
  </r>
  <r>
    <s v="ORD0049"/>
    <x v="40"/>
    <s v="Delhi"/>
    <x v="2"/>
    <x v="0"/>
    <x v="4"/>
    <n v="2"/>
    <n v="3561.45"/>
    <n v="0.02"/>
    <n v="6980.44"/>
    <s v="Debit Card"/>
    <x v="2"/>
    <x v="1"/>
    <x v="0"/>
    <n v="7122.9"/>
    <x v="4"/>
    <x v="0"/>
    <x v="0"/>
  </r>
  <r>
    <s v="ORD0050"/>
    <x v="41"/>
    <s v="Delhi"/>
    <x v="1"/>
    <x v="2"/>
    <x v="7"/>
    <n v="5"/>
    <n v="4735.7"/>
    <n v="0"/>
    <n v="23678.5"/>
    <s v="Net Banking"/>
    <x v="2"/>
    <x v="0"/>
    <x v="0"/>
    <n v="23678.5"/>
    <x v="6"/>
    <x v="5"/>
    <x v="0"/>
  </r>
  <r>
    <s v="ORD0051"/>
    <x v="8"/>
    <s v="Tamil Nadu"/>
    <x v="3"/>
    <x v="4"/>
    <x v="17"/>
    <n v="5"/>
    <n v="4019.35"/>
    <n v="0.22"/>
    <n v="15675.47"/>
    <s v="Net Banking"/>
    <x v="1"/>
    <x v="1"/>
    <x v="0"/>
    <n v="20096.75"/>
    <x v="0"/>
    <x v="1"/>
    <x v="0"/>
  </r>
  <r>
    <s v="ORD0052"/>
    <x v="17"/>
    <s v="Tamil Nadu"/>
    <x v="0"/>
    <x v="2"/>
    <x v="7"/>
    <n v="4"/>
    <n v="3648.49"/>
    <n v="0.21"/>
    <n v="11529.23"/>
    <s v="UPI"/>
    <x v="1"/>
    <x v="2"/>
    <x v="1"/>
    <n v="14593.96"/>
    <x v="2"/>
    <x v="1"/>
    <x v="0"/>
  </r>
  <r>
    <s v="ORD0053"/>
    <x v="42"/>
    <s v="Maharashtra"/>
    <x v="3"/>
    <x v="1"/>
    <x v="13"/>
    <n v="4"/>
    <n v="990.47"/>
    <n v="7.0000000000000007E-2"/>
    <n v="3684.55"/>
    <s v="Net Banking"/>
    <x v="0"/>
    <x v="1"/>
    <x v="0"/>
    <n v="3961.88"/>
    <x v="3"/>
    <x v="5"/>
    <x v="0"/>
  </r>
  <r>
    <s v="ORD0054"/>
    <x v="17"/>
    <s v="Karnataka"/>
    <x v="2"/>
    <x v="4"/>
    <x v="18"/>
    <n v="1"/>
    <n v="2404.5"/>
    <n v="0.19"/>
    <n v="1947.65"/>
    <s v="Net Banking"/>
    <x v="2"/>
    <x v="2"/>
    <x v="0"/>
    <n v="2404.5"/>
    <x v="2"/>
    <x v="1"/>
    <x v="0"/>
  </r>
  <r>
    <s v="ORD0055"/>
    <x v="43"/>
    <s v="Maharashtra"/>
    <x v="0"/>
    <x v="0"/>
    <x v="0"/>
    <n v="1"/>
    <n v="3144.54"/>
    <n v="0.06"/>
    <n v="2955.87"/>
    <s v="Debit Card"/>
    <x v="0"/>
    <x v="1"/>
    <x v="0"/>
    <n v="3144.54"/>
    <x v="5"/>
    <x v="5"/>
    <x v="0"/>
  </r>
  <r>
    <s v="ORD0056"/>
    <x v="44"/>
    <s v="Karnataka"/>
    <x v="3"/>
    <x v="3"/>
    <x v="15"/>
    <n v="5"/>
    <n v="3075.51"/>
    <n v="0.19"/>
    <n v="12455.82"/>
    <s v="UPI"/>
    <x v="0"/>
    <x v="2"/>
    <x v="2"/>
    <n v="15377.550000000001"/>
    <x v="3"/>
    <x v="3"/>
    <x v="0"/>
  </r>
  <r>
    <s v="ORD0057"/>
    <x v="37"/>
    <s v="Karnataka"/>
    <x v="3"/>
    <x v="0"/>
    <x v="0"/>
    <n v="4"/>
    <n v="2043.61"/>
    <n v="0.18"/>
    <n v="6703.04"/>
    <s v="COD"/>
    <x v="1"/>
    <x v="2"/>
    <x v="0"/>
    <n v="8174.44"/>
    <x v="3"/>
    <x v="5"/>
    <x v="0"/>
  </r>
  <r>
    <s v="ORD0058"/>
    <x v="45"/>
    <s v="Gujarat"/>
    <x v="2"/>
    <x v="4"/>
    <x v="19"/>
    <n v="5"/>
    <n v="2199.0500000000002"/>
    <n v="0.09"/>
    <n v="10005.68"/>
    <s v="Credit Card"/>
    <x v="2"/>
    <x v="0"/>
    <x v="0"/>
    <n v="10995.25"/>
    <x v="0"/>
    <x v="4"/>
    <x v="0"/>
  </r>
  <r>
    <s v="ORD0059"/>
    <x v="46"/>
    <s v="Maharashtra"/>
    <x v="2"/>
    <x v="2"/>
    <x v="5"/>
    <n v="4"/>
    <n v="3565.81"/>
    <n v="0.11"/>
    <n v="12694.28"/>
    <s v="Net Banking"/>
    <x v="2"/>
    <x v="0"/>
    <x v="0"/>
    <n v="14263.24"/>
    <x v="6"/>
    <x v="2"/>
    <x v="0"/>
  </r>
  <r>
    <s v="ORD0060"/>
    <x v="33"/>
    <s v="Tamil Nadu"/>
    <x v="2"/>
    <x v="1"/>
    <x v="14"/>
    <n v="5"/>
    <n v="1415.14"/>
    <n v="0.21"/>
    <n v="5589.8"/>
    <s v="Net Banking"/>
    <x v="1"/>
    <x v="2"/>
    <x v="1"/>
    <n v="7075.7000000000007"/>
    <x v="6"/>
    <x v="3"/>
    <x v="0"/>
  </r>
  <r>
    <s v="ORD0061"/>
    <x v="47"/>
    <s v="Gujarat"/>
    <x v="3"/>
    <x v="3"/>
    <x v="15"/>
    <n v="4"/>
    <n v="1748.34"/>
    <n v="0.12"/>
    <n v="6154.16"/>
    <s v="COD"/>
    <x v="1"/>
    <x v="1"/>
    <x v="0"/>
    <n v="6993.36"/>
    <x v="4"/>
    <x v="1"/>
    <x v="0"/>
  </r>
  <r>
    <s v="ORD0062"/>
    <x v="48"/>
    <s v="Karnataka"/>
    <x v="0"/>
    <x v="4"/>
    <x v="17"/>
    <n v="3"/>
    <n v="2823.38"/>
    <n v="0.13"/>
    <n v="7369.02"/>
    <s v="UPI"/>
    <x v="1"/>
    <x v="2"/>
    <x v="0"/>
    <n v="8470.14"/>
    <x v="4"/>
    <x v="0"/>
    <x v="0"/>
  </r>
  <r>
    <s v="ORD0063"/>
    <x v="49"/>
    <s v="Gujarat"/>
    <x v="0"/>
    <x v="2"/>
    <x v="5"/>
    <n v="4"/>
    <n v="3264.92"/>
    <n v="0.12"/>
    <n v="11492.52"/>
    <s v="Debit Card"/>
    <x v="1"/>
    <x v="2"/>
    <x v="0"/>
    <n v="13059.68"/>
    <x v="0"/>
    <x v="4"/>
    <x v="0"/>
  </r>
  <r>
    <s v="ORD0064"/>
    <x v="50"/>
    <s v="Karnataka"/>
    <x v="2"/>
    <x v="2"/>
    <x v="11"/>
    <n v="4"/>
    <n v="2812.02"/>
    <n v="0.09"/>
    <n v="10235.75"/>
    <s v="COD"/>
    <x v="2"/>
    <x v="0"/>
    <x v="0"/>
    <n v="11248.08"/>
    <x v="5"/>
    <x v="4"/>
    <x v="0"/>
  </r>
  <r>
    <s v="ORD0065"/>
    <x v="51"/>
    <s v="Karnataka"/>
    <x v="3"/>
    <x v="2"/>
    <x v="6"/>
    <n v="1"/>
    <n v="3634.29"/>
    <n v="0.08"/>
    <n v="3343.55"/>
    <s v="UPI"/>
    <x v="0"/>
    <x v="0"/>
    <x v="0"/>
    <n v="3634.29"/>
    <x v="3"/>
    <x v="1"/>
    <x v="0"/>
  </r>
  <r>
    <s v="ORD0066"/>
    <x v="52"/>
    <s v="Gujarat"/>
    <x v="3"/>
    <x v="2"/>
    <x v="6"/>
    <n v="3"/>
    <n v="4904.5"/>
    <n v="0.21"/>
    <n v="11623.67"/>
    <s v="COD"/>
    <x v="1"/>
    <x v="1"/>
    <x v="0"/>
    <n v="14713.5"/>
    <x v="2"/>
    <x v="6"/>
    <x v="0"/>
  </r>
  <r>
    <s v="ORD0067"/>
    <x v="42"/>
    <s v="Gujarat"/>
    <x v="3"/>
    <x v="4"/>
    <x v="19"/>
    <n v="1"/>
    <n v="4874.05"/>
    <n v="0.14000000000000001"/>
    <n v="4191.68"/>
    <s v="Debit Card"/>
    <x v="2"/>
    <x v="0"/>
    <x v="0"/>
    <n v="4874.05"/>
    <x v="3"/>
    <x v="5"/>
    <x v="0"/>
  </r>
  <r>
    <s v="ORD0068"/>
    <x v="53"/>
    <s v="Maharashtra"/>
    <x v="2"/>
    <x v="2"/>
    <x v="7"/>
    <n v="4"/>
    <n v="2445.6999999999998"/>
    <n v="0.09"/>
    <n v="8902.35"/>
    <s v="COD"/>
    <x v="2"/>
    <x v="2"/>
    <x v="1"/>
    <n v="9782.7999999999993"/>
    <x v="4"/>
    <x v="1"/>
    <x v="0"/>
  </r>
  <r>
    <s v="ORD0069"/>
    <x v="54"/>
    <s v="Maharashtra"/>
    <x v="3"/>
    <x v="2"/>
    <x v="7"/>
    <n v="1"/>
    <n v="2927.4"/>
    <n v="0.17"/>
    <n v="2429.7399999999998"/>
    <s v="Net Banking"/>
    <x v="2"/>
    <x v="2"/>
    <x v="3"/>
    <n v="2927.4"/>
    <x v="6"/>
    <x v="4"/>
    <x v="0"/>
  </r>
  <r>
    <s v="ORD0070"/>
    <x v="55"/>
    <s v="Delhi"/>
    <x v="1"/>
    <x v="4"/>
    <x v="19"/>
    <n v="4"/>
    <n v="3070.96"/>
    <n v="0.2"/>
    <n v="9827.07"/>
    <s v="Credit Card"/>
    <x v="1"/>
    <x v="2"/>
    <x v="0"/>
    <n v="12283.84"/>
    <x v="1"/>
    <x v="2"/>
    <x v="0"/>
  </r>
  <r>
    <s v="ORD0071"/>
    <x v="56"/>
    <s v="Gujarat"/>
    <x v="0"/>
    <x v="2"/>
    <x v="6"/>
    <n v="5"/>
    <n v="3143.03"/>
    <n v="0.15"/>
    <n v="13357.88"/>
    <s v="Net Banking"/>
    <x v="2"/>
    <x v="0"/>
    <x v="1"/>
    <n v="15715.150000000001"/>
    <x v="1"/>
    <x v="3"/>
    <x v="0"/>
  </r>
  <r>
    <s v="ORD0072"/>
    <x v="57"/>
    <s v="Karnataka"/>
    <x v="1"/>
    <x v="3"/>
    <x v="12"/>
    <n v="2"/>
    <n v="951.69"/>
    <n v="0.02"/>
    <n v="1865.31"/>
    <s v="Credit Card"/>
    <x v="0"/>
    <x v="2"/>
    <x v="0"/>
    <n v="1903.38"/>
    <x v="3"/>
    <x v="0"/>
    <x v="0"/>
  </r>
  <r>
    <s v="ORD0073"/>
    <x v="58"/>
    <s v="Karnataka"/>
    <x v="0"/>
    <x v="1"/>
    <x v="14"/>
    <n v="3"/>
    <n v="3564.08"/>
    <n v="0.18"/>
    <n v="8767.64"/>
    <s v="Credit Card"/>
    <x v="0"/>
    <x v="1"/>
    <x v="0"/>
    <n v="10692.24"/>
    <x v="4"/>
    <x v="0"/>
    <x v="0"/>
  </r>
  <r>
    <s v="ORD0074"/>
    <x v="59"/>
    <s v="Tamil Nadu"/>
    <x v="0"/>
    <x v="4"/>
    <x v="16"/>
    <n v="2"/>
    <n v="3273.41"/>
    <n v="0.23"/>
    <n v="5041.05"/>
    <s v="Credit Card"/>
    <x v="1"/>
    <x v="2"/>
    <x v="0"/>
    <n v="6546.82"/>
    <x v="3"/>
    <x v="3"/>
    <x v="0"/>
  </r>
  <r>
    <s v="ORD0075"/>
    <x v="60"/>
    <s v="Tamil Nadu"/>
    <x v="1"/>
    <x v="4"/>
    <x v="17"/>
    <n v="3"/>
    <n v="3528.7"/>
    <n v="0.24"/>
    <n v="8045.44"/>
    <s v="Credit Card"/>
    <x v="2"/>
    <x v="0"/>
    <x v="0"/>
    <n v="10586.099999999999"/>
    <x v="5"/>
    <x v="3"/>
    <x v="0"/>
  </r>
  <r>
    <s v="ORD0076"/>
    <x v="61"/>
    <s v="Tamil Nadu"/>
    <x v="0"/>
    <x v="1"/>
    <x v="13"/>
    <n v="3"/>
    <n v="226.74"/>
    <n v="0.06"/>
    <n v="639.41"/>
    <s v="UPI"/>
    <x v="1"/>
    <x v="0"/>
    <x v="2"/>
    <n v="680.22"/>
    <x v="1"/>
    <x v="5"/>
    <x v="1"/>
  </r>
  <r>
    <s v="ORD0077"/>
    <x v="62"/>
    <s v="Delhi"/>
    <x v="1"/>
    <x v="4"/>
    <x v="19"/>
    <n v="4"/>
    <n v="4588.76"/>
    <n v="0.05"/>
    <n v="17437.29"/>
    <s v="Net Banking"/>
    <x v="1"/>
    <x v="0"/>
    <x v="0"/>
    <n v="18355.04"/>
    <x v="1"/>
    <x v="4"/>
    <x v="0"/>
  </r>
  <r>
    <s v="ORD0078"/>
    <x v="63"/>
    <s v="Tamil Nadu"/>
    <x v="2"/>
    <x v="2"/>
    <x v="7"/>
    <n v="3"/>
    <n v="1673.19"/>
    <n v="0.03"/>
    <n v="4868.9799999999996"/>
    <s v="UPI"/>
    <x v="2"/>
    <x v="2"/>
    <x v="0"/>
    <n v="5019.57"/>
    <x v="6"/>
    <x v="2"/>
    <x v="0"/>
  </r>
  <r>
    <s v="ORD0079"/>
    <x v="26"/>
    <s v="Tamil Nadu"/>
    <x v="1"/>
    <x v="2"/>
    <x v="6"/>
    <n v="4"/>
    <n v="531.49"/>
    <n v="0.06"/>
    <n v="1998.4"/>
    <s v="COD"/>
    <x v="0"/>
    <x v="2"/>
    <x v="1"/>
    <n v="2125.96"/>
    <x v="3"/>
    <x v="0"/>
    <x v="0"/>
  </r>
  <r>
    <s v="ORD0080"/>
    <x v="64"/>
    <s v="Tamil Nadu"/>
    <x v="1"/>
    <x v="0"/>
    <x v="3"/>
    <n v="5"/>
    <n v="1872.72"/>
    <n v="0.19"/>
    <n v="7584.52"/>
    <s v="Credit Card"/>
    <x v="0"/>
    <x v="0"/>
    <x v="3"/>
    <n v="9363.6"/>
    <x v="5"/>
    <x v="1"/>
    <x v="0"/>
  </r>
  <r>
    <s v="ORD0081"/>
    <x v="47"/>
    <s v="Gujarat"/>
    <x v="3"/>
    <x v="3"/>
    <x v="9"/>
    <n v="4"/>
    <n v="4416.1499999999996"/>
    <n v="0.12"/>
    <n v="15544.85"/>
    <s v="Debit Card"/>
    <x v="2"/>
    <x v="2"/>
    <x v="0"/>
    <n v="17664.599999999999"/>
    <x v="4"/>
    <x v="1"/>
    <x v="0"/>
  </r>
  <r>
    <s v="ORD0082"/>
    <x v="65"/>
    <s v="Gujarat"/>
    <x v="0"/>
    <x v="4"/>
    <x v="19"/>
    <n v="2"/>
    <n v="4962.0600000000004"/>
    <n v="0.23"/>
    <n v="7641.57"/>
    <s v="Net Banking"/>
    <x v="0"/>
    <x v="1"/>
    <x v="0"/>
    <n v="9924.1200000000008"/>
    <x v="6"/>
    <x v="0"/>
    <x v="0"/>
  </r>
  <r>
    <s v="ORD0083"/>
    <x v="66"/>
    <s v="Karnataka"/>
    <x v="3"/>
    <x v="3"/>
    <x v="15"/>
    <n v="3"/>
    <n v="2135.9"/>
    <n v="0.12"/>
    <n v="5638.78"/>
    <s v="COD"/>
    <x v="1"/>
    <x v="1"/>
    <x v="0"/>
    <n v="6407.7000000000007"/>
    <x v="6"/>
    <x v="2"/>
    <x v="0"/>
  </r>
  <r>
    <s v="ORD0084"/>
    <x v="67"/>
    <s v="Delhi"/>
    <x v="2"/>
    <x v="3"/>
    <x v="15"/>
    <n v="2"/>
    <n v="4333.7299999999996"/>
    <n v="7.0000000000000007E-2"/>
    <n v="8060.74"/>
    <s v="COD"/>
    <x v="1"/>
    <x v="1"/>
    <x v="1"/>
    <n v="8667.4599999999991"/>
    <x v="3"/>
    <x v="3"/>
    <x v="0"/>
  </r>
  <r>
    <s v="ORD0085"/>
    <x v="55"/>
    <s v="Maharashtra"/>
    <x v="1"/>
    <x v="1"/>
    <x v="1"/>
    <n v="3"/>
    <n v="4203.63"/>
    <n v="0.14000000000000001"/>
    <n v="10845.37"/>
    <s v="UPI"/>
    <x v="1"/>
    <x v="0"/>
    <x v="1"/>
    <n v="12610.89"/>
    <x v="1"/>
    <x v="2"/>
    <x v="0"/>
  </r>
  <r>
    <s v="ORD0086"/>
    <x v="53"/>
    <s v="Karnataka"/>
    <x v="3"/>
    <x v="2"/>
    <x v="5"/>
    <n v="5"/>
    <n v="1948.33"/>
    <n v="0.23"/>
    <n v="7501.07"/>
    <s v="UPI"/>
    <x v="1"/>
    <x v="2"/>
    <x v="0"/>
    <n v="9741.65"/>
    <x v="4"/>
    <x v="1"/>
    <x v="0"/>
  </r>
  <r>
    <s v="ORD0087"/>
    <x v="68"/>
    <s v="Maharashtra"/>
    <x v="3"/>
    <x v="3"/>
    <x v="15"/>
    <n v="4"/>
    <n v="3555.62"/>
    <n v="0.2"/>
    <n v="11377.98"/>
    <s v="UPI"/>
    <x v="1"/>
    <x v="1"/>
    <x v="0"/>
    <n v="14222.48"/>
    <x v="0"/>
    <x v="3"/>
    <x v="0"/>
  </r>
  <r>
    <s v="ORD0088"/>
    <x v="19"/>
    <s v="Gujarat"/>
    <x v="1"/>
    <x v="0"/>
    <x v="4"/>
    <n v="1"/>
    <n v="4383.53"/>
    <n v="0.11"/>
    <n v="3901.34"/>
    <s v="COD"/>
    <x v="2"/>
    <x v="0"/>
    <x v="0"/>
    <n v="4383.53"/>
    <x v="3"/>
    <x v="2"/>
    <x v="0"/>
  </r>
  <r>
    <s v="ORD0089"/>
    <x v="30"/>
    <s v="Delhi"/>
    <x v="0"/>
    <x v="3"/>
    <x v="15"/>
    <n v="3"/>
    <n v="1758.95"/>
    <n v="0.17"/>
    <n v="4379.79"/>
    <s v="Credit Card"/>
    <x v="2"/>
    <x v="0"/>
    <x v="1"/>
    <n v="5276.85"/>
    <x v="1"/>
    <x v="3"/>
    <x v="0"/>
  </r>
  <r>
    <s v="ORD0090"/>
    <x v="8"/>
    <s v="Karnataka"/>
    <x v="2"/>
    <x v="1"/>
    <x v="14"/>
    <n v="1"/>
    <n v="3125.55"/>
    <n v="0.06"/>
    <n v="2938.02"/>
    <s v="Net Banking"/>
    <x v="1"/>
    <x v="0"/>
    <x v="2"/>
    <n v="3125.55"/>
    <x v="0"/>
    <x v="1"/>
    <x v="0"/>
  </r>
  <r>
    <s v="ORD0091"/>
    <x v="42"/>
    <s v="Maharashtra"/>
    <x v="2"/>
    <x v="0"/>
    <x v="3"/>
    <n v="2"/>
    <n v="3500.61"/>
    <n v="0.23"/>
    <n v="5390.94"/>
    <s v="Credit Card"/>
    <x v="2"/>
    <x v="2"/>
    <x v="3"/>
    <n v="7001.22"/>
    <x v="3"/>
    <x v="5"/>
    <x v="0"/>
  </r>
  <r>
    <s v="ORD0092"/>
    <x v="4"/>
    <s v="Karnataka"/>
    <x v="3"/>
    <x v="4"/>
    <x v="17"/>
    <n v="2"/>
    <n v="2702.71"/>
    <n v="0.14000000000000001"/>
    <n v="4648.66"/>
    <s v="Net Banking"/>
    <x v="0"/>
    <x v="2"/>
    <x v="0"/>
    <n v="5405.42"/>
    <x v="2"/>
    <x v="2"/>
    <x v="0"/>
  </r>
  <r>
    <s v="ORD0093"/>
    <x v="69"/>
    <s v="Gujarat"/>
    <x v="1"/>
    <x v="1"/>
    <x v="14"/>
    <n v="5"/>
    <n v="801.28"/>
    <n v="0.12"/>
    <n v="3525.63"/>
    <s v="Debit Card"/>
    <x v="2"/>
    <x v="1"/>
    <x v="0"/>
    <n v="4006.3999999999996"/>
    <x v="2"/>
    <x v="4"/>
    <x v="0"/>
  </r>
  <r>
    <s v="ORD0094"/>
    <x v="70"/>
    <s v="Karnataka"/>
    <x v="2"/>
    <x v="0"/>
    <x v="3"/>
    <n v="1"/>
    <n v="2264.48"/>
    <n v="0.09"/>
    <n v="2060.6799999999998"/>
    <s v="COD"/>
    <x v="0"/>
    <x v="0"/>
    <x v="0"/>
    <n v="2264.48"/>
    <x v="2"/>
    <x v="0"/>
    <x v="0"/>
  </r>
  <r>
    <s v="ORD0095"/>
    <x v="56"/>
    <s v="Tamil Nadu"/>
    <x v="2"/>
    <x v="2"/>
    <x v="6"/>
    <n v="4"/>
    <n v="4281.34"/>
    <n v="0.03"/>
    <n v="16611.599999999999"/>
    <s v="UPI"/>
    <x v="0"/>
    <x v="1"/>
    <x v="0"/>
    <n v="17125.36"/>
    <x v="1"/>
    <x v="3"/>
    <x v="0"/>
  </r>
  <r>
    <s v="ORD0096"/>
    <x v="61"/>
    <s v="Tamil Nadu"/>
    <x v="1"/>
    <x v="4"/>
    <x v="19"/>
    <n v="5"/>
    <n v="4338.83"/>
    <n v="0.19"/>
    <n v="17572.259999999998"/>
    <s v="UPI"/>
    <x v="0"/>
    <x v="2"/>
    <x v="3"/>
    <n v="21694.15"/>
    <x v="1"/>
    <x v="5"/>
    <x v="0"/>
  </r>
  <r>
    <s v="ORD0097"/>
    <x v="34"/>
    <s v="Gujarat"/>
    <x v="3"/>
    <x v="4"/>
    <x v="16"/>
    <n v="2"/>
    <n v="3142.37"/>
    <n v="0.17"/>
    <n v="5216.33"/>
    <s v="UPI"/>
    <x v="0"/>
    <x v="0"/>
    <x v="0"/>
    <n v="6284.74"/>
    <x v="3"/>
    <x v="2"/>
    <x v="0"/>
  </r>
  <r>
    <s v="ORD0098"/>
    <x v="71"/>
    <s v="Tamil Nadu"/>
    <x v="2"/>
    <x v="0"/>
    <x v="2"/>
    <n v="3"/>
    <n v="3688.56"/>
    <n v="0.02"/>
    <n v="10844.37"/>
    <s v="Credit Card"/>
    <x v="1"/>
    <x v="1"/>
    <x v="0"/>
    <n v="11065.68"/>
    <x v="4"/>
    <x v="5"/>
    <x v="0"/>
  </r>
  <r>
    <s v="ORD0099"/>
    <x v="72"/>
    <s v="Delhi"/>
    <x v="2"/>
    <x v="3"/>
    <x v="12"/>
    <n v="5"/>
    <n v="2558.79"/>
    <n v="7.0000000000000007E-2"/>
    <n v="11898.37"/>
    <s v="COD"/>
    <x v="2"/>
    <x v="2"/>
    <x v="1"/>
    <n v="12793.95"/>
    <x v="0"/>
    <x v="5"/>
    <x v="0"/>
  </r>
  <r>
    <s v="ORD0100"/>
    <x v="73"/>
    <s v="Karnataka"/>
    <x v="1"/>
    <x v="2"/>
    <x v="6"/>
    <n v="1"/>
    <n v="789.71"/>
    <n v="0.24"/>
    <n v="600.17999999999995"/>
    <s v="Credit Card"/>
    <x v="2"/>
    <x v="0"/>
    <x v="2"/>
    <n v="789.71"/>
    <x v="0"/>
    <x v="2"/>
    <x v="1"/>
  </r>
  <r>
    <s v="ORD0101"/>
    <x v="74"/>
    <s v="Maharashtra"/>
    <x v="2"/>
    <x v="1"/>
    <x v="1"/>
    <n v="3"/>
    <n v="2729.2"/>
    <n v="0.11"/>
    <n v="7286.96"/>
    <s v="Net Banking"/>
    <x v="0"/>
    <x v="0"/>
    <x v="0"/>
    <n v="8187.5999999999995"/>
    <x v="2"/>
    <x v="0"/>
    <x v="0"/>
  </r>
  <r>
    <s v="ORD0102"/>
    <x v="46"/>
    <s v="Delhi"/>
    <x v="3"/>
    <x v="4"/>
    <x v="19"/>
    <n v="5"/>
    <n v="4432.75"/>
    <n v="0.14000000000000001"/>
    <n v="19060.830000000002"/>
    <s v="Net Banking"/>
    <x v="0"/>
    <x v="0"/>
    <x v="0"/>
    <n v="22163.75"/>
    <x v="6"/>
    <x v="2"/>
    <x v="0"/>
  </r>
  <r>
    <s v="ORD0103"/>
    <x v="26"/>
    <s v="Tamil Nadu"/>
    <x v="0"/>
    <x v="2"/>
    <x v="6"/>
    <n v="1"/>
    <n v="4736.68"/>
    <n v="0.08"/>
    <n v="4357.75"/>
    <s v="Credit Card"/>
    <x v="0"/>
    <x v="1"/>
    <x v="0"/>
    <n v="4736.68"/>
    <x v="3"/>
    <x v="0"/>
    <x v="0"/>
  </r>
  <r>
    <s v="ORD0104"/>
    <x v="75"/>
    <s v="Tamil Nadu"/>
    <x v="1"/>
    <x v="1"/>
    <x v="10"/>
    <n v="5"/>
    <n v="2153.7199999999998"/>
    <n v="0.19"/>
    <n v="8722.57"/>
    <s v="Net Banking"/>
    <x v="2"/>
    <x v="2"/>
    <x v="0"/>
    <n v="10768.599999999999"/>
    <x v="5"/>
    <x v="6"/>
    <x v="0"/>
  </r>
  <r>
    <s v="ORD0105"/>
    <x v="76"/>
    <s v="Karnataka"/>
    <x v="2"/>
    <x v="2"/>
    <x v="5"/>
    <n v="3"/>
    <n v="1164.6199999999999"/>
    <n v="0.11"/>
    <n v="3109.54"/>
    <s v="Credit Card"/>
    <x v="1"/>
    <x v="2"/>
    <x v="0"/>
    <n v="3493.8599999999997"/>
    <x v="5"/>
    <x v="0"/>
    <x v="0"/>
  </r>
  <r>
    <s v="ORD0106"/>
    <x v="77"/>
    <s v="Maharashtra"/>
    <x v="0"/>
    <x v="4"/>
    <x v="17"/>
    <n v="2"/>
    <n v="4844.21"/>
    <n v="0.24"/>
    <n v="7363.2"/>
    <s v="Net Banking"/>
    <x v="2"/>
    <x v="1"/>
    <x v="0"/>
    <n v="9688.42"/>
    <x v="5"/>
    <x v="0"/>
    <x v="0"/>
  </r>
  <r>
    <s v="ORD0107"/>
    <x v="64"/>
    <s v="Maharashtra"/>
    <x v="3"/>
    <x v="1"/>
    <x v="13"/>
    <n v="2"/>
    <n v="3956.19"/>
    <n v="0.05"/>
    <n v="7516.76"/>
    <s v="UPI"/>
    <x v="0"/>
    <x v="0"/>
    <x v="0"/>
    <n v="7912.38"/>
    <x v="5"/>
    <x v="1"/>
    <x v="0"/>
  </r>
  <r>
    <s v="ORD0108"/>
    <x v="78"/>
    <s v="Delhi"/>
    <x v="2"/>
    <x v="3"/>
    <x v="9"/>
    <n v="3"/>
    <n v="4306.1899999999996"/>
    <n v="0.04"/>
    <n v="12401.83"/>
    <s v="COD"/>
    <x v="0"/>
    <x v="2"/>
    <x v="3"/>
    <n v="12918.57"/>
    <x v="5"/>
    <x v="0"/>
    <x v="0"/>
  </r>
  <r>
    <s v="ORD0109"/>
    <x v="70"/>
    <s v="Delhi"/>
    <x v="0"/>
    <x v="0"/>
    <x v="0"/>
    <n v="2"/>
    <n v="2985.38"/>
    <n v="0"/>
    <n v="5970.76"/>
    <s v="Credit Card"/>
    <x v="2"/>
    <x v="1"/>
    <x v="0"/>
    <n v="5970.76"/>
    <x v="2"/>
    <x v="0"/>
    <x v="0"/>
  </r>
  <r>
    <s v="ORD0110"/>
    <x v="79"/>
    <s v="Maharashtra"/>
    <x v="3"/>
    <x v="2"/>
    <x v="7"/>
    <n v="3"/>
    <n v="2614.87"/>
    <n v="0.03"/>
    <n v="7609.27"/>
    <s v="Net Banking"/>
    <x v="2"/>
    <x v="0"/>
    <x v="1"/>
    <n v="7844.61"/>
    <x v="0"/>
    <x v="2"/>
    <x v="0"/>
  </r>
  <r>
    <s v="ORD0111"/>
    <x v="80"/>
    <s v="Tamil Nadu"/>
    <x v="1"/>
    <x v="0"/>
    <x v="2"/>
    <n v="4"/>
    <n v="4251.76"/>
    <n v="0.11"/>
    <n v="15136.27"/>
    <s v="Credit Card"/>
    <x v="0"/>
    <x v="2"/>
    <x v="0"/>
    <n v="17007.04"/>
    <x v="0"/>
    <x v="4"/>
    <x v="0"/>
  </r>
  <r>
    <s v="ORD0112"/>
    <x v="48"/>
    <s v="Maharashtra"/>
    <x v="2"/>
    <x v="2"/>
    <x v="7"/>
    <n v="2"/>
    <n v="421.84"/>
    <n v="7.0000000000000007E-2"/>
    <n v="784.62"/>
    <s v="UPI"/>
    <x v="1"/>
    <x v="0"/>
    <x v="0"/>
    <n v="843.68"/>
    <x v="4"/>
    <x v="0"/>
    <x v="1"/>
  </r>
  <r>
    <s v="ORD0113"/>
    <x v="5"/>
    <s v="Tamil Nadu"/>
    <x v="3"/>
    <x v="1"/>
    <x v="1"/>
    <n v="4"/>
    <n v="585.97"/>
    <n v="0.18"/>
    <n v="1921.98"/>
    <s v="COD"/>
    <x v="1"/>
    <x v="0"/>
    <x v="0"/>
    <n v="2343.88"/>
    <x v="0"/>
    <x v="2"/>
    <x v="0"/>
  </r>
  <r>
    <s v="ORD0114"/>
    <x v="34"/>
    <s v="Karnataka"/>
    <x v="2"/>
    <x v="3"/>
    <x v="15"/>
    <n v="4"/>
    <n v="3675.1"/>
    <n v="0.08"/>
    <n v="13524.37"/>
    <s v="Net Banking"/>
    <x v="2"/>
    <x v="1"/>
    <x v="0"/>
    <n v="14700.4"/>
    <x v="3"/>
    <x v="2"/>
    <x v="0"/>
  </r>
  <r>
    <s v="ORD0115"/>
    <x v="49"/>
    <s v="Maharashtra"/>
    <x v="3"/>
    <x v="3"/>
    <x v="15"/>
    <n v="1"/>
    <n v="2216.19"/>
    <n v="0.19"/>
    <n v="1795.11"/>
    <s v="Credit Card"/>
    <x v="0"/>
    <x v="1"/>
    <x v="0"/>
    <n v="2216.19"/>
    <x v="0"/>
    <x v="4"/>
    <x v="0"/>
  </r>
  <r>
    <s v="ORD0116"/>
    <x v="42"/>
    <s v="Maharashtra"/>
    <x v="2"/>
    <x v="1"/>
    <x v="1"/>
    <n v="4"/>
    <n v="4353.6499999999996"/>
    <n v="0.18"/>
    <n v="14279.97"/>
    <s v="Net Banking"/>
    <x v="2"/>
    <x v="1"/>
    <x v="0"/>
    <n v="17414.599999999999"/>
    <x v="3"/>
    <x v="5"/>
    <x v="0"/>
  </r>
  <r>
    <s v="ORD0117"/>
    <x v="81"/>
    <s v="Delhi"/>
    <x v="2"/>
    <x v="1"/>
    <x v="10"/>
    <n v="1"/>
    <n v="1815.56"/>
    <n v="0.14000000000000001"/>
    <n v="1561.38"/>
    <s v="Net Banking"/>
    <x v="0"/>
    <x v="2"/>
    <x v="0"/>
    <n v="1815.56"/>
    <x v="3"/>
    <x v="2"/>
    <x v="0"/>
  </r>
  <r>
    <s v="ORD0118"/>
    <x v="52"/>
    <s v="Gujarat"/>
    <x v="2"/>
    <x v="2"/>
    <x v="7"/>
    <n v="2"/>
    <n v="1439.02"/>
    <n v="0.19"/>
    <n v="2331.21"/>
    <s v="UPI"/>
    <x v="0"/>
    <x v="1"/>
    <x v="0"/>
    <n v="2878.04"/>
    <x v="2"/>
    <x v="6"/>
    <x v="0"/>
  </r>
  <r>
    <s v="ORD0119"/>
    <x v="0"/>
    <s v="Maharashtra"/>
    <x v="1"/>
    <x v="3"/>
    <x v="15"/>
    <n v="1"/>
    <n v="549.61"/>
    <n v="0.13"/>
    <n v="478.16"/>
    <s v="Debit Card"/>
    <x v="1"/>
    <x v="1"/>
    <x v="0"/>
    <n v="549.61"/>
    <x v="0"/>
    <x v="0"/>
    <x v="1"/>
  </r>
  <r>
    <s v="ORD0120"/>
    <x v="82"/>
    <s v="Karnataka"/>
    <x v="0"/>
    <x v="3"/>
    <x v="9"/>
    <n v="5"/>
    <n v="516.29"/>
    <n v="0.01"/>
    <n v="2555.64"/>
    <s v="UPI"/>
    <x v="1"/>
    <x v="2"/>
    <x v="0"/>
    <n v="2581.4499999999998"/>
    <x v="1"/>
    <x v="0"/>
    <x v="0"/>
  </r>
  <r>
    <s v="ORD0121"/>
    <x v="22"/>
    <s v="Tamil Nadu"/>
    <x v="0"/>
    <x v="4"/>
    <x v="18"/>
    <n v="4"/>
    <n v="2129.5"/>
    <n v="0.05"/>
    <n v="8092.1"/>
    <s v="Net Banking"/>
    <x v="1"/>
    <x v="0"/>
    <x v="0"/>
    <n v="8518"/>
    <x v="3"/>
    <x v="4"/>
    <x v="0"/>
  </r>
  <r>
    <s v="ORD0122"/>
    <x v="18"/>
    <s v="Gujarat"/>
    <x v="0"/>
    <x v="0"/>
    <x v="2"/>
    <n v="3"/>
    <n v="322.55"/>
    <n v="0.1"/>
    <n v="870.89"/>
    <s v="Net Banking"/>
    <x v="1"/>
    <x v="0"/>
    <x v="0"/>
    <n v="967.65000000000009"/>
    <x v="1"/>
    <x v="2"/>
    <x v="1"/>
  </r>
  <r>
    <s v="ORD0123"/>
    <x v="76"/>
    <s v="Delhi"/>
    <x v="3"/>
    <x v="4"/>
    <x v="16"/>
    <n v="3"/>
    <n v="687.92"/>
    <n v="0.12"/>
    <n v="1816.11"/>
    <s v="UPI"/>
    <x v="2"/>
    <x v="1"/>
    <x v="0"/>
    <n v="2063.7599999999998"/>
    <x v="5"/>
    <x v="0"/>
    <x v="0"/>
  </r>
  <r>
    <s v="ORD0124"/>
    <x v="83"/>
    <s v="Gujarat"/>
    <x v="1"/>
    <x v="1"/>
    <x v="10"/>
    <n v="3"/>
    <n v="453.17"/>
    <n v="0.22"/>
    <n v="1060.42"/>
    <s v="COD"/>
    <x v="1"/>
    <x v="2"/>
    <x v="0"/>
    <n v="1359.51"/>
    <x v="5"/>
    <x v="5"/>
    <x v="0"/>
  </r>
  <r>
    <s v="ORD0125"/>
    <x v="84"/>
    <s v="Gujarat"/>
    <x v="1"/>
    <x v="0"/>
    <x v="2"/>
    <n v="4"/>
    <n v="3576.54"/>
    <n v="0.1"/>
    <n v="12875.54"/>
    <s v="Net Banking"/>
    <x v="1"/>
    <x v="2"/>
    <x v="0"/>
    <n v="14306.16"/>
    <x v="6"/>
    <x v="3"/>
    <x v="0"/>
  </r>
  <r>
    <s v="ORD0126"/>
    <x v="85"/>
    <s v="Gujarat"/>
    <x v="1"/>
    <x v="4"/>
    <x v="16"/>
    <n v="3"/>
    <n v="531.84"/>
    <n v="0.21"/>
    <n v="1260.46"/>
    <s v="Net Banking"/>
    <x v="1"/>
    <x v="2"/>
    <x v="0"/>
    <n v="1595.52"/>
    <x v="6"/>
    <x v="3"/>
    <x v="0"/>
  </r>
  <r>
    <s v="ORD0127"/>
    <x v="67"/>
    <s v="Tamil Nadu"/>
    <x v="0"/>
    <x v="1"/>
    <x v="13"/>
    <n v="3"/>
    <n v="1185.7"/>
    <n v="0.19"/>
    <n v="2881.25"/>
    <s v="UPI"/>
    <x v="1"/>
    <x v="2"/>
    <x v="0"/>
    <n v="3557.1000000000004"/>
    <x v="3"/>
    <x v="3"/>
    <x v="0"/>
  </r>
  <r>
    <s v="ORD0128"/>
    <x v="86"/>
    <s v="Karnataka"/>
    <x v="3"/>
    <x v="3"/>
    <x v="9"/>
    <n v="1"/>
    <n v="817.58"/>
    <n v="0.05"/>
    <n v="776.7"/>
    <s v="Debit Card"/>
    <x v="0"/>
    <x v="0"/>
    <x v="3"/>
    <n v="817.58"/>
    <x v="3"/>
    <x v="1"/>
    <x v="1"/>
  </r>
  <r>
    <s v="ORD0129"/>
    <x v="66"/>
    <s v="Tamil Nadu"/>
    <x v="2"/>
    <x v="0"/>
    <x v="4"/>
    <n v="5"/>
    <n v="2299.64"/>
    <n v="0.23"/>
    <n v="8853.61"/>
    <s v="Net Banking"/>
    <x v="1"/>
    <x v="0"/>
    <x v="1"/>
    <n v="11498.199999999999"/>
    <x v="6"/>
    <x v="2"/>
    <x v="0"/>
  </r>
  <r>
    <s v="ORD0130"/>
    <x v="87"/>
    <s v="Tamil Nadu"/>
    <x v="0"/>
    <x v="4"/>
    <x v="16"/>
    <n v="4"/>
    <n v="3193.79"/>
    <n v="0.2"/>
    <n v="10220.129999999999"/>
    <s v="Credit Card"/>
    <x v="2"/>
    <x v="0"/>
    <x v="0"/>
    <n v="12775.16"/>
    <x v="0"/>
    <x v="3"/>
    <x v="0"/>
  </r>
  <r>
    <s v="ORD0131"/>
    <x v="15"/>
    <s v="Tamil Nadu"/>
    <x v="0"/>
    <x v="0"/>
    <x v="2"/>
    <n v="1"/>
    <n v="1906.81"/>
    <n v="7.0000000000000007E-2"/>
    <n v="1773.33"/>
    <s v="Net Banking"/>
    <x v="0"/>
    <x v="0"/>
    <x v="0"/>
    <n v="1906.81"/>
    <x v="5"/>
    <x v="1"/>
    <x v="0"/>
  </r>
  <r>
    <s v="ORD0132"/>
    <x v="33"/>
    <s v="Tamil Nadu"/>
    <x v="3"/>
    <x v="1"/>
    <x v="14"/>
    <n v="1"/>
    <n v="2303.6999999999998"/>
    <n v="0.2"/>
    <n v="1842.96"/>
    <s v="COD"/>
    <x v="1"/>
    <x v="0"/>
    <x v="0"/>
    <n v="2303.6999999999998"/>
    <x v="6"/>
    <x v="3"/>
    <x v="0"/>
  </r>
  <r>
    <s v="ORD0133"/>
    <x v="88"/>
    <s v="Maharashtra"/>
    <x v="3"/>
    <x v="2"/>
    <x v="11"/>
    <n v="3"/>
    <n v="4913.6899999999996"/>
    <n v="0.02"/>
    <n v="14446.25"/>
    <s v="Net Banking"/>
    <x v="0"/>
    <x v="0"/>
    <x v="0"/>
    <n v="14741.07"/>
    <x v="0"/>
    <x v="5"/>
    <x v="0"/>
  </r>
  <r>
    <s v="ORD0134"/>
    <x v="89"/>
    <s v="Gujarat"/>
    <x v="1"/>
    <x v="2"/>
    <x v="5"/>
    <n v="2"/>
    <n v="1883.1"/>
    <n v="0.23"/>
    <n v="2899.97"/>
    <s v="COD"/>
    <x v="1"/>
    <x v="1"/>
    <x v="3"/>
    <n v="3766.2"/>
    <x v="1"/>
    <x v="5"/>
    <x v="0"/>
  </r>
  <r>
    <s v="ORD0135"/>
    <x v="46"/>
    <s v="Karnataka"/>
    <x v="3"/>
    <x v="1"/>
    <x v="13"/>
    <n v="1"/>
    <n v="2834.02"/>
    <n v="0.1"/>
    <n v="2550.62"/>
    <s v="Credit Card"/>
    <x v="2"/>
    <x v="1"/>
    <x v="0"/>
    <n v="2834.02"/>
    <x v="6"/>
    <x v="2"/>
    <x v="0"/>
  </r>
  <r>
    <s v="ORD0136"/>
    <x v="90"/>
    <s v="Karnataka"/>
    <x v="2"/>
    <x v="1"/>
    <x v="10"/>
    <n v="4"/>
    <n v="731.86"/>
    <n v="0.18"/>
    <n v="2400.5"/>
    <s v="UPI"/>
    <x v="1"/>
    <x v="2"/>
    <x v="0"/>
    <n v="2927.44"/>
    <x v="0"/>
    <x v="1"/>
    <x v="0"/>
  </r>
  <r>
    <s v="ORD0137"/>
    <x v="73"/>
    <s v="Gujarat"/>
    <x v="3"/>
    <x v="4"/>
    <x v="16"/>
    <n v="4"/>
    <n v="2591.59"/>
    <n v="0"/>
    <n v="10366.36"/>
    <s v="Credit Card"/>
    <x v="1"/>
    <x v="1"/>
    <x v="2"/>
    <n v="10366.36"/>
    <x v="0"/>
    <x v="2"/>
    <x v="0"/>
  </r>
  <r>
    <s v="ORD0138"/>
    <x v="91"/>
    <s v="Delhi"/>
    <x v="0"/>
    <x v="4"/>
    <x v="18"/>
    <n v="2"/>
    <n v="478.11"/>
    <n v="0.21"/>
    <n v="755.41"/>
    <s v="Debit Card"/>
    <x v="0"/>
    <x v="2"/>
    <x v="0"/>
    <n v="956.22"/>
    <x v="6"/>
    <x v="3"/>
    <x v="1"/>
  </r>
  <r>
    <s v="ORD0139"/>
    <x v="92"/>
    <s v="Gujarat"/>
    <x v="3"/>
    <x v="1"/>
    <x v="10"/>
    <n v="2"/>
    <n v="986.15"/>
    <n v="0.17"/>
    <n v="1637.01"/>
    <s v="Net Banking"/>
    <x v="0"/>
    <x v="0"/>
    <x v="0"/>
    <n v="1972.3"/>
    <x v="0"/>
    <x v="4"/>
    <x v="0"/>
  </r>
  <r>
    <s v="ORD0140"/>
    <x v="93"/>
    <s v="Karnataka"/>
    <x v="3"/>
    <x v="0"/>
    <x v="3"/>
    <n v="5"/>
    <n v="1496.15"/>
    <n v="0.19"/>
    <n v="6059.41"/>
    <s v="Debit Card"/>
    <x v="2"/>
    <x v="1"/>
    <x v="0"/>
    <n v="7480.75"/>
    <x v="6"/>
    <x v="3"/>
    <x v="0"/>
  </r>
  <r>
    <s v="ORD0141"/>
    <x v="24"/>
    <s v="Delhi"/>
    <x v="1"/>
    <x v="4"/>
    <x v="18"/>
    <n v="5"/>
    <n v="4923.75"/>
    <n v="0.12"/>
    <n v="21664.5"/>
    <s v="UPI"/>
    <x v="1"/>
    <x v="1"/>
    <x v="0"/>
    <n v="24618.75"/>
    <x v="5"/>
    <x v="0"/>
    <x v="0"/>
  </r>
  <r>
    <s v="ORD0142"/>
    <x v="88"/>
    <s v="Delhi"/>
    <x v="0"/>
    <x v="2"/>
    <x v="11"/>
    <n v="3"/>
    <n v="355.68"/>
    <n v="0.12"/>
    <n v="939"/>
    <s v="COD"/>
    <x v="0"/>
    <x v="1"/>
    <x v="0"/>
    <n v="1067.04"/>
    <x v="0"/>
    <x v="5"/>
    <x v="1"/>
  </r>
  <r>
    <s v="ORD0143"/>
    <x v="39"/>
    <s v="Karnataka"/>
    <x v="0"/>
    <x v="1"/>
    <x v="13"/>
    <n v="3"/>
    <n v="2301.66"/>
    <n v="0.13"/>
    <n v="6007.33"/>
    <s v="Credit Card"/>
    <x v="0"/>
    <x v="1"/>
    <x v="1"/>
    <n v="6904.98"/>
    <x v="5"/>
    <x v="2"/>
    <x v="0"/>
  </r>
  <r>
    <s v="ORD0144"/>
    <x v="94"/>
    <s v="Karnataka"/>
    <x v="0"/>
    <x v="3"/>
    <x v="15"/>
    <n v="1"/>
    <n v="2042.62"/>
    <n v="0.09"/>
    <n v="1858.78"/>
    <s v="Credit Card"/>
    <x v="2"/>
    <x v="1"/>
    <x v="0"/>
    <n v="2042.62"/>
    <x v="4"/>
    <x v="0"/>
    <x v="0"/>
  </r>
  <r>
    <s v="ORD0145"/>
    <x v="95"/>
    <s v="Maharashtra"/>
    <x v="3"/>
    <x v="0"/>
    <x v="2"/>
    <n v="2"/>
    <n v="287.69"/>
    <n v="0.23"/>
    <n v="443.04"/>
    <s v="UPI"/>
    <x v="0"/>
    <x v="1"/>
    <x v="3"/>
    <n v="575.38"/>
    <x v="0"/>
    <x v="4"/>
    <x v="1"/>
  </r>
  <r>
    <s v="ORD0146"/>
    <x v="96"/>
    <s v="Gujarat"/>
    <x v="1"/>
    <x v="2"/>
    <x v="5"/>
    <n v="1"/>
    <n v="1354.03"/>
    <n v="0.21"/>
    <n v="1069.68"/>
    <s v="Credit Card"/>
    <x v="0"/>
    <x v="0"/>
    <x v="0"/>
    <n v="1354.03"/>
    <x v="5"/>
    <x v="5"/>
    <x v="0"/>
  </r>
  <r>
    <s v="ORD0147"/>
    <x v="59"/>
    <s v="Karnataka"/>
    <x v="0"/>
    <x v="4"/>
    <x v="16"/>
    <n v="2"/>
    <n v="2157.15"/>
    <n v="0.2"/>
    <n v="3451.44"/>
    <s v="Credit Card"/>
    <x v="0"/>
    <x v="1"/>
    <x v="0"/>
    <n v="4314.3"/>
    <x v="3"/>
    <x v="3"/>
    <x v="0"/>
  </r>
  <r>
    <s v="ORD0148"/>
    <x v="91"/>
    <s v="Gujarat"/>
    <x v="3"/>
    <x v="2"/>
    <x v="7"/>
    <n v="2"/>
    <n v="1527.23"/>
    <n v="0"/>
    <n v="3054.46"/>
    <s v="COD"/>
    <x v="0"/>
    <x v="1"/>
    <x v="0"/>
    <n v="3054.46"/>
    <x v="6"/>
    <x v="3"/>
    <x v="0"/>
  </r>
  <r>
    <s v="ORD0149"/>
    <x v="0"/>
    <s v="Gujarat"/>
    <x v="0"/>
    <x v="3"/>
    <x v="8"/>
    <n v="5"/>
    <n v="2766"/>
    <n v="0.2"/>
    <n v="11064"/>
    <s v="UPI"/>
    <x v="0"/>
    <x v="0"/>
    <x v="0"/>
    <n v="13830"/>
    <x v="0"/>
    <x v="0"/>
    <x v="0"/>
  </r>
  <r>
    <s v="ORD0150"/>
    <x v="49"/>
    <s v="Tamil Nadu"/>
    <x v="0"/>
    <x v="2"/>
    <x v="7"/>
    <n v="1"/>
    <n v="1849.76"/>
    <n v="0.02"/>
    <n v="1812.76"/>
    <s v="UPI"/>
    <x v="2"/>
    <x v="2"/>
    <x v="3"/>
    <n v="1849.76"/>
    <x v="0"/>
    <x v="4"/>
    <x v="0"/>
  </r>
  <r>
    <s v="ORD0151"/>
    <x v="7"/>
    <s v="Maharashtra"/>
    <x v="1"/>
    <x v="4"/>
    <x v="16"/>
    <n v="3"/>
    <n v="4086.19"/>
    <n v="0.04"/>
    <n v="11768.23"/>
    <s v="UPI"/>
    <x v="1"/>
    <x v="0"/>
    <x v="2"/>
    <n v="12258.57"/>
    <x v="5"/>
    <x v="1"/>
    <x v="0"/>
  </r>
  <r>
    <s v="ORD0152"/>
    <x v="46"/>
    <s v="Delhi"/>
    <x v="0"/>
    <x v="2"/>
    <x v="11"/>
    <n v="4"/>
    <n v="281.22000000000003"/>
    <n v="0.05"/>
    <n v="1068.6400000000001"/>
    <s v="Credit Card"/>
    <x v="1"/>
    <x v="2"/>
    <x v="0"/>
    <n v="1124.8800000000001"/>
    <x v="6"/>
    <x v="2"/>
    <x v="0"/>
  </r>
  <r>
    <s v="ORD0153"/>
    <x v="7"/>
    <s v="Gujarat"/>
    <x v="0"/>
    <x v="4"/>
    <x v="18"/>
    <n v="1"/>
    <n v="3791.13"/>
    <n v="0.05"/>
    <n v="3601.57"/>
    <s v="Net Banking"/>
    <x v="2"/>
    <x v="1"/>
    <x v="1"/>
    <n v="3791.13"/>
    <x v="5"/>
    <x v="1"/>
    <x v="0"/>
  </r>
  <r>
    <s v="ORD0154"/>
    <x v="5"/>
    <s v="Maharashtra"/>
    <x v="2"/>
    <x v="4"/>
    <x v="17"/>
    <n v="4"/>
    <n v="3742.21"/>
    <n v="0.22"/>
    <n v="11675.7"/>
    <s v="UPI"/>
    <x v="2"/>
    <x v="1"/>
    <x v="2"/>
    <n v="14968.84"/>
    <x v="0"/>
    <x v="2"/>
    <x v="0"/>
  </r>
  <r>
    <s v="ORD0155"/>
    <x v="97"/>
    <s v="Karnataka"/>
    <x v="3"/>
    <x v="2"/>
    <x v="5"/>
    <n v="1"/>
    <n v="3662.7"/>
    <n v="0.02"/>
    <n v="3589.45"/>
    <s v="COD"/>
    <x v="2"/>
    <x v="0"/>
    <x v="0"/>
    <n v="3662.7"/>
    <x v="2"/>
    <x v="0"/>
    <x v="0"/>
  </r>
  <r>
    <s v="ORD0156"/>
    <x v="98"/>
    <s v="Maharashtra"/>
    <x v="3"/>
    <x v="4"/>
    <x v="19"/>
    <n v="3"/>
    <n v="1601.83"/>
    <n v="0.15"/>
    <n v="4084.67"/>
    <s v="UPI"/>
    <x v="1"/>
    <x v="1"/>
    <x v="0"/>
    <n v="4805.49"/>
    <x v="2"/>
    <x v="4"/>
    <x v="0"/>
  </r>
  <r>
    <s v="ORD0157"/>
    <x v="50"/>
    <s v="Maharashtra"/>
    <x v="0"/>
    <x v="4"/>
    <x v="18"/>
    <n v="4"/>
    <n v="1445.32"/>
    <n v="0.25"/>
    <n v="4335.96"/>
    <s v="UPI"/>
    <x v="1"/>
    <x v="2"/>
    <x v="0"/>
    <n v="5781.28"/>
    <x v="5"/>
    <x v="4"/>
    <x v="0"/>
  </r>
  <r>
    <s v="ORD0158"/>
    <x v="46"/>
    <s v="Gujarat"/>
    <x v="0"/>
    <x v="2"/>
    <x v="6"/>
    <n v="2"/>
    <n v="4258.4799999999996"/>
    <n v="0.17"/>
    <n v="7069.08"/>
    <s v="Debit Card"/>
    <x v="0"/>
    <x v="1"/>
    <x v="0"/>
    <n v="8516.9599999999991"/>
    <x v="6"/>
    <x v="2"/>
    <x v="0"/>
  </r>
  <r>
    <s v="ORD0159"/>
    <x v="99"/>
    <s v="Karnataka"/>
    <x v="2"/>
    <x v="3"/>
    <x v="9"/>
    <n v="1"/>
    <n v="3064.96"/>
    <n v="0.17"/>
    <n v="2543.92"/>
    <s v="Net Banking"/>
    <x v="1"/>
    <x v="1"/>
    <x v="0"/>
    <n v="3064.96"/>
    <x v="0"/>
    <x v="0"/>
    <x v="0"/>
  </r>
  <r>
    <s v="ORD0160"/>
    <x v="100"/>
    <s v="Gujarat"/>
    <x v="0"/>
    <x v="0"/>
    <x v="4"/>
    <n v="3"/>
    <n v="3282.85"/>
    <n v="0.06"/>
    <n v="9257.64"/>
    <s v="UPI"/>
    <x v="2"/>
    <x v="2"/>
    <x v="0"/>
    <n v="9848.5499999999993"/>
    <x v="4"/>
    <x v="4"/>
    <x v="0"/>
  </r>
  <r>
    <s v="ORD0161"/>
    <x v="101"/>
    <s v="Gujarat"/>
    <x v="2"/>
    <x v="2"/>
    <x v="5"/>
    <n v="3"/>
    <n v="3549.79"/>
    <n v="0.05"/>
    <n v="10116.9"/>
    <s v="Credit Card"/>
    <x v="2"/>
    <x v="0"/>
    <x v="0"/>
    <n v="10649.369999999999"/>
    <x v="5"/>
    <x v="5"/>
    <x v="0"/>
  </r>
  <r>
    <s v="ORD0162"/>
    <x v="102"/>
    <s v="Maharashtra"/>
    <x v="2"/>
    <x v="2"/>
    <x v="11"/>
    <n v="4"/>
    <n v="946.02"/>
    <n v="0.18"/>
    <n v="3102.95"/>
    <s v="Debit Card"/>
    <x v="0"/>
    <x v="2"/>
    <x v="0"/>
    <n v="3784.08"/>
    <x v="5"/>
    <x v="3"/>
    <x v="0"/>
  </r>
  <r>
    <s v="ORD0163"/>
    <x v="100"/>
    <s v="Karnataka"/>
    <x v="3"/>
    <x v="0"/>
    <x v="2"/>
    <n v="2"/>
    <n v="3989.11"/>
    <n v="0.13"/>
    <n v="6941.05"/>
    <s v="Debit Card"/>
    <x v="1"/>
    <x v="2"/>
    <x v="3"/>
    <n v="7978.22"/>
    <x v="4"/>
    <x v="4"/>
    <x v="0"/>
  </r>
  <r>
    <s v="ORD0164"/>
    <x v="89"/>
    <s v="Maharashtra"/>
    <x v="3"/>
    <x v="3"/>
    <x v="15"/>
    <n v="5"/>
    <n v="1907.66"/>
    <n v="0.2"/>
    <n v="7630.64"/>
    <s v="UPI"/>
    <x v="1"/>
    <x v="0"/>
    <x v="0"/>
    <n v="9538.3000000000011"/>
    <x v="1"/>
    <x v="5"/>
    <x v="0"/>
  </r>
  <r>
    <s v="ORD0165"/>
    <x v="61"/>
    <s v="Karnataka"/>
    <x v="0"/>
    <x v="0"/>
    <x v="0"/>
    <n v="4"/>
    <n v="2675.91"/>
    <n v="0.19"/>
    <n v="8669.9500000000007"/>
    <s v="Net Banking"/>
    <x v="1"/>
    <x v="0"/>
    <x v="0"/>
    <n v="10703.64"/>
    <x v="1"/>
    <x v="5"/>
    <x v="0"/>
  </r>
  <r>
    <s v="ORD0166"/>
    <x v="18"/>
    <s v="Tamil Nadu"/>
    <x v="3"/>
    <x v="4"/>
    <x v="19"/>
    <n v="5"/>
    <n v="1788.12"/>
    <n v="0.22"/>
    <n v="6973.67"/>
    <s v="Net Banking"/>
    <x v="1"/>
    <x v="0"/>
    <x v="3"/>
    <n v="8940.5999999999985"/>
    <x v="1"/>
    <x v="2"/>
    <x v="0"/>
  </r>
  <r>
    <s v="ORD0167"/>
    <x v="103"/>
    <s v="Gujarat"/>
    <x v="3"/>
    <x v="3"/>
    <x v="15"/>
    <n v="5"/>
    <n v="849.78"/>
    <n v="0.04"/>
    <n v="4078.94"/>
    <s v="Credit Card"/>
    <x v="0"/>
    <x v="1"/>
    <x v="0"/>
    <n v="4248.8999999999996"/>
    <x v="0"/>
    <x v="1"/>
    <x v="0"/>
  </r>
  <r>
    <s v="ORD0168"/>
    <x v="20"/>
    <s v="Maharashtra"/>
    <x v="0"/>
    <x v="1"/>
    <x v="1"/>
    <n v="5"/>
    <n v="1444.81"/>
    <n v="0.16"/>
    <n v="6068.2"/>
    <s v="UPI"/>
    <x v="0"/>
    <x v="0"/>
    <x v="0"/>
    <n v="7224.0499999999993"/>
    <x v="1"/>
    <x v="4"/>
    <x v="0"/>
  </r>
  <r>
    <s v="ORD0169"/>
    <x v="104"/>
    <s v="Delhi"/>
    <x v="0"/>
    <x v="3"/>
    <x v="12"/>
    <n v="5"/>
    <n v="1754.34"/>
    <n v="0.23"/>
    <n v="6754.21"/>
    <s v="COD"/>
    <x v="1"/>
    <x v="2"/>
    <x v="0"/>
    <n v="8771.6999999999989"/>
    <x v="2"/>
    <x v="4"/>
    <x v="0"/>
  </r>
  <r>
    <s v="ORD0170"/>
    <x v="105"/>
    <s v="Delhi"/>
    <x v="2"/>
    <x v="1"/>
    <x v="1"/>
    <n v="5"/>
    <n v="3231.06"/>
    <n v="0.12"/>
    <n v="14216.66"/>
    <s v="COD"/>
    <x v="2"/>
    <x v="0"/>
    <x v="0"/>
    <n v="16155.3"/>
    <x v="3"/>
    <x v="1"/>
    <x v="0"/>
  </r>
  <r>
    <s v="ORD0171"/>
    <x v="106"/>
    <s v="Delhi"/>
    <x v="1"/>
    <x v="4"/>
    <x v="18"/>
    <n v="4"/>
    <n v="457.57"/>
    <n v="0.01"/>
    <n v="1811.98"/>
    <s v="Net Banking"/>
    <x v="2"/>
    <x v="1"/>
    <x v="0"/>
    <n v="1830.28"/>
    <x v="5"/>
    <x v="0"/>
    <x v="0"/>
  </r>
  <r>
    <s v="ORD0172"/>
    <x v="107"/>
    <s v="Gujarat"/>
    <x v="3"/>
    <x v="3"/>
    <x v="9"/>
    <n v="3"/>
    <n v="3697.58"/>
    <n v="0.22"/>
    <n v="8652.34"/>
    <s v="Debit Card"/>
    <x v="2"/>
    <x v="1"/>
    <x v="3"/>
    <n v="11092.74"/>
    <x v="6"/>
    <x v="1"/>
    <x v="0"/>
  </r>
  <r>
    <s v="ORD0173"/>
    <x v="60"/>
    <s v="Karnataka"/>
    <x v="0"/>
    <x v="1"/>
    <x v="13"/>
    <n v="1"/>
    <n v="1410.61"/>
    <n v="0.06"/>
    <n v="1325.97"/>
    <s v="Debit Card"/>
    <x v="2"/>
    <x v="2"/>
    <x v="0"/>
    <n v="1410.61"/>
    <x v="5"/>
    <x v="3"/>
    <x v="0"/>
  </r>
  <r>
    <s v="ORD0174"/>
    <x v="1"/>
    <s v="Delhi"/>
    <x v="1"/>
    <x v="2"/>
    <x v="5"/>
    <n v="5"/>
    <n v="3633.53"/>
    <n v="0.05"/>
    <n v="17259.27"/>
    <s v="Debit Card"/>
    <x v="2"/>
    <x v="2"/>
    <x v="2"/>
    <n v="18167.650000000001"/>
    <x v="1"/>
    <x v="1"/>
    <x v="0"/>
  </r>
  <r>
    <s v="ORD0175"/>
    <x v="108"/>
    <s v="Karnataka"/>
    <x v="3"/>
    <x v="2"/>
    <x v="5"/>
    <n v="1"/>
    <n v="4731.6400000000003"/>
    <n v="0.13"/>
    <n v="4116.53"/>
    <s v="Net Banking"/>
    <x v="0"/>
    <x v="2"/>
    <x v="0"/>
    <n v="4731.6400000000003"/>
    <x v="4"/>
    <x v="2"/>
    <x v="0"/>
  </r>
  <r>
    <s v="ORD0176"/>
    <x v="109"/>
    <s v="Karnataka"/>
    <x v="1"/>
    <x v="0"/>
    <x v="0"/>
    <n v="4"/>
    <n v="1500.17"/>
    <n v="0"/>
    <n v="6000.68"/>
    <s v="Net Banking"/>
    <x v="1"/>
    <x v="2"/>
    <x v="0"/>
    <n v="6000.68"/>
    <x v="6"/>
    <x v="0"/>
    <x v="0"/>
  </r>
  <r>
    <s v="ORD0177"/>
    <x v="34"/>
    <s v="Tamil Nadu"/>
    <x v="2"/>
    <x v="4"/>
    <x v="17"/>
    <n v="4"/>
    <n v="350.67"/>
    <n v="0.14000000000000001"/>
    <n v="1206.3"/>
    <s v="UPI"/>
    <x v="0"/>
    <x v="1"/>
    <x v="0"/>
    <n v="1402.68"/>
    <x v="3"/>
    <x v="2"/>
    <x v="0"/>
  </r>
  <r>
    <s v="ORD0178"/>
    <x v="110"/>
    <s v="Gujarat"/>
    <x v="2"/>
    <x v="1"/>
    <x v="14"/>
    <n v="5"/>
    <n v="682.17"/>
    <n v="0.24"/>
    <n v="2592.25"/>
    <s v="UPI"/>
    <x v="1"/>
    <x v="1"/>
    <x v="3"/>
    <n v="3410.85"/>
    <x v="5"/>
    <x v="3"/>
    <x v="0"/>
  </r>
  <r>
    <s v="ORD0179"/>
    <x v="76"/>
    <s v="Delhi"/>
    <x v="3"/>
    <x v="4"/>
    <x v="17"/>
    <n v="5"/>
    <n v="2066.8000000000002"/>
    <n v="0.01"/>
    <n v="10230.66"/>
    <s v="Debit Card"/>
    <x v="1"/>
    <x v="2"/>
    <x v="0"/>
    <n v="10334"/>
    <x v="5"/>
    <x v="0"/>
    <x v="0"/>
  </r>
  <r>
    <s v="ORD0180"/>
    <x v="14"/>
    <s v="Delhi"/>
    <x v="1"/>
    <x v="2"/>
    <x v="5"/>
    <n v="2"/>
    <n v="1707.03"/>
    <n v="0.15"/>
    <n v="2901.95"/>
    <s v="COD"/>
    <x v="1"/>
    <x v="2"/>
    <x v="2"/>
    <n v="3414.06"/>
    <x v="2"/>
    <x v="5"/>
    <x v="0"/>
  </r>
  <r>
    <s v="ORD0181"/>
    <x v="111"/>
    <s v="Gujarat"/>
    <x v="2"/>
    <x v="4"/>
    <x v="17"/>
    <n v="4"/>
    <n v="3572.83"/>
    <n v="7.0000000000000007E-2"/>
    <n v="13290.93"/>
    <s v="COD"/>
    <x v="1"/>
    <x v="2"/>
    <x v="0"/>
    <n v="14291.32"/>
    <x v="3"/>
    <x v="4"/>
    <x v="0"/>
  </r>
  <r>
    <s v="ORD0182"/>
    <x v="90"/>
    <s v="Gujarat"/>
    <x v="3"/>
    <x v="0"/>
    <x v="3"/>
    <n v="1"/>
    <n v="3024.86"/>
    <n v="7.0000000000000007E-2"/>
    <n v="2813.12"/>
    <s v="UPI"/>
    <x v="1"/>
    <x v="0"/>
    <x v="0"/>
    <n v="3024.86"/>
    <x v="0"/>
    <x v="1"/>
    <x v="0"/>
  </r>
  <r>
    <s v="ORD0183"/>
    <x v="112"/>
    <s v="Delhi"/>
    <x v="3"/>
    <x v="1"/>
    <x v="14"/>
    <n v="5"/>
    <n v="3895.57"/>
    <n v="0.1"/>
    <n v="17530.07"/>
    <s v="COD"/>
    <x v="1"/>
    <x v="0"/>
    <x v="0"/>
    <n v="19477.850000000002"/>
    <x v="2"/>
    <x v="5"/>
    <x v="0"/>
  </r>
  <r>
    <s v="ORD0184"/>
    <x v="112"/>
    <s v="Maharashtra"/>
    <x v="1"/>
    <x v="0"/>
    <x v="4"/>
    <n v="4"/>
    <n v="842.01"/>
    <n v="0.17"/>
    <n v="2795.47"/>
    <s v="Net Banking"/>
    <x v="2"/>
    <x v="1"/>
    <x v="1"/>
    <n v="3368.04"/>
    <x v="2"/>
    <x v="5"/>
    <x v="0"/>
  </r>
  <r>
    <s v="ORD0185"/>
    <x v="111"/>
    <s v="Gujarat"/>
    <x v="2"/>
    <x v="0"/>
    <x v="4"/>
    <n v="3"/>
    <n v="4990.8"/>
    <n v="0.12"/>
    <n v="13175.71"/>
    <s v="Debit Card"/>
    <x v="1"/>
    <x v="1"/>
    <x v="2"/>
    <n v="14972.400000000001"/>
    <x v="3"/>
    <x v="4"/>
    <x v="0"/>
  </r>
  <r>
    <s v="ORD0186"/>
    <x v="113"/>
    <s v="Gujarat"/>
    <x v="2"/>
    <x v="2"/>
    <x v="6"/>
    <n v="3"/>
    <n v="3089.38"/>
    <n v="0.05"/>
    <n v="8804.73"/>
    <s v="UPI"/>
    <x v="1"/>
    <x v="2"/>
    <x v="0"/>
    <n v="9268.14"/>
    <x v="5"/>
    <x v="4"/>
    <x v="0"/>
  </r>
  <r>
    <s v="ORD0187"/>
    <x v="114"/>
    <s v="Karnataka"/>
    <x v="2"/>
    <x v="3"/>
    <x v="9"/>
    <n v="4"/>
    <n v="1653.5"/>
    <n v="0.09"/>
    <n v="6018.74"/>
    <s v="Debit Card"/>
    <x v="1"/>
    <x v="0"/>
    <x v="0"/>
    <n v="6614"/>
    <x v="2"/>
    <x v="4"/>
    <x v="0"/>
  </r>
  <r>
    <s v="ORD0188"/>
    <x v="115"/>
    <s v="Tamil Nadu"/>
    <x v="2"/>
    <x v="1"/>
    <x v="14"/>
    <n v="3"/>
    <n v="306.13"/>
    <n v="0.24"/>
    <n v="697.98"/>
    <s v="UPI"/>
    <x v="0"/>
    <x v="2"/>
    <x v="1"/>
    <n v="918.39"/>
    <x v="5"/>
    <x v="2"/>
    <x v="1"/>
  </r>
  <r>
    <s v="ORD0189"/>
    <x v="54"/>
    <s v="Delhi"/>
    <x v="0"/>
    <x v="4"/>
    <x v="18"/>
    <n v="3"/>
    <n v="4671.82"/>
    <n v="0.17"/>
    <n v="11632.83"/>
    <s v="Debit Card"/>
    <x v="1"/>
    <x v="2"/>
    <x v="0"/>
    <n v="14015.46"/>
    <x v="6"/>
    <x v="4"/>
    <x v="0"/>
  </r>
  <r>
    <s v="ORD0190"/>
    <x v="60"/>
    <s v="Delhi"/>
    <x v="1"/>
    <x v="1"/>
    <x v="10"/>
    <n v="5"/>
    <n v="1205.79"/>
    <n v="0.06"/>
    <n v="5667.21"/>
    <s v="Credit Card"/>
    <x v="1"/>
    <x v="2"/>
    <x v="0"/>
    <n v="6028.95"/>
    <x v="5"/>
    <x v="3"/>
    <x v="0"/>
  </r>
  <r>
    <s v="ORD0191"/>
    <x v="116"/>
    <s v="Delhi"/>
    <x v="1"/>
    <x v="2"/>
    <x v="7"/>
    <n v="2"/>
    <n v="2093.85"/>
    <n v="0.23"/>
    <n v="3224.53"/>
    <s v="Credit Card"/>
    <x v="1"/>
    <x v="1"/>
    <x v="0"/>
    <n v="4187.7"/>
    <x v="6"/>
    <x v="1"/>
    <x v="0"/>
  </r>
  <r>
    <s v="ORD0192"/>
    <x v="76"/>
    <s v="Karnataka"/>
    <x v="3"/>
    <x v="4"/>
    <x v="17"/>
    <n v="5"/>
    <n v="1237.8800000000001"/>
    <n v="0.18"/>
    <n v="5075.3100000000004"/>
    <s v="Credit Card"/>
    <x v="0"/>
    <x v="2"/>
    <x v="0"/>
    <n v="6189.4000000000005"/>
    <x v="5"/>
    <x v="0"/>
    <x v="0"/>
  </r>
  <r>
    <s v="ORD0193"/>
    <x v="24"/>
    <s v="Tamil Nadu"/>
    <x v="0"/>
    <x v="3"/>
    <x v="8"/>
    <n v="3"/>
    <n v="4396.04"/>
    <n v="0"/>
    <n v="13188.12"/>
    <s v="Net Banking"/>
    <x v="0"/>
    <x v="0"/>
    <x v="1"/>
    <n v="13188.119999999999"/>
    <x v="5"/>
    <x v="0"/>
    <x v="0"/>
  </r>
  <r>
    <s v="ORD0194"/>
    <x v="117"/>
    <s v="Tamil Nadu"/>
    <x v="1"/>
    <x v="4"/>
    <x v="17"/>
    <n v="4"/>
    <n v="4457.37"/>
    <n v="0.03"/>
    <n v="17294.599999999999"/>
    <s v="COD"/>
    <x v="1"/>
    <x v="0"/>
    <x v="0"/>
    <n v="17829.48"/>
    <x v="4"/>
    <x v="1"/>
    <x v="0"/>
  </r>
  <r>
    <s v="ORD0195"/>
    <x v="76"/>
    <s v="Delhi"/>
    <x v="2"/>
    <x v="0"/>
    <x v="2"/>
    <n v="3"/>
    <n v="3621.13"/>
    <n v="0"/>
    <n v="10863.39"/>
    <s v="Net Banking"/>
    <x v="1"/>
    <x v="1"/>
    <x v="0"/>
    <n v="10863.39"/>
    <x v="5"/>
    <x v="0"/>
    <x v="0"/>
  </r>
  <r>
    <s v="ORD0196"/>
    <x v="59"/>
    <s v="Gujarat"/>
    <x v="3"/>
    <x v="3"/>
    <x v="12"/>
    <n v="5"/>
    <n v="1706.84"/>
    <n v="0.1"/>
    <n v="7680.78"/>
    <s v="Net Banking"/>
    <x v="2"/>
    <x v="2"/>
    <x v="2"/>
    <n v="8534.1999999999989"/>
    <x v="3"/>
    <x v="3"/>
    <x v="0"/>
  </r>
  <r>
    <s v="ORD0197"/>
    <x v="50"/>
    <s v="Delhi"/>
    <x v="2"/>
    <x v="2"/>
    <x v="6"/>
    <n v="4"/>
    <n v="1254.05"/>
    <n v="0.19"/>
    <n v="4063.12"/>
    <s v="Credit Card"/>
    <x v="2"/>
    <x v="1"/>
    <x v="0"/>
    <n v="5016.2"/>
    <x v="5"/>
    <x v="4"/>
    <x v="0"/>
  </r>
  <r>
    <s v="ORD0198"/>
    <x v="99"/>
    <s v="Karnataka"/>
    <x v="3"/>
    <x v="1"/>
    <x v="13"/>
    <n v="2"/>
    <n v="404.41"/>
    <n v="0.03"/>
    <n v="784.56"/>
    <s v="UPI"/>
    <x v="1"/>
    <x v="1"/>
    <x v="0"/>
    <n v="808.82"/>
    <x v="0"/>
    <x v="0"/>
    <x v="1"/>
  </r>
  <r>
    <s v="ORD0199"/>
    <x v="46"/>
    <s v="Maharashtra"/>
    <x v="3"/>
    <x v="1"/>
    <x v="1"/>
    <n v="5"/>
    <n v="1182.1600000000001"/>
    <n v="0.24"/>
    <n v="4492.21"/>
    <s v="UPI"/>
    <x v="2"/>
    <x v="1"/>
    <x v="0"/>
    <n v="5910.8"/>
    <x v="6"/>
    <x v="2"/>
    <x v="0"/>
  </r>
  <r>
    <s v="ORD0200"/>
    <x v="85"/>
    <s v="Tamil Nadu"/>
    <x v="0"/>
    <x v="1"/>
    <x v="1"/>
    <n v="5"/>
    <n v="4029.78"/>
    <n v="0.21"/>
    <n v="15917.63"/>
    <s v="COD"/>
    <x v="2"/>
    <x v="2"/>
    <x v="0"/>
    <n v="20148.900000000001"/>
    <x v="6"/>
    <x v="3"/>
    <x v="0"/>
  </r>
  <r>
    <s v="ORD0201"/>
    <x v="0"/>
    <s v="Maharashtra"/>
    <x v="3"/>
    <x v="1"/>
    <x v="1"/>
    <n v="1"/>
    <n v="4160.99"/>
    <n v="0.23"/>
    <n v="3203.96"/>
    <s v="COD"/>
    <x v="0"/>
    <x v="2"/>
    <x v="0"/>
    <n v="4160.99"/>
    <x v="0"/>
    <x v="0"/>
    <x v="0"/>
  </r>
  <r>
    <s v="ORD0202"/>
    <x v="37"/>
    <s v="Maharashtra"/>
    <x v="0"/>
    <x v="1"/>
    <x v="14"/>
    <n v="5"/>
    <n v="2495.2600000000002"/>
    <n v="0.22"/>
    <n v="9731.51"/>
    <s v="Debit Card"/>
    <x v="1"/>
    <x v="1"/>
    <x v="0"/>
    <n v="12476.300000000001"/>
    <x v="3"/>
    <x v="5"/>
    <x v="0"/>
  </r>
  <r>
    <s v="ORD0203"/>
    <x v="1"/>
    <s v="Tamil Nadu"/>
    <x v="0"/>
    <x v="1"/>
    <x v="14"/>
    <n v="5"/>
    <n v="2365.65"/>
    <n v="0.2"/>
    <n v="9462.6"/>
    <s v="COD"/>
    <x v="0"/>
    <x v="0"/>
    <x v="0"/>
    <n v="11828.25"/>
    <x v="1"/>
    <x v="1"/>
    <x v="0"/>
  </r>
  <r>
    <s v="ORD0204"/>
    <x v="55"/>
    <s v="Gujarat"/>
    <x v="0"/>
    <x v="0"/>
    <x v="4"/>
    <n v="4"/>
    <n v="1788.19"/>
    <n v="0.02"/>
    <n v="7009.7"/>
    <s v="Credit Card"/>
    <x v="0"/>
    <x v="2"/>
    <x v="2"/>
    <n v="7152.76"/>
    <x v="1"/>
    <x v="2"/>
    <x v="0"/>
  </r>
  <r>
    <s v="ORD0205"/>
    <x v="118"/>
    <s v="Karnataka"/>
    <x v="1"/>
    <x v="2"/>
    <x v="7"/>
    <n v="2"/>
    <n v="3852.56"/>
    <n v="0.24"/>
    <n v="5855.89"/>
    <s v="Net Banking"/>
    <x v="0"/>
    <x v="0"/>
    <x v="0"/>
    <n v="7705.12"/>
    <x v="1"/>
    <x v="5"/>
    <x v="0"/>
  </r>
  <r>
    <s v="ORD0206"/>
    <x v="38"/>
    <s v="Tamil Nadu"/>
    <x v="3"/>
    <x v="2"/>
    <x v="5"/>
    <n v="5"/>
    <n v="751.65"/>
    <n v="0.22"/>
    <n v="2931.43"/>
    <s v="Net Banking"/>
    <x v="0"/>
    <x v="2"/>
    <x v="2"/>
    <n v="3758.25"/>
    <x v="6"/>
    <x v="2"/>
    <x v="0"/>
  </r>
  <r>
    <s v="ORD0207"/>
    <x v="69"/>
    <s v="Delhi"/>
    <x v="1"/>
    <x v="2"/>
    <x v="11"/>
    <n v="3"/>
    <n v="2368.7199999999998"/>
    <n v="0.18"/>
    <n v="5827.05"/>
    <s v="Credit Card"/>
    <x v="0"/>
    <x v="1"/>
    <x v="3"/>
    <n v="7106.16"/>
    <x v="2"/>
    <x v="4"/>
    <x v="0"/>
  </r>
  <r>
    <s v="ORD0208"/>
    <x v="119"/>
    <s v="Karnataka"/>
    <x v="0"/>
    <x v="3"/>
    <x v="15"/>
    <n v="2"/>
    <n v="4693.3100000000004"/>
    <n v="0.18"/>
    <n v="7697.03"/>
    <s v="Debit Card"/>
    <x v="2"/>
    <x v="2"/>
    <x v="3"/>
    <n v="9386.6200000000008"/>
    <x v="1"/>
    <x v="1"/>
    <x v="0"/>
  </r>
  <r>
    <s v="ORD0209"/>
    <x v="120"/>
    <s v="Delhi"/>
    <x v="0"/>
    <x v="2"/>
    <x v="7"/>
    <n v="1"/>
    <n v="3010.33"/>
    <n v="0.11"/>
    <n v="2679.19"/>
    <s v="Debit Card"/>
    <x v="0"/>
    <x v="0"/>
    <x v="0"/>
    <n v="3010.33"/>
    <x v="1"/>
    <x v="0"/>
    <x v="0"/>
  </r>
  <r>
    <s v="ORD0210"/>
    <x v="93"/>
    <s v="Tamil Nadu"/>
    <x v="2"/>
    <x v="0"/>
    <x v="3"/>
    <n v="2"/>
    <n v="3796.49"/>
    <n v="0.19"/>
    <n v="6150.31"/>
    <s v="Debit Card"/>
    <x v="1"/>
    <x v="2"/>
    <x v="0"/>
    <n v="7592.98"/>
    <x v="6"/>
    <x v="3"/>
    <x v="0"/>
  </r>
  <r>
    <s v="ORD0211"/>
    <x v="24"/>
    <s v="Gujarat"/>
    <x v="3"/>
    <x v="1"/>
    <x v="1"/>
    <n v="3"/>
    <n v="1260.83"/>
    <n v="0.22"/>
    <n v="2950.34"/>
    <s v="COD"/>
    <x v="1"/>
    <x v="0"/>
    <x v="0"/>
    <n v="3782.49"/>
    <x v="5"/>
    <x v="0"/>
    <x v="0"/>
  </r>
  <r>
    <s v="ORD0212"/>
    <x v="46"/>
    <s v="Gujarat"/>
    <x v="0"/>
    <x v="4"/>
    <x v="19"/>
    <n v="2"/>
    <n v="3167.37"/>
    <n v="0.11"/>
    <n v="5637.92"/>
    <s v="COD"/>
    <x v="1"/>
    <x v="1"/>
    <x v="2"/>
    <n v="6334.74"/>
    <x v="6"/>
    <x v="2"/>
    <x v="0"/>
  </r>
  <r>
    <s v="ORD0213"/>
    <x v="121"/>
    <s v="Tamil Nadu"/>
    <x v="3"/>
    <x v="2"/>
    <x v="6"/>
    <n v="3"/>
    <n v="1944.65"/>
    <n v="0.19"/>
    <n v="4725.5"/>
    <s v="Net Banking"/>
    <x v="0"/>
    <x v="1"/>
    <x v="3"/>
    <n v="5833.9500000000007"/>
    <x v="5"/>
    <x v="4"/>
    <x v="0"/>
  </r>
  <r>
    <s v="ORD0214"/>
    <x v="32"/>
    <s v="Tamil Nadu"/>
    <x v="1"/>
    <x v="4"/>
    <x v="16"/>
    <n v="4"/>
    <n v="4842.1499999999996"/>
    <n v="0.14000000000000001"/>
    <n v="16657"/>
    <s v="Credit Card"/>
    <x v="1"/>
    <x v="2"/>
    <x v="0"/>
    <n v="19368.599999999999"/>
    <x v="1"/>
    <x v="0"/>
    <x v="0"/>
  </r>
  <r>
    <s v="ORD0215"/>
    <x v="122"/>
    <s v="Maharashtra"/>
    <x v="2"/>
    <x v="3"/>
    <x v="9"/>
    <n v="1"/>
    <n v="2724.61"/>
    <n v="0.21"/>
    <n v="2152.44"/>
    <s v="Net Banking"/>
    <x v="2"/>
    <x v="2"/>
    <x v="0"/>
    <n v="2724.61"/>
    <x v="5"/>
    <x v="2"/>
    <x v="0"/>
  </r>
  <r>
    <s v="ORD0216"/>
    <x v="20"/>
    <s v="Maharashtra"/>
    <x v="2"/>
    <x v="1"/>
    <x v="13"/>
    <n v="5"/>
    <n v="1163.3800000000001"/>
    <n v="0.05"/>
    <n v="5526.06"/>
    <s v="Debit Card"/>
    <x v="1"/>
    <x v="1"/>
    <x v="2"/>
    <n v="5816.9000000000005"/>
    <x v="1"/>
    <x v="4"/>
    <x v="0"/>
  </r>
  <r>
    <s v="ORD0217"/>
    <x v="91"/>
    <s v="Delhi"/>
    <x v="3"/>
    <x v="0"/>
    <x v="4"/>
    <n v="4"/>
    <n v="4580.76"/>
    <n v="0.17"/>
    <n v="15208.12"/>
    <s v="Credit Card"/>
    <x v="1"/>
    <x v="0"/>
    <x v="0"/>
    <n v="18323.04"/>
    <x v="6"/>
    <x v="3"/>
    <x v="0"/>
  </r>
  <r>
    <s v="ORD0218"/>
    <x v="123"/>
    <s v="Karnataka"/>
    <x v="1"/>
    <x v="3"/>
    <x v="9"/>
    <n v="5"/>
    <n v="3278.73"/>
    <n v="0.08"/>
    <n v="15082.16"/>
    <s v="Net Banking"/>
    <x v="2"/>
    <x v="1"/>
    <x v="0"/>
    <n v="16393.650000000001"/>
    <x v="5"/>
    <x v="1"/>
    <x v="0"/>
  </r>
  <r>
    <s v="ORD0219"/>
    <x v="124"/>
    <s v="Delhi"/>
    <x v="3"/>
    <x v="2"/>
    <x v="6"/>
    <n v="4"/>
    <n v="324.01"/>
    <n v="0.22"/>
    <n v="1010.91"/>
    <s v="UPI"/>
    <x v="2"/>
    <x v="0"/>
    <x v="0"/>
    <n v="1296.04"/>
    <x v="4"/>
    <x v="3"/>
    <x v="0"/>
  </r>
  <r>
    <s v="ORD0220"/>
    <x v="109"/>
    <s v="Karnataka"/>
    <x v="1"/>
    <x v="1"/>
    <x v="14"/>
    <n v="3"/>
    <n v="1227.0899999999999"/>
    <n v="0.14000000000000001"/>
    <n v="3165.89"/>
    <s v="Debit Card"/>
    <x v="0"/>
    <x v="2"/>
    <x v="0"/>
    <n v="3681.2699999999995"/>
    <x v="6"/>
    <x v="0"/>
    <x v="0"/>
  </r>
  <r>
    <s v="ORD0221"/>
    <x v="125"/>
    <s v="Tamil Nadu"/>
    <x v="1"/>
    <x v="4"/>
    <x v="17"/>
    <n v="2"/>
    <n v="3690.58"/>
    <n v="0.09"/>
    <n v="6716.86"/>
    <s v="Net Banking"/>
    <x v="2"/>
    <x v="2"/>
    <x v="0"/>
    <n v="7381.16"/>
    <x v="4"/>
    <x v="5"/>
    <x v="0"/>
  </r>
  <r>
    <s v="ORD0222"/>
    <x v="84"/>
    <s v="Gujarat"/>
    <x v="3"/>
    <x v="1"/>
    <x v="13"/>
    <n v="1"/>
    <n v="3845.26"/>
    <n v="0.1"/>
    <n v="3460.73"/>
    <s v="Credit Card"/>
    <x v="0"/>
    <x v="0"/>
    <x v="0"/>
    <n v="3845.26"/>
    <x v="6"/>
    <x v="3"/>
    <x v="0"/>
  </r>
  <r>
    <s v="ORD0223"/>
    <x v="0"/>
    <s v="Delhi"/>
    <x v="1"/>
    <x v="3"/>
    <x v="8"/>
    <n v="3"/>
    <n v="396.21"/>
    <n v="0.16"/>
    <n v="998.45"/>
    <s v="COD"/>
    <x v="2"/>
    <x v="0"/>
    <x v="0"/>
    <n v="1188.6299999999999"/>
    <x v="0"/>
    <x v="0"/>
    <x v="1"/>
  </r>
  <r>
    <s v="ORD0224"/>
    <x v="20"/>
    <s v="Gujarat"/>
    <x v="2"/>
    <x v="0"/>
    <x v="0"/>
    <n v="1"/>
    <n v="181.96"/>
    <n v="0.18"/>
    <n v="149.21"/>
    <s v="COD"/>
    <x v="2"/>
    <x v="0"/>
    <x v="0"/>
    <n v="181.96"/>
    <x v="1"/>
    <x v="4"/>
    <x v="1"/>
  </r>
  <r>
    <s v="ORD0225"/>
    <x v="78"/>
    <s v="Maharashtra"/>
    <x v="2"/>
    <x v="2"/>
    <x v="11"/>
    <n v="2"/>
    <n v="1280.75"/>
    <n v="0.15"/>
    <n v="2177.2800000000002"/>
    <s v="Credit Card"/>
    <x v="1"/>
    <x v="1"/>
    <x v="0"/>
    <n v="2561.5"/>
    <x v="5"/>
    <x v="0"/>
    <x v="0"/>
  </r>
  <r>
    <s v="ORD0226"/>
    <x v="23"/>
    <s v="Karnataka"/>
    <x v="0"/>
    <x v="2"/>
    <x v="7"/>
    <n v="5"/>
    <n v="1291.72"/>
    <n v="0.17"/>
    <n v="5360.64"/>
    <s v="Net Banking"/>
    <x v="2"/>
    <x v="1"/>
    <x v="0"/>
    <n v="6458.6"/>
    <x v="3"/>
    <x v="2"/>
    <x v="0"/>
  </r>
  <r>
    <s v="ORD0227"/>
    <x v="108"/>
    <s v="Tamil Nadu"/>
    <x v="3"/>
    <x v="0"/>
    <x v="0"/>
    <n v="5"/>
    <n v="2432.42"/>
    <n v="0.16"/>
    <n v="10216.16"/>
    <s v="Net Banking"/>
    <x v="2"/>
    <x v="0"/>
    <x v="0"/>
    <n v="12162.1"/>
    <x v="4"/>
    <x v="2"/>
    <x v="0"/>
  </r>
  <r>
    <s v="ORD0228"/>
    <x v="126"/>
    <s v="Gujarat"/>
    <x v="1"/>
    <x v="2"/>
    <x v="6"/>
    <n v="1"/>
    <n v="1225.8599999999999"/>
    <n v="0.23"/>
    <n v="943.91"/>
    <s v="Credit Card"/>
    <x v="1"/>
    <x v="0"/>
    <x v="0"/>
    <n v="1225.8599999999999"/>
    <x v="6"/>
    <x v="5"/>
    <x v="1"/>
  </r>
  <r>
    <s v="ORD0229"/>
    <x v="40"/>
    <s v="Gujarat"/>
    <x v="3"/>
    <x v="0"/>
    <x v="2"/>
    <n v="1"/>
    <n v="978.84"/>
    <n v="0.21"/>
    <n v="773.28"/>
    <s v="COD"/>
    <x v="1"/>
    <x v="2"/>
    <x v="0"/>
    <n v="978.84"/>
    <x v="4"/>
    <x v="0"/>
    <x v="1"/>
  </r>
  <r>
    <s v="ORD0230"/>
    <x v="34"/>
    <s v="Karnataka"/>
    <x v="2"/>
    <x v="2"/>
    <x v="7"/>
    <n v="2"/>
    <n v="2876.81"/>
    <n v="0.21"/>
    <n v="4545.3599999999997"/>
    <s v="Debit Card"/>
    <x v="1"/>
    <x v="0"/>
    <x v="0"/>
    <n v="5753.62"/>
    <x v="3"/>
    <x v="2"/>
    <x v="0"/>
  </r>
  <r>
    <s v="ORD0231"/>
    <x v="50"/>
    <s v="Gujarat"/>
    <x v="1"/>
    <x v="3"/>
    <x v="8"/>
    <n v="1"/>
    <n v="2241.73"/>
    <n v="0.21"/>
    <n v="1770.97"/>
    <s v="UPI"/>
    <x v="0"/>
    <x v="1"/>
    <x v="2"/>
    <n v="2241.73"/>
    <x v="5"/>
    <x v="4"/>
    <x v="0"/>
  </r>
  <r>
    <s v="ORD0232"/>
    <x v="127"/>
    <s v="Karnataka"/>
    <x v="3"/>
    <x v="4"/>
    <x v="19"/>
    <n v="2"/>
    <n v="1843.47"/>
    <n v="0.24"/>
    <n v="2802.07"/>
    <s v="Net Banking"/>
    <x v="2"/>
    <x v="1"/>
    <x v="0"/>
    <n v="3686.94"/>
    <x v="2"/>
    <x v="3"/>
    <x v="0"/>
  </r>
  <r>
    <s v="ORD0233"/>
    <x v="52"/>
    <s v="Gujarat"/>
    <x v="3"/>
    <x v="2"/>
    <x v="7"/>
    <n v="1"/>
    <n v="501.99"/>
    <n v="0.04"/>
    <n v="481.91"/>
    <s v="UPI"/>
    <x v="0"/>
    <x v="0"/>
    <x v="0"/>
    <n v="501.99"/>
    <x v="2"/>
    <x v="6"/>
    <x v="1"/>
  </r>
  <r>
    <s v="ORD0234"/>
    <x v="114"/>
    <s v="Maharashtra"/>
    <x v="3"/>
    <x v="4"/>
    <x v="17"/>
    <n v="3"/>
    <n v="2279.21"/>
    <n v="0.19"/>
    <n v="5538.48"/>
    <s v="Credit Card"/>
    <x v="0"/>
    <x v="2"/>
    <x v="0"/>
    <n v="6837.63"/>
    <x v="2"/>
    <x v="4"/>
    <x v="0"/>
  </r>
  <r>
    <s v="ORD0235"/>
    <x v="128"/>
    <s v="Gujarat"/>
    <x v="0"/>
    <x v="2"/>
    <x v="5"/>
    <n v="4"/>
    <n v="606.14"/>
    <n v="0.02"/>
    <n v="2376.0700000000002"/>
    <s v="COD"/>
    <x v="1"/>
    <x v="0"/>
    <x v="0"/>
    <n v="2424.56"/>
    <x v="3"/>
    <x v="3"/>
    <x v="0"/>
  </r>
  <r>
    <s v="ORD0236"/>
    <x v="119"/>
    <s v="Maharashtra"/>
    <x v="3"/>
    <x v="4"/>
    <x v="18"/>
    <n v="4"/>
    <n v="3917.93"/>
    <n v="0.18"/>
    <n v="12850.81"/>
    <s v="UPI"/>
    <x v="2"/>
    <x v="0"/>
    <x v="0"/>
    <n v="15671.72"/>
    <x v="1"/>
    <x v="1"/>
    <x v="0"/>
  </r>
  <r>
    <s v="ORD0237"/>
    <x v="21"/>
    <s v="Delhi"/>
    <x v="1"/>
    <x v="3"/>
    <x v="15"/>
    <n v="3"/>
    <n v="1415.19"/>
    <n v="0.04"/>
    <n v="4075.75"/>
    <s v="Debit Card"/>
    <x v="2"/>
    <x v="2"/>
    <x v="0"/>
    <n v="4245.57"/>
    <x v="2"/>
    <x v="4"/>
    <x v="0"/>
  </r>
  <r>
    <s v="ORD0238"/>
    <x v="83"/>
    <s v="Maharashtra"/>
    <x v="3"/>
    <x v="4"/>
    <x v="18"/>
    <n v="2"/>
    <n v="3632.41"/>
    <n v="0.12"/>
    <n v="6393.04"/>
    <s v="UPI"/>
    <x v="2"/>
    <x v="0"/>
    <x v="0"/>
    <n v="7264.82"/>
    <x v="5"/>
    <x v="5"/>
    <x v="0"/>
  </r>
  <r>
    <s v="ORD0239"/>
    <x v="129"/>
    <s v="Maharashtra"/>
    <x v="2"/>
    <x v="3"/>
    <x v="9"/>
    <n v="5"/>
    <n v="1961.46"/>
    <n v="0.22"/>
    <n v="7649.69"/>
    <s v="Net Banking"/>
    <x v="2"/>
    <x v="1"/>
    <x v="0"/>
    <n v="9807.2999999999993"/>
    <x v="3"/>
    <x v="4"/>
    <x v="0"/>
  </r>
  <r>
    <s v="ORD0240"/>
    <x v="130"/>
    <s v="Karnataka"/>
    <x v="2"/>
    <x v="1"/>
    <x v="10"/>
    <n v="2"/>
    <n v="2447.15"/>
    <n v="0.04"/>
    <n v="4698.53"/>
    <s v="UPI"/>
    <x v="1"/>
    <x v="1"/>
    <x v="0"/>
    <n v="4894.3"/>
    <x v="3"/>
    <x v="1"/>
    <x v="0"/>
  </r>
  <r>
    <s v="ORD0241"/>
    <x v="1"/>
    <s v="Karnataka"/>
    <x v="3"/>
    <x v="2"/>
    <x v="11"/>
    <n v="4"/>
    <n v="1888.58"/>
    <n v="0.23"/>
    <n v="5816.83"/>
    <s v="Net Banking"/>
    <x v="2"/>
    <x v="2"/>
    <x v="0"/>
    <n v="7554.32"/>
    <x v="1"/>
    <x v="1"/>
    <x v="0"/>
  </r>
  <r>
    <s v="ORD0242"/>
    <x v="131"/>
    <s v="Tamil Nadu"/>
    <x v="1"/>
    <x v="1"/>
    <x v="13"/>
    <n v="3"/>
    <n v="4173.28"/>
    <n v="0.02"/>
    <n v="12269.44"/>
    <s v="Debit Card"/>
    <x v="2"/>
    <x v="1"/>
    <x v="0"/>
    <n v="12519.84"/>
    <x v="0"/>
    <x v="6"/>
    <x v="0"/>
  </r>
  <r>
    <s v="ORD0243"/>
    <x v="61"/>
    <s v="Karnataka"/>
    <x v="1"/>
    <x v="4"/>
    <x v="16"/>
    <n v="4"/>
    <n v="3966.48"/>
    <n v="0.02"/>
    <n v="15548.6"/>
    <s v="Debit Card"/>
    <x v="1"/>
    <x v="0"/>
    <x v="0"/>
    <n v="15865.92"/>
    <x v="1"/>
    <x v="5"/>
    <x v="0"/>
  </r>
  <r>
    <s v="ORD0244"/>
    <x v="93"/>
    <s v="Gujarat"/>
    <x v="3"/>
    <x v="1"/>
    <x v="14"/>
    <n v="5"/>
    <n v="3009.72"/>
    <n v="0.23"/>
    <n v="11587.42"/>
    <s v="Credit Card"/>
    <x v="2"/>
    <x v="2"/>
    <x v="0"/>
    <n v="15048.599999999999"/>
    <x v="6"/>
    <x v="3"/>
    <x v="0"/>
  </r>
  <r>
    <s v="ORD0245"/>
    <x v="56"/>
    <s v="Gujarat"/>
    <x v="0"/>
    <x v="4"/>
    <x v="16"/>
    <n v="4"/>
    <n v="4837.37"/>
    <n v="0.08"/>
    <n v="17801.52"/>
    <s v="Credit Card"/>
    <x v="1"/>
    <x v="1"/>
    <x v="0"/>
    <n v="19349.48"/>
    <x v="1"/>
    <x v="3"/>
    <x v="0"/>
  </r>
  <r>
    <s v="ORD0246"/>
    <x v="33"/>
    <s v="Gujarat"/>
    <x v="1"/>
    <x v="4"/>
    <x v="16"/>
    <n v="5"/>
    <n v="3469.56"/>
    <n v="0.06"/>
    <n v="16306.93"/>
    <s v="COD"/>
    <x v="1"/>
    <x v="1"/>
    <x v="0"/>
    <n v="17347.8"/>
    <x v="6"/>
    <x v="3"/>
    <x v="0"/>
  </r>
  <r>
    <s v="ORD0247"/>
    <x v="132"/>
    <s v="Karnataka"/>
    <x v="0"/>
    <x v="1"/>
    <x v="10"/>
    <n v="1"/>
    <n v="1547.62"/>
    <n v="0.23"/>
    <n v="1191.67"/>
    <s v="Credit Card"/>
    <x v="2"/>
    <x v="2"/>
    <x v="3"/>
    <n v="1547.62"/>
    <x v="3"/>
    <x v="5"/>
    <x v="0"/>
  </r>
  <r>
    <s v="ORD0248"/>
    <x v="133"/>
    <s v="Karnataka"/>
    <x v="1"/>
    <x v="3"/>
    <x v="9"/>
    <n v="2"/>
    <n v="2653.46"/>
    <n v="0.09"/>
    <n v="4829.3"/>
    <s v="UPI"/>
    <x v="2"/>
    <x v="2"/>
    <x v="0"/>
    <n v="5306.92"/>
    <x v="2"/>
    <x v="2"/>
    <x v="0"/>
  </r>
  <r>
    <s v="ORD0249"/>
    <x v="134"/>
    <s v="Maharashtra"/>
    <x v="3"/>
    <x v="2"/>
    <x v="6"/>
    <n v="1"/>
    <n v="210.67"/>
    <n v="0.09"/>
    <n v="191.71"/>
    <s v="UPI"/>
    <x v="0"/>
    <x v="2"/>
    <x v="1"/>
    <n v="210.67"/>
    <x v="2"/>
    <x v="1"/>
    <x v="1"/>
  </r>
  <r>
    <s v="ORD0250"/>
    <x v="133"/>
    <s v="Gujarat"/>
    <x v="3"/>
    <x v="3"/>
    <x v="12"/>
    <n v="5"/>
    <n v="2189.21"/>
    <n v="0.12"/>
    <n v="9632.52"/>
    <s v="Debit Card"/>
    <x v="2"/>
    <x v="1"/>
    <x v="0"/>
    <n v="10946.05"/>
    <x v="2"/>
    <x v="2"/>
    <x v="0"/>
  </r>
  <r>
    <s v="ORD0251"/>
    <x v="93"/>
    <s v="Maharashtra"/>
    <x v="3"/>
    <x v="2"/>
    <x v="5"/>
    <n v="4"/>
    <n v="3001.8"/>
    <n v="0.1"/>
    <n v="10806.48"/>
    <s v="COD"/>
    <x v="0"/>
    <x v="0"/>
    <x v="0"/>
    <n v="12007.2"/>
    <x v="6"/>
    <x v="3"/>
    <x v="0"/>
  </r>
  <r>
    <s v="ORD0252"/>
    <x v="92"/>
    <s v="Gujarat"/>
    <x v="1"/>
    <x v="0"/>
    <x v="0"/>
    <n v="3"/>
    <n v="1065.6600000000001"/>
    <n v="0.03"/>
    <n v="3101.07"/>
    <s v="Debit Card"/>
    <x v="2"/>
    <x v="0"/>
    <x v="0"/>
    <n v="3196.9800000000005"/>
    <x v="0"/>
    <x v="4"/>
    <x v="0"/>
  </r>
  <r>
    <s v="ORD0253"/>
    <x v="53"/>
    <s v="Gujarat"/>
    <x v="3"/>
    <x v="4"/>
    <x v="18"/>
    <n v="1"/>
    <n v="1804.83"/>
    <n v="0.21"/>
    <n v="1425.82"/>
    <s v="Net Banking"/>
    <x v="1"/>
    <x v="0"/>
    <x v="3"/>
    <n v="1804.83"/>
    <x v="4"/>
    <x v="1"/>
    <x v="0"/>
  </r>
  <r>
    <s v="ORD0254"/>
    <x v="12"/>
    <s v="Delhi"/>
    <x v="3"/>
    <x v="4"/>
    <x v="19"/>
    <n v="2"/>
    <n v="1596.36"/>
    <n v="0.05"/>
    <n v="3033.08"/>
    <s v="UPI"/>
    <x v="0"/>
    <x v="0"/>
    <x v="0"/>
    <n v="3192.72"/>
    <x v="6"/>
    <x v="1"/>
    <x v="0"/>
  </r>
  <r>
    <s v="ORD0255"/>
    <x v="135"/>
    <s v="Gujarat"/>
    <x v="3"/>
    <x v="2"/>
    <x v="11"/>
    <n v="2"/>
    <n v="2484.6799999999998"/>
    <n v="0.13"/>
    <n v="4323.34"/>
    <s v="Net Banking"/>
    <x v="2"/>
    <x v="0"/>
    <x v="0"/>
    <n v="4969.3599999999997"/>
    <x v="6"/>
    <x v="0"/>
    <x v="0"/>
  </r>
  <r>
    <s v="ORD0256"/>
    <x v="129"/>
    <s v="Delhi"/>
    <x v="1"/>
    <x v="2"/>
    <x v="6"/>
    <n v="4"/>
    <n v="3135.11"/>
    <n v="0.22"/>
    <n v="9781.5400000000009"/>
    <s v="Debit Card"/>
    <x v="2"/>
    <x v="2"/>
    <x v="0"/>
    <n v="12540.44"/>
    <x v="3"/>
    <x v="4"/>
    <x v="0"/>
  </r>
  <r>
    <s v="ORD0257"/>
    <x v="136"/>
    <s v="Tamil Nadu"/>
    <x v="3"/>
    <x v="2"/>
    <x v="5"/>
    <n v="4"/>
    <n v="2494.63"/>
    <n v="0.02"/>
    <n v="9778.9500000000007"/>
    <s v="Net Banking"/>
    <x v="2"/>
    <x v="2"/>
    <x v="0"/>
    <n v="9978.52"/>
    <x v="2"/>
    <x v="3"/>
    <x v="0"/>
  </r>
  <r>
    <s v="ORD0258"/>
    <x v="64"/>
    <s v="Gujarat"/>
    <x v="0"/>
    <x v="4"/>
    <x v="16"/>
    <n v="4"/>
    <n v="2871.69"/>
    <n v="0.19"/>
    <n v="9304.2800000000007"/>
    <s v="UPI"/>
    <x v="0"/>
    <x v="1"/>
    <x v="0"/>
    <n v="11486.76"/>
    <x v="5"/>
    <x v="1"/>
    <x v="0"/>
  </r>
  <r>
    <s v="ORD0259"/>
    <x v="32"/>
    <s v="Gujarat"/>
    <x v="3"/>
    <x v="4"/>
    <x v="17"/>
    <n v="4"/>
    <n v="2777.13"/>
    <n v="0.25"/>
    <n v="8331.39"/>
    <s v="Credit Card"/>
    <x v="1"/>
    <x v="2"/>
    <x v="0"/>
    <n v="11108.52"/>
    <x v="1"/>
    <x v="0"/>
    <x v="0"/>
  </r>
  <r>
    <s v="ORD0260"/>
    <x v="80"/>
    <s v="Karnataka"/>
    <x v="3"/>
    <x v="0"/>
    <x v="3"/>
    <n v="4"/>
    <n v="4339.92"/>
    <n v="0.03"/>
    <n v="16838.89"/>
    <s v="UPI"/>
    <x v="0"/>
    <x v="2"/>
    <x v="3"/>
    <n v="17359.68"/>
    <x v="0"/>
    <x v="4"/>
    <x v="0"/>
  </r>
  <r>
    <s v="ORD0261"/>
    <x v="40"/>
    <s v="Gujarat"/>
    <x v="0"/>
    <x v="1"/>
    <x v="1"/>
    <n v="5"/>
    <n v="782.25"/>
    <n v="0.05"/>
    <n v="3715.69"/>
    <s v="Net Banking"/>
    <x v="0"/>
    <x v="2"/>
    <x v="0"/>
    <n v="3911.25"/>
    <x v="4"/>
    <x v="0"/>
    <x v="0"/>
  </r>
  <r>
    <s v="ORD0262"/>
    <x v="51"/>
    <s v="Gujarat"/>
    <x v="2"/>
    <x v="1"/>
    <x v="1"/>
    <n v="3"/>
    <n v="4897.1000000000004"/>
    <n v="7.0000000000000007E-2"/>
    <n v="13662.91"/>
    <s v="COD"/>
    <x v="0"/>
    <x v="0"/>
    <x v="2"/>
    <n v="14691.300000000001"/>
    <x v="3"/>
    <x v="1"/>
    <x v="0"/>
  </r>
  <r>
    <s v="ORD0263"/>
    <x v="51"/>
    <s v="Delhi"/>
    <x v="3"/>
    <x v="1"/>
    <x v="13"/>
    <n v="3"/>
    <n v="4348.53"/>
    <n v="0.03"/>
    <n v="12654.22"/>
    <s v="Net Banking"/>
    <x v="0"/>
    <x v="2"/>
    <x v="0"/>
    <n v="13045.59"/>
    <x v="3"/>
    <x v="1"/>
    <x v="0"/>
  </r>
  <r>
    <s v="ORD0264"/>
    <x v="65"/>
    <s v="Tamil Nadu"/>
    <x v="1"/>
    <x v="4"/>
    <x v="16"/>
    <n v="5"/>
    <n v="3198.77"/>
    <n v="0.16"/>
    <n v="13434.83"/>
    <s v="Net Banking"/>
    <x v="0"/>
    <x v="1"/>
    <x v="0"/>
    <n v="15993.85"/>
    <x v="6"/>
    <x v="0"/>
    <x v="0"/>
  </r>
  <r>
    <s v="ORD0265"/>
    <x v="137"/>
    <s v="Gujarat"/>
    <x v="0"/>
    <x v="0"/>
    <x v="3"/>
    <n v="3"/>
    <n v="2328.0100000000002"/>
    <n v="0.12"/>
    <n v="6145.95"/>
    <s v="UPI"/>
    <x v="1"/>
    <x v="0"/>
    <x v="1"/>
    <n v="6984.0300000000007"/>
    <x v="4"/>
    <x v="4"/>
    <x v="0"/>
  </r>
  <r>
    <s v="ORD0266"/>
    <x v="138"/>
    <s v="Karnataka"/>
    <x v="1"/>
    <x v="0"/>
    <x v="3"/>
    <n v="4"/>
    <n v="1167.3699999999999"/>
    <n v="0.11"/>
    <n v="4155.84"/>
    <s v="Credit Card"/>
    <x v="1"/>
    <x v="2"/>
    <x v="0"/>
    <n v="4669.4799999999996"/>
    <x v="4"/>
    <x v="4"/>
    <x v="0"/>
  </r>
  <r>
    <s v="ORD0267"/>
    <x v="139"/>
    <s v="Gujarat"/>
    <x v="0"/>
    <x v="4"/>
    <x v="17"/>
    <n v="5"/>
    <n v="4276.87"/>
    <n v="0.2"/>
    <n v="17107.48"/>
    <s v="COD"/>
    <x v="0"/>
    <x v="0"/>
    <x v="0"/>
    <n v="21384.35"/>
    <x v="2"/>
    <x v="2"/>
    <x v="0"/>
  </r>
  <r>
    <s v="ORD0268"/>
    <x v="46"/>
    <s v="Maharashtra"/>
    <x v="3"/>
    <x v="2"/>
    <x v="7"/>
    <n v="4"/>
    <n v="103.31"/>
    <n v="0.24"/>
    <n v="314.06"/>
    <s v="Debit Card"/>
    <x v="2"/>
    <x v="2"/>
    <x v="1"/>
    <n v="413.24"/>
    <x v="6"/>
    <x v="2"/>
    <x v="1"/>
  </r>
  <r>
    <s v="ORD0269"/>
    <x v="114"/>
    <s v="Karnataka"/>
    <x v="3"/>
    <x v="4"/>
    <x v="16"/>
    <n v="3"/>
    <n v="1326.91"/>
    <n v="0.09"/>
    <n v="3622.46"/>
    <s v="Credit Card"/>
    <x v="1"/>
    <x v="0"/>
    <x v="0"/>
    <n v="3980.7300000000005"/>
    <x v="2"/>
    <x v="4"/>
    <x v="0"/>
  </r>
  <r>
    <s v="ORD0270"/>
    <x v="124"/>
    <s v="Tamil Nadu"/>
    <x v="3"/>
    <x v="4"/>
    <x v="16"/>
    <n v="1"/>
    <n v="105.32"/>
    <n v="0.12"/>
    <n v="92.68"/>
    <s v="Credit Card"/>
    <x v="1"/>
    <x v="2"/>
    <x v="0"/>
    <n v="105.32"/>
    <x v="4"/>
    <x v="3"/>
    <x v="1"/>
  </r>
  <r>
    <s v="ORD0271"/>
    <x v="45"/>
    <s v="Maharashtra"/>
    <x v="1"/>
    <x v="2"/>
    <x v="7"/>
    <n v="4"/>
    <n v="3500.75"/>
    <n v="0.12"/>
    <n v="12322.64"/>
    <s v="UPI"/>
    <x v="0"/>
    <x v="2"/>
    <x v="0"/>
    <n v="14003"/>
    <x v="0"/>
    <x v="4"/>
    <x v="0"/>
  </r>
  <r>
    <s v="ORD0272"/>
    <x v="36"/>
    <s v="Karnataka"/>
    <x v="3"/>
    <x v="0"/>
    <x v="0"/>
    <n v="2"/>
    <n v="1975.33"/>
    <n v="0.2"/>
    <n v="3160.53"/>
    <s v="UPI"/>
    <x v="2"/>
    <x v="2"/>
    <x v="0"/>
    <n v="3950.66"/>
    <x v="0"/>
    <x v="5"/>
    <x v="0"/>
  </r>
  <r>
    <s v="ORD0273"/>
    <x v="39"/>
    <s v="Gujarat"/>
    <x v="1"/>
    <x v="1"/>
    <x v="13"/>
    <n v="3"/>
    <n v="3639.92"/>
    <n v="0.16"/>
    <n v="9172.6"/>
    <s v="Debit Card"/>
    <x v="2"/>
    <x v="2"/>
    <x v="0"/>
    <n v="10919.76"/>
    <x v="5"/>
    <x v="2"/>
    <x v="0"/>
  </r>
  <r>
    <s v="ORD0274"/>
    <x v="131"/>
    <s v="Maharashtra"/>
    <x v="2"/>
    <x v="2"/>
    <x v="11"/>
    <n v="1"/>
    <n v="2988.91"/>
    <n v="0.1"/>
    <n v="2690.02"/>
    <s v="Credit Card"/>
    <x v="0"/>
    <x v="1"/>
    <x v="3"/>
    <n v="2988.91"/>
    <x v="0"/>
    <x v="6"/>
    <x v="0"/>
  </r>
  <r>
    <s v="ORD0275"/>
    <x v="50"/>
    <s v="Maharashtra"/>
    <x v="0"/>
    <x v="3"/>
    <x v="9"/>
    <n v="5"/>
    <n v="3040.04"/>
    <n v="0.15"/>
    <n v="12920.17"/>
    <s v="Debit Card"/>
    <x v="1"/>
    <x v="0"/>
    <x v="3"/>
    <n v="15200.2"/>
    <x v="5"/>
    <x v="4"/>
    <x v="0"/>
  </r>
  <r>
    <s v="ORD0276"/>
    <x v="106"/>
    <s v="Gujarat"/>
    <x v="3"/>
    <x v="4"/>
    <x v="16"/>
    <n v="2"/>
    <n v="3764.43"/>
    <n v="7.0000000000000007E-2"/>
    <n v="7001.84"/>
    <s v="COD"/>
    <x v="1"/>
    <x v="2"/>
    <x v="0"/>
    <n v="7528.86"/>
    <x v="5"/>
    <x v="0"/>
    <x v="0"/>
  </r>
  <r>
    <s v="ORD0277"/>
    <x v="48"/>
    <s v="Tamil Nadu"/>
    <x v="2"/>
    <x v="0"/>
    <x v="4"/>
    <n v="5"/>
    <n v="4454.75"/>
    <n v="0"/>
    <n v="22273.75"/>
    <s v="COD"/>
    <x v="0"/>
    <x v="1"/>
    <x v="0"/>
    <n v="22273.75"/>
    <x v="4"/>
    <x v="0"/>
    <x v="0"/>
  </r>
  <r>
    <s v="ORD0278"/>
    <x v="82"/>
    <s v="Karnataka"/>
    <x v="0"/>
    <x v="1"/>
    <x v="14"/>
    <n v="2"/>
    <n v="3837.36"/>
    <n v="0.24"/>
    <n v="5832.79"/>
    <s v="COD"/>
    <x v="1"/>
    <x v="2"/>
    <x v="0"/>
    <n v="7674.72"/>
    <x v="1"/>
    <x v="0"/>
    <x v="0"/>
  </r>
  <r>
    <s v="ORD0279"/>
    <x v="140"/>
    <s v="Delhi"/>
    <x v="1"/>
    <x v="0"/>
    <x v="2"/>
    <n v="4"/>
    <n v="2582.39"/>
    <n v="0.16"/>
    <n v="8676.83"/>
    <s v="Credit Card"/>
    <x v="0"/>
    <x v="0"/>
    <x v="0"/>
    <n v="10329.56"/>
    <x v="2"/>
    <x v="2"/>
    <x v="0"/>
  </r>
  <r>
    <s v="ORD0280"/>
    <x v="141"/>
    <s v="Gujarat"/>
    <x v="3"/>
    <x v="2"/>
    <x v="7"/>
    <n v="2"/>
    <n v="1459.59"/>
    <n v="0.08"/>
    <n v="2685.65"/>
    <s v="COD"/>
    <x v="1"/>
    <x v="0"/>
    <x v="2"/>
    <n v="2919.18"/>
    <x v="0"/>
    <x v="0"/>
    <x v="0"/>
  </r>
  <r>
    <s v="ORD0281"/>
    <x v="142"/>
    <s v="Tamil Nadu"/>
    <x v="0"/>
    <x v="3"/>
    <x v="9"/>
    <n v="1"/>
    <n v="1619.83"/>
    <n v="0.11"/>
    <n v="1441.65"/>
    <s v="COD"/>
    <x v="1"/>
    <x v="2"/>
    <x v="0"/>
    <n v="1619.83"/>
    <x v="2"/>
    <x v="5"/>
    <x v="0"/>
  </r>
  <r>
    <s v="ORD0282"/>
    <x v="89"/>
    <s v="Tamil Nadu"/>
    <x v="3"/>
    <x v="2"/>
    <x v="7"/>
    <n v="1"/>
    <n v="1615.52"/>
    <n v="0.19"/>
    <n v="1308.57"/>
    <s v="COD"/>
    <x v="1"/>
    <x v="0"/>
    <x v="0"/>
    <n v="1615.52"/>
    <x v="1"/>
    <x v="5"/>
    <x v="0"/>
  </r>
  <r>
    <s v="ORD0283"/>
    <x v="74"/>
    <s v="Delhi"/>
    <x v="3"/>
    <x v="3"/>
    <x v="8"/>
    <n v="5"/>
    <n v="2634.39"/>
    <n v="0.21"/>
    <n v="10405.84"/>
    <s v="Net Banking"/>
    <x v="2"/>
    <x v="1"/>
    <x v="0"/>
    <n v="13171.949999999999"/>
    <x v="2"/>
    <x v="0"/>
    <x v="0"/>
  </r>
  <r>
    <s v="ORD0284"/>
    <x v="25"/>
    <s v="Maharashtra"/>
    <x v="0"/>
    <x v="4"/>
    <x v="19"/>
    <n v="3"/>
    <n v="2666.89"/>
    <n v="7.0000000000000007E-2"/>
    <n v="7440.62"/>
    <s v="UPI"/>
    <x v="2"/>
    <x v="0"/>
    <x v="0"/>
    <n v="8000.67"/>
    <x v="1"/>
    <x v="0"/>
    <x v="0"/>
  </r>
  <r>
    <s v="ORD0285"/>
    <x v="126"/>
    <s v="Maharashtra"/>
    <x v="0"/>
    <x v="1"/>
    <x v="1"/>
    <n v="2"/>
    <n v="1901.67"/>
    <n v="0.06"/>
    <n v="3575.14"/>
    <s v="Net Banking"/>
    <x v="1"/>
    <x v="2"/>
    <x v="0"/>
    <n v="3803.34"/>
    <x v="6"/>
    <x v="5"/>
    <x v="0"/>
  </r>
  <r>
    <s v="ORD0286"/>
    <x v="143"/>
    <s v="Maharashtra"/>
    <x v="3"/>
    <x v="1"/>
    <x v="13"/>
    <n v="1"/>
    <n v="2411.65"/>
    <n v="0.1"/>
    <n v="2170.4899999999998"/>
    <s v="Credit Card"/>
    <x v="0"/>
    <x v="2"/>
    <x v="1"/>
    <n v="2411.65"/>
    <x v="4"/>
    <x v="5"/>
    <x v="0"/>
  </r>
  <r>
    <s v="ORD0287"/>
    <x v="102"/>
    <s v="Delhi"/>
    <x v="2"/>
    <x v="0"/>
    <x v="3"/>
    <n v="4"/>
    <n v="4587.6899999999996"/>
    <n v="0.08"/>
    <n v="16882.7"/>
    <s v="UPI"/>
    <x v="0"/>
    <x v="2"/>
    <x v="0"/>
    <n v="18350.759999999998"/>
    <x v="5"/>
    <x v="3"/>
    <x v="0"/>
  </r>
  <r>
    <s v="ORD0288"/>
    <x v="144"/>
    <s v="Delhi"/>
    <x v="2"/>
    <x v="0"/>
    <x v="4"/>
    <n v="4"/>
    <n v="437.74"/>
    <n v="0.12"/>
    <n v="1540.84"/>
    <s v="COD"/>
    <x v="0"/>
    <x v="1"/>
    <x v="0"/>
    <n v="1750.96"/>
    <x v="6"/>
    <x v="4"/>
    <x v="0"/>
  </r>
  <r>
    <s v="ORD0289"/>
    <x v="27"/>
    <s v="Maharashtra"/>
    <x v="3"/>
    <x v="1"/>
    <x v="14"/>
    <n v="3"/>
    <n v="2862.65"/>
    <n v="0.08"/>
    <n v="7900.91"/>
    <s v="UPI"/>
    <x v="0"/>
    <x v="0"/>
    <x v="0"/>
    <n v="8587.9500000000007"/>
    <x v="3"/>
    <x v="5"/>
    <x v="0"/>
  </r>
  <r>
    <s v="ORD0290"/>
    <x v="145"/>
    <s v="Delhi"/>
    <x v="2"/>
    <x v="1"/>
    <x v="14"/>
    <n v="2"/>
    <n v="131.25"/>
    <n v="0.1"/>
    <n v="236.25"/>
    <s v="COD"/>
    <x v="0"/>
    <x v="2"/>
    <x v="0"/>
    <n v="262.5"/>
    <x v="6"/>
    <x v="1"/>
    <x v="1"/>
  </r>
  <r>
    <s v="ORD0291"/>
    <x v="115"/>
    <s v="Maharashtra"/>
    <x v="1"/>
    <x v="0"/>
    <x v="2"/>
    <n v="3"/>
    <n v="609.35"/>
    <n v="0.13"/>
    <n v="1590.4"/>
    <s v="Net Banking"/>
    <x v="1"/>
    <x v="2"/>
    <x v="0"/>
    <n v="1828.0500000000002"/>
    <x v="5"/>
    <x v="2"/>
    <x v="0"/>
  </r>
  <r>
    <s v="ORD0292"/>
    <x v="6"/>
    <s v="Karnataka"/>
    <x v="2"/>
    <x v="0"/>
    <x v="4"/>
    <n v="2"/>
    <n v="4496.71"/>
    <n v="0.13"/>
    <n v="7824.28"/>
    <s v="Credit Card"/>
    <x v="0"/>
    <x v="0"/>
    <x v="0"/>
    <n v="8993.42"/>
    <x v="4"/>
    <x v="2"/>
    <x v="0"/>
  </r>
  <r>
    <s v="ORD0293"/>
    <x v="90"/>
    <s v="Gujarat"/>
    <x v="3"/>
    <x v="0"/>
    <x v="0"/>
    <n v="4"/>
    <n v="466.67"/>
    <n v="0.14000000000000001"/>
    <n v="1605.34"/>
    <s v="Debit Card"/>
    <x v="1"/>
    <x v="1"/>
    <x v="0"/>
    <n v="1866.68"/>
    <x v="0"/>
    <x v="1"/>
    <x v="0"/>
  </r>
  <r>
    <s v="ORD0294"/>
    <x v="41"/>
    <s v="Tamil Nadu"/>
    <x v="3"/>
    <x v="4"/>
    <x v="17"/>
    <n v="4"/>
    <n v="1432.58"/>
    <n v="0.02"/>
    <n v="5615.71"/>
    <s v="UPI"/>
    <x v="2"/>
    <x v="2"/>
    <x v="3"/>
    <n v="5730.32"/>
    <x v="6"/>
    <x v="5"/>
    <x v="0"/>
  </r>
  <r>
    <s v="ORD0295"/>
    <x v="2"/>
    <s v="Delhi"/>
    <x v="2"/>
    <x v="1"/>
    <x v="13"/>
    <n v="4"/>
    <n v="2383.67"/>
    <n v="0.1"/>
    <n v="8581.2099999999991"/>
    <s v="Credit Card"/>
    <x v="0"/>
    <x v="0"/>
    <x v="2"/>
    <n v="9534.68"/>
    <x v="2"/>
    <x v="1"/>
    <x v="0"/>
  </r>
  <r>
    <s v="ORD0296"/>
    <x v="13"/>
    <s v="Karnataka"/>
    <x v="0"/>
    <x v="3"/>
    <x v="15"/>
    <n v="1"/>
    <n v="543.05999999999995"/>
    <n v="0.2"/>
    <n v="434.45"/>
    <s v="Net Banking"/>
    <x v="2"/>
    <x v="1"/>
    <x v="0"/>
    <n v="543.05999999999995"/>
    <x v="6"/>
    <x v="4"/>
    <x v="1"/>
  </r>
  <r>
    <s v="ORD0297"/>
    <x v="54"/>
    <s v="Maharashtra"/>
    <x v="3"/>
    <x v="4"/>
    <x v="16"/>
    <n v="4"/>
    <n v="2615.9499999999998"/>
    <n v="0.17"/>
    <n v="8684.9500000000007"/>
    <s v="Debit Card"/>
    <x v="2"/>
    <x v="1"/>
    <x v="0"/>
    <n v="10463.799999999999"/>
    <x v="6"/>
    <x v="4"/>
    <x v="0"/>
  </r>
  <r>
    <s v="ORD0298"/>
    <x v="66"/>
    <s v="Gujarat"/>
    <x v="0"/>
    <x v="2"/>
    <x v="5"/>
    <n v="1"/>
    <n v="2364.0100000000002"/>
    <n v="0.2"/>
    <n v="1891.21"/>
    <s v="COD"/>
    <x v="0"/>
    <x v="2"/>
    <x v="0"/>
    <n v="2364.0100000000002"/>
    <x v="6"/>
    <x v="2"/>
    <x v="0"/>
  </r>
  <r>
    <s v="ORD0299"/>
    <x v="13"/>
    <s v="Delhi"/>
    <x v="0"/>
    <x v="3"/>
    <x v="12"/>
    <n v="1"/>
    <n v="2953.39"/>
    <n v="0.06"/>
    <n v="2776.19"/>
    <s v="Net Banking"/>
    <x v="2"/>
    <x v="2"/>
    <x v="2"/>
    <n v="2953.39"/>
    <x v="6"/>
    <x v="4"/>
    <x v="0"/>
  </r>
  <r>
    <s v="ORD0300"/>
    <x v="18"/>
    <s v="Delhi"/>
    <x v="1"/>
    <x v="3"/>
    <x v="15"/>
    <n v="1"/>
    <n v="309.20999999999998"/>
    <n v="0.12"/>
    <n v="272.10000000000002"/>
    <s v="Credit Card"/>
    <x v="2"/>
    <x v="2"/>
    <x v="3"/>
    <n v="309.20999999999998"/>
    <x v="1"/>
    <x v="2"/>
    <x v="1"/>
  </r>
  <r>
    <s v="ORD0301"/>
    <x v="31"/>
    <s v="Maharashtra"/>
    <x v="2"/>
    <x v="2"/>
    <x v="5"/>
    <n v="4"/>
    <n v="946.76"/>
    <n v="0.05"/>
    <n v="3597.69"/>
    <s v="Net Banking"/>
    <x v="1"/>
    <x v="2"/>
    <x v="0"/>
    <n v="3787.04"/>
    <x v="4"/>
    <x v="1"/>
    <x v="0"/>
  </r>
  <r>
    <s v="ORD0302"/>
    <x v="64"/>
    <s v="Gujarat"/>
    <x v="1"/>
    <x v="3"/>
    <x v="8"/>
    <n v="2"/>
    <n v="3271.66"/>
    <n v="0.12"/>
    <n v="5758.12"/>
    <s v="COD"/>
    <x v="1"/>
    <x v="0"/>
    <x v="0"/>
    <n v="6543.32"/>
    <x v="5"/>
    <x v="1"/>
    <x v="0"/>
  </r>
  <r>
    <s v="ORD0303"/>
    <x v="146"/>
    <s v="Delhi"/>
    <x v="0"/>
    <x v="4"/>
    <x v="18"/>
    <n v="5"/>
    <n v="1320.82"/>
    <n v="0.25"/>
    <n v="4953.07"/>
    <s v="Net Banking"/>
    <x v="0"/>
    <x v="0"/>
    <x v="2"/>
    <n v="6604.0999999999995"/>
    <x v="2"/>
    <x v="0"/>
    <x v="0"/>
  </r>
  <r>
    <s v="ORD0304"/>
    <x v="57"/>
    <s v="Gujarat"/>
    <x v="0"/>
    <x v="4"/>
    <x v="18"/>
    <n v="5"/>
    <n v="2561.73"/>
    <n v="0.1"/>
    <n v="11527.78"/>
    <s v="Net Banking"/>
    <x v="2"/>
    <x v="2"/>
    <x v="0"/>
    <n v="12808.65"/>
    <x v="3"/>
    <x v="0"/>
    <x v="0"/>
  </r>
  <r>
    <s v="ORD0305"/>
    <x v="134"/>
    <s v="Karnataka"/>
    <x v="3"/>
    <x v="3"/>
    <x v="8"/>
    <n v="5"/>
    <n v="1851.42"/>
    <n v="0.15"/>
    <n v="7868.53"/>
    <s v="Credit Card"/>
    <x v="2"/>
    <x v="2"/>
    <x v="0"/>
    <n v="9257.1"/>
    <x v="2"/>
    <x v="1"/>
    <x v="0"/>
  </r>
  <r>
    <s v="ORD0306"/>
    <x v="66"/>
    <s v="Gujarat"/>
    <x v="3"/>
    <x v="3"/>
    <x v="9"/>
    <n v="5"/>
    <n v="4247.87"/>
    <n v="0.2"/>
    <n v="16991.48"/>
    <s v="Credit Card"/>
    <x v="0"/>
    <x v="1"/>
    <x v="0"/>
    <n v="21239.35"/>
    <x v="6"/>
    <x v="2"/>
    <x v="0"/>
  </r>
  <r>
    <s v="ORD0307"/>
    <x v="64"/>
    <s v="Karnataka"/>
    <x v="3"/>
    <x v="1"/>
    <x v="1"/>
    <n v="3"/>
    <n v="4743.04"/>
    <n v="0.14000000000000001"/>
    <n v="12237.04"/>
    <s v="COD"/>
    <x v="0"/>
    <x v="0"/>
    <x v="3"/>
    <n v="14229.119999999999"/>
    <x v="5"/>
    <x v="1"/>
    <x v="0"/>
  </r>
  <r>
    <s v="ORD0308"/>
    <x v="147"/>
    <s v="Delhi"/>
    <x v="1"/>
    <x v="2"/>
    <x v="6"/>
    <n v="1"/>
    <n v="375.22"/>
    <n v="0.15"/>
    <n v="318.94"/>
    <s v="Net Banking"/>
    <x v="0"/>
    <x v="2"/>
    <x v="0"/>
    <n v="375.22"/>
    <x v="1"/>
    <x v="3"/>
    <x v="1"/>
  </r>
  <r>
    <s v="ORD0309"/>
    <x v="15"/>
    <s v="Delhi"/>
    <x v="0"/>
    <x v="1"/>
    <x v="10"/>
    <n v="2"/>
    <n v="4602.03"/>
    <n v="0.21"/>
    <n v="7271.21"/>
    <s v="UPI"/>
    <x v="1"/>
    <x v="1"/>
    <x v="0"/>
    <n v="9204.06"/>
    <x v="5"/>
    <x v="1"/>
    <x v="0"/>
  </r>
  <r>
    <s v="ORD0310"/>
    <x v="68"/>
    <s v="Maharashtra"/>
    <x v="0"/>
    <x v="1"/>
    <x v="10"/>
    <n v="1"/>
    <n v="1930.59"/>
    <n v="0.24"/>
    <n v="1467.25"/>
    <s v="COD"/>
    <x v="2"/>
    <x v="1"/>
    <x v="0"/>
    <n v="1930.59"/>
    <x v="0"/>
    <x v="3"/>
    <x v="0"/>
  </r>
  <r>
    <s v="ORD0311"/>
    <x v="148"/>
    <s v="Delhi"/>
    <x v="2"/>
    <x v="4"/>
    <x v="16"/>
    <n v="4"/>
    <n v="3280.98"/>
    <n v="0.04"/>
    <n v="12598.96"/>
    <s v="Net Banking"/>
    <x v="1"/>
    <x v="0"/>
    <x v="0"/>
    <n v="13123.92"/>
    <x v="4"/>
    <x v="5"/>
    <x v="0"/>
  </r>
  <r>
    <s v="ORD0312"/>
    <x v="64"/>
    <s v="Tamil Nadu"/>
    <x v="1"/>
    <x v="1"/>
    <x v="10"/>
    <n v="3"/>
    <n v="724.01"/>
    <n v="0.18"/>
    <n v="1781.06"/>
    <s v="UPI"/>
    <x v="1"/>
    <x v="0"/>
    <x v="1"/>
    <n v="2172.0299999999997"/>
    <x v="5"/>
    <x v="1"/>
    <x v="0"/>
  </r>
  <r>
    <s v="ORD0313"/>
    <x v="149"/>
    <s v="Delhi"/>
    <x v="3"/>
    <x v="1"/>
    <x v="13"/>
    <n v="5"/>
    <n v="1182.3900000000001"/>
    <n v="0.14000000000000001"/>
    <n v="5084.28"/>
    <s v="COD"/>
    <x v="2"/>
    <x v="1"/>
    <x v="0"/>
    <n v="5911.9500000000007"/>
    <x v="4"/>
    <x v="4"/>
    <x v="0"/>
  </r>
  <r>
    <s v="ORD0314"/>
    <x v="133"/>
    <s v="Karnataka"/>
    <x v="2"/>
    <x v="0"/>
    <x v="4"/>
    <n v="1"/>
    <n v="4126.1400000000003"/>
    <n v="0.17"/>
    <n v="3424.7"/>
    <s v="UPI"/>
    <x v="0"/>
    <x v="0"/>
    <x v="0"/>
    <n v="4126.1400000000003"/>
    <x v="2"/>
    <x v="2"/>
    <x v="0"/>
  </r>
  <r>
    <s v="ORD0315"/>
    <x v="28"/>
    <s v="Delhi"/>
    <x v="1"/>
    <x v="4"/>
    <x v="16"/>
    <n v="3"/>
    <n v="3956.4"/>
    <n v="0.18"/>
    <n v="9732.74"/>
    <s v="Credit Card"/>
    <x v="2"/>
    <x v="2"/>
    <x v="0"/>
    <n v="11869.2"/>
    <x v="0"/>
    <x v="2"/>
    <x v="0"/>
  </r>
  <r>
    <s v="ORD0316"/>
    <x v="150"/>
    <s v="Tamil Nadu"/>
    <x v="3"/>
    <x v="2"/>
    <x v="11"/>
    <n v="3"/>
    <n v="2775.52"/>
    <n v="0.03"/>
    <n v="8076.76"/>
    <s v="Net Banking"/>
    <x v="2"/>
    <x v="1"/>
    <x v="0"/>
    <n v="8326.56"/>
    <x v="3"/>
    <x v="0"/>
    <x v="0"/>
  </r>
  <r>
    <s v="ORD0317"/>
    <x v="129"/>
    <s v="Karnataka"/>
    <x v="1"/>
    <x v="0"/>
    <x v="0"/>
    <n v="3"/>
    <n v="4763.1400000000003"/>
    <n v="0.02"/>
    <n v="14003.63"/>
    <s v="Credit Card"/>
    <x v="2"/>
    <x v="2"/>
    <x v="0"/>
    <n v="14289.420000000002"/>
    <x v="3"/>
    <x v="4"/>
    <x v="0"/>
  </r>
  <r>
    <s v="ORD0318"/>
    <x v="39"/>
    <s v="Karnataka"/>
    <x v="3"/>
    <x v="0"/>
    <x v="0"/>
    <n v="4"/>
    <n v="3552.07"/>
    <n v="0.11"/>
    <n v="12645.37"/>
    <s v="COD"/>
    <x v="1"/>
    <x v="0"/>
    <x v="0"/>
    <n v="14208.28"/>
    <x v="5"/>
    <x v="2"/>
    <x v="0"/>
  </r>
  <r>
    <s v="ORD0319"/>
    <x v="50"/>
    <s v="Maharashtra"/>
    <x v="2"/>
    <x v="2"/>
    <x v="11"/>
    <n v="2"/>
    <n v="4874.55"/>
    <n v="0.1"/>
    <n v="8774.19"/>
    <s v="Credit Card"/>
    <x v="2"/>
    <x v="0"/>
    <x v="0"/>
    <n v="9749.1"/>
    <x v="5"/>
    <x v="4"/>
    <x v="0"/>
  </r>
  <r>
    <s v="ORD0320"/>
    <x v="151"/>
    <s v="Maharashtra"/>
    <x v="2"/>
    <x v="4"/>
    <x v="16"/>
    <n v="5"/>
    <n v="2793.35"/>
    <n v="0.12"/>
    <n v="12290.74"/>
    <s v="Credit Card"/>
    <x v="2"/>
    <x v="2"/>
    <x v="0"/>
    <n v="13966.75"/>
    <x v="2"/>
    <x v="1"/>
    <x v="0"/>
  </r>
  <r>
    <s v="ORD0321"/>
    <x v="120"/>
    <s v="Gujarat"/>
    <x v="0"/>
    <x v="0"/>
    <x v="2"/>
    <n v="1"/>
    <n v="226.1"/>
    <n v="0.04"/>
    <n v="217.06"/>
    <s v="Net Banking"/>
    <x v="0"/>
    <x v="1"/>
    <x v="0"/>
    <n v="226.1"/>
    <x v="1"/>
    <x v="0"/>
    <x v="1"/>
  </r>
  <r>
    <s v="ORD0322"/>
    <x v="75"/>
    <s v="Tamil Nadu"/>
    <x v="2"/>
    <x v="0"/>
    <x v="2"/>
    <n v="3"/>
    <n v="546.57000000000005"/>
    <n v="0.14000000000000001"/>
    <n v="1410.15"/>
    <s v="Net Banking"/>
    <x v="2"/>
    <x v="2"/>
    <x v="1"/>
    <n v="1639.71"/>
    <x v="5"/>
    <x v="6"/>
    <x v="0"/>
  </r>
  <r>
    <s v="ORD0323"/>
    <x v="59"/>
    <s v="Tamil Nadu"/>
    <x v="0"/>
    <x v="4"/>
    <x v="16"/>
    <n v="4"/>
    <n v="2378.7800000000002"/>
    <n v="0.06"/>
    <n v="8944.2099999999991"/>
    <s v="Credit Card"/>
    <x v="2"/>
    <x v="1"/>
    <x v="0"/>
    <n v="9515.1200000000008"/>
    <x v="3"/>
    <x v="3"/>
    <x v="0"/>
  </r>
  <r>
    <s v="ORD0324"/>
    <x v="92"/>
    <s v="Karnataka"/>
    <x v="1"/>
    <x v="0"/>
    <x v="0"/>
    <n v="5"/>
    <n v="1214.81"/>
    <n v="0.02"/>
    <n v="5952.57"/>
    <s v="COD"/>
    <x v="2"/>
    <x v="1"/>
    <x v="2"/>
    <n v="6074.0499999999993"/>
    <x v="0"/>
    <x v="4"/>
    <x v="0"/>
  </r>
  <r>
    <s v="ORD0325"/>
    <x v="152"/>
    <s v="Tamil Nadu"/>
    <x v="3"/>
    <x v="2"/>
    <x v="11"/>
    <n v="4"/>
    <n v="4523.6099999999997"/>
    <n v="0.18"/>
    <n v="14837.44"/>
    <s v="UPI"/>
    <x v="0"/>
    <x v="0"/>
    <x v="0"/>
    <n v="18094.439999999999"/>
    <x v="5"/>
    <x v="4"/>
    <x v="0"/>
  </r>
  <r>
    <s v="ORD0326"/>
    <x v="153"/>
    <s v="Delhi"/>
    <x v="1"/>
    <x v="2"/>
    <x v="11"/>
    <n v="2"/>
    <n v="309.11"/>
    <n v="0.02"/>
    <n v="605.86"/>
    <s v="Debit Card"/>
    <x v="0"/>
    <x v="0"/>
    <x v="0"/>
    <n v="618.22"/>
    <x v="1"/>
    <x v="4"/>
    <x v="1"/>
  </r>
  <r>
    <s v="ORD0327"/>
    <x v="5"/>
    <s v="Karnataka"/>
    <x v="1"/>
    <x v="3"/>
    <x v="9"/>
    <n v="4"/>
    <n v="2826.18"/>
    <n v="0.14000000000000001"/>
    <n v="9722.06"/>
    <s v="Credit Card"/>
    <x v="0"/>
    <x v="1"/>
    <x v="1"/>
    <n v="11304.72"/>
    <x v="0"/>
    <x v="2"/>
    <x v="0"/>
  </r>
  <r>
    <s v="ORD0328"/>
    <x v="154"/>
    <s v="Maharashtra"/>
    <x v="0"/>
    <x v="0"/>
    <x v="3"/>
    <n v="2"/>
    <n v="2876.31"/>
    <n v="0.15"/>
    <n v="4889.7299999999996"/>
    <s v="Net Banking"/>
    <x v="0"/>
    <x v="2"/>
    <x v="0"/>
    <n v="5752.62"/>
    <x v="0"/>
    <x v="3"/>
    <x v="0"/>
  </r>
  <r>
    <s v="ORD0329"/>
    <x v="153"/>
    <s v="Gujarat"/>
    <x v="1"/>
    <x v="0"/>
    <x v="2"/>
    <n v="3"/>
    <n v="1976.91"/>
    <n v="0.12"/>
    <n v="5219.04"/>
    <s v="UPI"/>
    <x v="2"/>
    <x v="0"/>
    <x v="0"/>
    <n v="5930.7300000000005"/>
    <x v="1"/>
    <x v="4"/>
    <x v="0"/>
  </r>
  <r>
    <s v="ORD0330"/>
    <x v="33"/>
    <s v="Delhi"/>
    <x v="3"/>
    <x v="4"/>
    <x v="18"/>
    <n v="4"/>
    <n v="290.02999999999997"/>
    <n v="0.22"/>
    <n v="904.89"/>
    <s v="COD"/>
    <x v="1"/>
    <x v="1"/>
    <x v="0"/>
    <n v="1160.1199999999999"/>
    <x v="6"/>
    <x v="3"/>
    <x v="1"/>
  </r>
  <r>
    <s v="ORD0331"/>
    <x v="155"/>
    <s v="Karnataka"/>
    <x v="0"/>
    <x v="2"/>
    <x v="6"/>
    <n v="3"/>
    <n v="1623.65"/>
    <n v="0.21"/>
    <n v="3848.05"/>
    <s v="Credit Card"/>
    <x v="2"/>
    <x v="0"/>
    <x v="2"/>
    <n v="4870.9500000000007"/>
    <x v="6"/>
    <x v="5"/>
    <x v="0"/>
  </r>
  <r>
    <s v="ORD0332"/>
    <x v="156"/>
    <s v="Karnataka"/>
    <x v="3"/>
    <x v="3"/>
    <x v="12"/>
    <n v="3"/>
    <n v="3671.12"/>
    <n v="0.15"/>
    <n v="9361.36"/>
    <s v="Net Banking"/>
    <x v="2"/>
    <x v="2"/>
    <x v="0"/>
    <n v="11013.36"/>
    <x v="4"/>
    <x v="2"/>
    <x v="0"/>
  </r>
  <r>
    <s v="ORD0333"/>
    <x v="17"/>
    <s v="Gujarat"/>
    <x v="1"/>
    <x v="2"/>
    <x v="5"/>
    <n v="5"/>
    <n v="3978.3"/>
    <n v="0.02"/>
    <n v="19493.669999999998"/>
    <s v="UPI"/>
    <x v="0"/>
    <x v="0"/>
    <x v="0"/>
    <n v="19891.5"/>
    <x v="2"/>
    <x v="1"/>
    <x v="0"/>
  </r>
  <r>
    <s v="ORD0334"/>
    <x v="17"/>
    <s v="Delhi"/>
    <x v="3"/>
    <x v="1"/>
    <x v="13"/>
    <n v="1"/>
    <n v="1322.5"/>
    <n v="0.11"/>
    <n v="1177.03"/>
    <s v="Debit Card"/>
    <x v="0"/>
    <x v="1"/>
    <x v="0"/>
    <n v="1322.5"/>
    <x v="2"/>
    <x v="1"/>
    <x v="0"/>
  </r>
  <r>
    <s v="ORD0335"/>
    <x v="94"/>
    <s v="Maharashtra"/>
    <x v="2"/>
    <x v="2"/>
    <x v="5"/>
    <n v="3"/>
    <n v="2495.06"/>
    <n v="0.11"/>
    <n v="6661.81"/>
    <s v="Credit Card"/>
    <x v="0"/>
    <x v="1"/>
    <x v="0"/>
    <n v="7485.18"/>
    <x v="4"/>
    <x v="0"/>
    <x v="0"/>
  </r>
  <r>
    <s v="ORD0336"/>
    <x v="101"/>
    <s v="Karnataka"/>
    <x v="3"/>
    <x v="4"/>
    <x v="19"/>
    <n v="1"/>
    <n v="898.25"/>
    <n v="0.14000000000000001"/>
    <n v="772.5"/>
    <s v="Credit Card"/>
    <x v="2"/>
    <x v="2"/>
    <x v="0"/>
    <n v="898.25"/>
    <x v="5"/>
    <x v="5"/>
    <x v="1"/>
  </r>
  <r>
    <s v="ORD0337"/>
    <x v="72"/>
    <s v="Tamil Nadu"/>
    <x v="0"/>
    <x v="3"/>
    <x v="9"/>
    <n v="1"/>
    <n v="2423.08"/>
    <n v="0.03"/>
    <n v="2350.39"/>
    <s v="COD"/>
    <x v="0"/>
    <x v="2"/>
    <x v="0"/>
    <n v="2423.08"/>
    <x v="0"/>
    <x v="5"/>
    <x v="0"/>
  </r>
  <r>
    <s v="ORD0338"/>
    <x v="36"/>
    <s v="Karnataka"/>
    <x v="1"/>
    <x v="1"/>
    <x v="1"/>
    <n v="3"/>
    <n v="2349.09"/>
    <n v="0.05"/>
    <n v="6694.91"/>
    <s v="Net Banking"/>
    <x v="2"/>
    <x v="1"/>
    <x v="0"/>
    <n v="7047.27"/>
    <x v="0"/>
    <x v="5"/>
    <x v="0"/>
  </r>
  <r>
    <s v="ORD0339"/>
    <x v="155"/>
    <s v="Gujarat"/>
    <x v="2"/>
    <x v="0"/>
    <x v="2"/>
    <n v="3"/>
    <n v="1562.53"/>
    <n v="0.03"/>
    <n v="4546.96"/>
    <s v="COD"/>
    <x v="1"/>
    <x v="2"/>
    <x v="2"/>
    <n v="4687.59"/>
    <x v="6"/>
    <x v="5"/>
    <x v="0"/>
  </r>
  <r>
    <s v="ORD0340"/>
    <x v="113"/>
    <s v="Karnataka"/>
    <x v="1"/>
    <x v="4"/>
    <x v="17"/>
    <n v="2"/>
    <n v="2634.74"/>
    <n v="0.06"/>
    <n v="4953.3100000000004"/>
    <s v="UPI"/>
    <x v="0"/>
    <x v="2"/>
    <x v="0"/>
    <n v="5269.48"/>
    <x v="5"/>
    <x v="4"/>
    <x v="0"/>
  </r>
  <r>
    <s v="ORD0341"/>
    <x v="60"/>
    <s v="Tamil Nadu"/>
    <x v="3"/>
    <x v="3"/>
    <x v="8"/>
    <n v="4"/>
    <n v="2082.5300000000002"/>
    <n v="0.18"/>
    <n v="6830.7"/>
    <s v="UPI"/>
    <x v="2"/>
    <x v="0"/>
    <x v="0"/>
    <n v="8330.1200000000008"/>
    <x v="5"/>
    <x v="3"/>
    <x v="0"/>
  </r>
  <r>
    <s v="ORD0342"/>
    <x v="48"/>
    <s v="Karnataka"/>
    <x v="2"/>
    <x v="3"/>
    <x v="15"/>
    <n v="2"/>
    <n v="4219.13"/>
    <n v="0.22"/>
    <n v="6581.84"/>
    <s v="COD"/>
    <x v="2"/>
    <x v="2"/>
    <x v="0"/>
    <n v="8438.26"/>
    <x v="4"/>
    <x v="0"/>
    <x v="0"/>
  </r>
  <r>
    <s v="ORD0343"/>
    <x v="86"/>
    <s v="Gujarat"/>
    <x v="2"/>
    <x v="3"/>
    <x v="9"/>
    <n v="3"/>
    <n v="3306.73"/>
    <n v="0.06"/>
    <n v="9324.98"/>
    <s v="Debit Card"/>
    <x v="1"/>
    <x v="2"/>
    <x v="0"/>
    <n v="9920.19"/>
    <x v="3"/>
    <x v="1"/>
    <x v="0"/>
  </r>
  <r>
    <s v="ORD0344"/>
    <x v="74"/>
    <s v="Karnataka"/>
    <x v="0"/>
    <x v="4"/>
    <x v="17"/>
    <n v="4"/>
    <n v="4270.95"/>
    <n v="0.12"/>
    <n v="15033.74"/>
    <s v="COD"/>
    <x v="2"/>
    <x v="0"/>
    <x v="0"/>
    <n v="17083.8"/>
    <x v="2"/>
    <x v="0"/>
    <x v="0"/>
  </r>
  <r>
    <s v="ORD0345"/>
    <x v="25"/>
    <s v="Tamil Nadu"/>
    <x v="3"/>
    <x v="3"/>
    <x v="8"/>
    <n v="4"/>
    <n v="364.9"/>
    <n v="0.21"/>
    <n v="1153.08"/>
    <s v="COD"/>
    <x v="2"/>
    <x v="2"/>
    <x v="0"/>
    <n v="1459.6"/>
    <x v="1"/>
    <x v="0"/>
    <x v="0"/>
  </r>
  <r>
    <s v="ORD0346"/>
    <x v="77"/>
    <s v="Delhi"/>
    <x v="3"/>
    <x v="1"/>
    <x v="14"/>
    <n v="2"/>
    <n v="3916.81"/>
    <n v="0.12"/>
    <n v="6893.59"/>
    <s v="UPI"/>
    <x v="1"/>
    <x v="0"/>
    <x v="0"/>
    <n v="7833.62"/>
    <x v="5"/>
    <x v="0"/>
    <x v="0"/>
  </r>
  <r>
    <s v="ORD0347"/>
    <x v="8"/>
    <s v="Tamil Nadu"/>
    <x v="3"/>
    <x v="0"/>
    <x v="0"/>
    <n v="2"/>
    <n v="2923.77"/>
    <n v="0.04"/>
    <n v="5613.64"/>
    <s v="UPI"/>
    <x v="0"/>
    <x v="2"/>
    <x v="0"/>
    <n v="5847.54"/>
    <x v="0"/>
    <x v="1"/>
    <x v="0"/>
  </r>
  <r>
    <s v="ORD0348"/>
    <x v="134"/>
    <s v="Tamil Nadu"/>
    <x v="0"/>
    <x v="2"/>
    <x v="5"/>
    <n v="1"/>
    <n v="284.85000000000002"/>
    <n v="0.05"/>
    <n v="270.61"/>
    <s v="Net Banking"/>
    <x v="2"/>
    <x v="1"/>
    <x v="1"/>
    <n v="284.85000000000002"/>
    <x v="2"/>
    <x v="1"/>
    <x v="1"/>
  </r>
  <r>
    <s v="ORD0349"/>
    <x v="157"/>
    <s v="Maharashtra"/>
    <x v="3"/>
    <x v="1"/>
    <x v="10"/>
    <n v="2"/>
    <n v="1208.7"/>
    <n v="0.22"/>
    <n v="1885.57"/>
    <s v="Credit Card"/>
    <x v="1"/>
    <x v="1"/>
    <x v="0"/>
    <n v="2417.4"/>
    <x v="4"/>
    <x v="5"/>
    <x v="0"/>
  </r>
  <r>
    <s v="ORD0350"/>
    <x v="48"/>
    <s v="Delhi"/>
    <x v="2"/>
    <x v="1"/>
    <x v="1"/>
    <n v="3"/>
    <n v="4747.47"/>
    <n v="0.11"/>
    <n v="12675.74"/>
    <s v="Credit Card"/>
    <x v="0"/>
    <x v="0"/>
    <x v="0"/>
    <n v="14242.41"/>
    <x v="4"/>
    <x v="0"/>
    <x v="0"/>
  </r>
  <r>
    <s v="ORD0351"/>
    <x v="41"/>
    <s v="Tamil Nadu"/>
    <x v="0"/>
    <x v="3"/>
    <x v="9"/>
    <n v="2"/>
    <n v="4745.6099999999997"/>
    <n v="0.23"/>
    <n v="7308.24"/>
    <s v="UPI"/>
    <x v="0"/>
    <x v="1"/>
    <x v="0"/>
    <n v="9491.2199999999993"/>
    <x v="6"/>
    <x v="5"/>
    <x v="0"/>
  </r>
  <r>
    <s v="ORD0352"/>
    <x v="158"/>
    <s v="Maharashtra"/>
    <x v="1"/>
    <x v="3"/>
    <x v="12"/>
    <n v="2"/>
    <n v="703.49"/>
    <n v="0.18"/>
    <n v="1153.72"/>
    <s v="COD"/>
    <x v="1"/>
    <x v="2"/>
    <x v="1"/>
    <n v="1406.98"/>
    <x v="4"/>
    <x v="3"/>
    <x v="0"/>
  </r>
  <r>
    <s v="ORD0353"/>
    <x v="60"/>
    <s v="Gujarat"/>
    <x v="0"/>
    <x v="4"/>
    <x v="19"/>
    <n v="1"/>
    <n v="3302.48"/>
    <n v="0"/>
    <n v="3302.48"/>
    <s v="Credit Card"/>
    <x v="1"/>
    <x v="0"/>
    <x v="0"/>
    <n v="3302.48"/>
    <x v="5"/>
    <x v="3"/>
    <x v="0"/>
  </r>
  <r>
    <s v="ORD0354"/>
    <x v="1"/>
    <s v="Gujarat"/>
    <x v="2"/>
    <x v="2"/>
    <x v="7"/>
    <n v="2"/>
    <n v="1106.93"/>
    <n v="0.17"/>
    <n v="1837.5"/>
    <s v="UPI"/>
    <x v="2"/>
    <x v="2"/>
    <x v="0"/>
    <n v="2213.86"/>
    <x v="1"/>
    <x v="1"/>
    <x v="0"/>
  </r>
  <r>
    <s v="ORD0355"/>
    <x v="115"/>
    <s v="Gujarat"/>
    <x v="0"/>
    <x v="0"/>
    <x v="2"/>
    <n v="2"/>
    <n v="2152.25"/>
    <n v="0.22"/>
    <n v="3357.51"/>
    <s v="COD"/>
    <x v="1"/>
    <x v="0"/>
    <x v="0"/>
    <n v="4304.5"/>
    <x v="5"/>
    <x v="2"/>
    <x v="0"/>
  </r>
  <r>
    <s v="ORD0356"/>
    <x v="63"/>
    <s v="Delhi"/>
    <x v="1"/>
    <x v="0"/>
    <x v="3"/>
    <n v="3"/>
    <n v="4174.34"/>
    <n v="0.24"/>
    <n v="9517.5"/>
    <s v="COD"/>
    <x v="0"/>
    <x v="1"/>
    <x v="0"/>
    <n v="12523.02"/>
    <x v="6"/>
    <x v="2"/>
    <x v="0"/>
  </r>
  <r>
    <s v="ORD0357"/>
    <x v="156"/>
    <s v="Delhi"/>
    <x v="1"/>
    <x v="0"/>
    <x v="3"/>
    <n v="2"/>
    <n v="113.42"/>
    <n v="0.17"/>
    <n v="188.28"/>
    <s v="Net Banking"/>
    <x v="2"/>
    <x v="2"/>
    <x v="0"/>
    <n v="226.84"/>
    <x v="4"/>
    <x v="2"/>
    <x v="1"/>
  </r>
  <r>
    <s v="ORD0358"/>
    <x v="50"/>
    <s v="Maharashtra"/>
    <x v="1"/>
    <x v="0"/>
    <x v="0"/>
    <n v="2"/>
    <n v="2338.08"/>
    <n v="0.24"/>
    <n v="3553.88"/>
    <s v="UPI"/>
    <x v="1"/>
    <x v="1"/>
    <x v="0"/>
    <n v="4676.16"/>
    <x v="5"/>
    <x v="4"/>
    <x v="0"/>
  </r>
  <r>
    <s v="ORD0359"/>
    <x v="27"/>
    <s v="Karnataka"/>
    <x v="0"/>
    <x v="3"/>
    <x v="8"/>
    <n v="3"/>
    <n v="2187.38"/>
    <n v="0.03"/>
    <n v="6365.28"/>
    <s v="UPI"/>
    <x v="1"/>
    <x v="2"/>
    <x v="1"/>
    <n v="6562.14"/>
    <x v="3"/>
    <x v="5"/>
    <x v="0"/>
  </r>
  <r>
    <s v="ORD0360"/>
    <x v="7"/>
    <s v="Karnataka"/>
    <x v="3"/>
    <x v="3"/>
    <x v="9"/>
    <n v="3"/>
    <n v="4404.53"/>
    <n v="0.02"/>
    <n v="12949.32"/>
    <s v="Net Banking"/>
    <x v="1"/>
    <x v="1"/>
    <x v="0"/>
    <n v="13213.59"/>
    <x v="5"/>
    <x v="1"/>
    <x v="0"/>
  </r>
  <r>
    <s v="ORD0361"/>
    <x v="14"/>
    <s v="Karnataka"/>
    <x v="0"/>
    <x v="2"/>
    <x v="5"/>
    <n v="4"/>
    <n v="4019.51"/>
    <n v="0.16"/>
    <n v="13505.55"/>
    <s v="Net Banking"/>
    <x v="1"/>
    <x v="2"/>
    <x v="0"/>
    <n v="16078.04"/>
    <x v="2"/>
    <x v="5"/>
    <x v="0"/>
  </r>
  <r>
    <s v="ORD0362"/>
    <x v="159"/>
    <s v="Maharashtra"/>
    <x v="1"/>
    <x v="0"/>
    <x v="4"/>
    <n v="4"/>
    <n v="4031.1"/>
    <n v="0.17"/>
    <n v="13383.25"/>
    <s v="Net Banking"/>
    <x v="1"/>
    <x v="2"/>
    <x v="3"/>
    <n v="16124.4"/>
    <x v="1"/>
    <x v="2"/>
    <x v="0"/>
  </r>
  <r>
    <s v="ORD0363"/>
    <x v="28"/>
    <s v="Delhi"/>
    <x v="2"/>
    <x v="1"/>
    <x v="13"/>
    <n v="1"/>
    <n v="4449.21"/>
    <n v="0.11"/>
    <n v="3959.8"/>
    <s v="Net Banking"/>
    <x v="2"/>
    <x v="2"/>
    <x v="0"/>
    <n v="4449.21"/>
    <x v="0"/>
    <x v="2"/>
    <x v="0"/>
  </r>
  <r>
    <s v="ORD0364"/>
    <x v="49"/>
    <s v="Karnataka"/>
    <x v="1"/>
    <x v="0"/>
    <x v="4"/>
    <n v="5"/>
    <n v="566.69000000000005"/>
    <n v="0.17"/>
    <n v="2351.7600000000002"/>
    <s v="COD"/>
    <x v="1"/>
    <x v="2"/>
    <x v="0"/>
    <n v="2833.4500000000003"/>
    <x v="0"/>
    <x v="4"/>
    <x v="0"/>
  </r>
  <r>
    <s v="ORD0365"/>
    <x v="115"/>
    <s v="Gujarat"/>
    <x v="1"/>
    <x v="2"/>
    <x v="11"/>
    <n v="1"/>
    <n v="3252.65"/>
    <n v="0.04"/>
    <n v="3122.54"/>
    <s v="COD"/>
    <x v="0"/>
    <x v="1"/>
    <x v="1"/>
    <n v="3252.65"/>
    <x v="5"/>
    <x v="2"/>
    <x v="0"/>
  </r>
  <r>
    <s v="ORD0366"/>
    <x v="124"/>
    <s v="Karnataka"/>
    <x v="1"/>
    <x v="0"/>
    <x v="3"/>
    <n v="3"/>
    <n v="346.72"/>
    <n v="0.06"/>
    <n v="977.75"/>
    <s v="Debit Card"/>
    <x v="2"/>
    <x v="0"/>
    <x v="0"/>
    <n v="1040.1600000000001"/>
    <x v="4"/>
    <x v="3"/>
    <x v="1"/>
  </r>
  <r>
    <s v="ORD0367"/>
    <x v="52"/>
    <s v="Tamil Nadu"/>
    <x v="0"/>
    <x v="3"/>
    <x v="8"/>
    <n v="4"/>
    <n v="531.29999999999995"/>
    <n v="0.12"/>
    <n v="1870.18"/>
    <s v="Net Banking"/>
    <x v="1"/>
    <x v="1"/>
    <x v="2"/>
    <n v="2125.1999999999998"/>
    <x v="2"/>
    <x v="6"/>
    <x v="0"/>
  </r>
  <r>
    <s v="ORD0368"/>
    <x v="160"/>
    <s v="Tamil Nadu"/>
    <x v="2"/>
    <x v="0"/>
    <x v="0"/>
    <n v="5"/>
    <n v="2790.58"/>
    <n v="0.21"/>
    <n v="11022.79"/>
    <s v="Net Banking"/>
    <x v="0"/>
    <x v="0"/>
    <x v="1"/>
    <n v="13952.9"/>
    <x v="1"/>
    <x v="1"/>
    <x v="0"/>
  </r>
  <r>
    <s v="ORD0369"/>
    <x v="161"/>
    <s v="Tamil Nadu"/>
    <x v="1"/>
    <x v="1"/>
    <x v="10"/>
    <n v="1"/>
    <n v="4101.28"/>
    <n v="0.21"/>
    <n v="3240.01"/>
    <s v="UPI"/>
    <x v="2"/>
    <x v="1"/>
    <x v="0"/>
    <n v="4101.28"/>
    <x v="6"/>
    <x v="5"/>
    <x v="0"/>
  </r>
  <r>
    <s v="ORD0370"/>
    <x v="33"/>
    <s v="Maharashtra"/>
    <x v="2"/>
    <x v="4"/>
    <x v="18"/>
    <n v="2"/>
    <n v="110.77"/>
    <n v="0.09"/>
    <n v="201.6"/>
    <s v="Credit Card"/>
    <x v="1"/>
    <x v="0"/>
    <x v="0"/>
    <n v="221.54"/>
    <x v="6"/>
    <x v="3"/>
    <x v="1"/>
  </r>
  <r>
    <s v="ORD0371"/>
    <x v="60"/>
    <s v="Maharashtra"/>
    <x v="0"/>
    <x v="4"/>
    <x v="19"/>
    <n v="2"/>
    <n v="4127.01"/>
    <n v="0.19"/>
    <n v="6685.76"/>
    <s v="Debit Card"/>
    <x v="2"/>
    <x v="1"/>
    <x v="0"/>
    <n v="8254.02"/>
    <x v="5"/>
    <x v="3"/>
    <x v="0"/>
  </r>
  <r>
    <s v="ORD0372"/>
    <x v="68"/>
    <s v="Maharashtra"/>
    <x v="0"/>
    <x v="3"/>
    <x v="12"/>
    <n v="4"/>
    <n v="4140.32"/>
    <n v="0.05"/>
    <n v="15733.22"/>
    <s v="Net Banking"/>
    <x v="0"/>
    <x v="1"/>
    <x v="3"/>
    <n v="16561.28"/>
    <x v="0"/>
    <x v="3"/>
    <x v="0"/>
  </r>
  <r>
    <s v="ORD0373"/>
    <x v="138"/>
    <s v="Tamil Nadu"/>
    <x v="0"/>
    <x v="0"/>
    <x v="0"/>
    <n v="5"/>
    <n v="4785.33"/>
    <n v="0.03"/>
    <n v="23208.85"/>
    <s v="Net Banking"/>
    <x v="1"/>
    <x v="1"/>
    <x v="0"/>
    <n v="23926.65"/>
    <x v="4"/>
    <x v="4"/>
    <x v="0"/>
  </r>
  <r>
    <s v="ORD0374"/>
    <x v="8"/>
    <s v="Gujarat"/>
    <x v="0"/>
    <x v="0"/>
    <x v="3"/>
    <n v="2"/>
    <n v="3489.91"/>
    <n v="0.04"/>
    <n v="6700.63"/>
    <s v="Net Banking"/>
    <x v="1"/>
    <x v="2"/>
    <x v="0"/>
    <n v="6979.82"/>
    <x v="0"/>
    <x v="1"/>
    <x v="0"/>
  </r>
  <r>
    <s v="ORD0375"/>
    <x v="107"/>
    <s v="Gujarat"/>
    <x v="1"/>
    <x v="1"/>
    <x v="1"/>
    <n v="5"/>
    <n v="4587.96"/>
    <n v="0.19"/>
    <n v="18581.240000000002"/>
    <s v="Net Banking"/>
    <x v="2"/>
    <x v="1"/>
    <x v="2"/>
    <n v="22939.8"/>
    <x v="6"/>
    <x v="1"/>
    <x v="0"/>
  </r>
  <r>
    <s v="ORD0376"/>
    <x v="25"/>
    <s v="Delhi"/>
    <x v="2"/>
    <x v="4"/>
    <x v="18"/>
    <n v="5"/>
    <n v="3530.07"/>
    <n v="0.19"/>
    <n v="14296.78"/>
    <s v="Debit Card"/>
    <x v="2"/>
    <x v="1"/>
    <x v="0"/>
    <n v="17650.350000000002"/>
    <x v="1"/>
    <x v="0"/>
    <x v="0"/>
  </r>
  <r>
    <s v="ORD0377"/>
    <x v="50"/>
    <s v="Delhi"/>
    <x v="3"/>
    <x v="1"/>
    <x v="10"/>
    <n v="3"/>
    <n v="3464.4"/>
    <n v="0.23"/>
    <n v="8002.76"/>
    <s v="Debit Card"/>
    <x v="1"/>
    <x v="2"/>
    <x v="0"/>
    <n v="10393.200000000001"/>
    <x v="5"/>
    <x v="4"/>
    <x v="0"/>
  </r>
  <r>
    <s v="ORD0378"/>
    <x v="162"/>
    <s v="Karnataka"/>
    <x v="2"/>
    <x v="4"/>
    <x v="19"/>
    <n v="5"/>
    <n v="2896.13"/>
    <n v="0.17"/>
    <n v="12018.94"/>
    <s v="COD"/>
    <x v="2"/>
    <x v="1"/>
    <x v="1"/>
    <n v="14480.650000000001"/>
    <x v="4"/>
    <x v="3"/>
    <x v="0"/>
  </r>
  <r>
    <s v="ORD0379"/>
    <x v="116"/>
    <s v="Gujarat"/>
    <x v="2"/>
    <x v="2"/>
    <x v="7"/>
    <n v="4"/>
    <n v="812.1"/>
    <n v="0.17"/>
    <n v="2696.17"/>
    <s v="Credit Card"/>
    <x v="0"/>
    <x v="2"/>
    <x v="3"/>
    <n v="3248.4"/>
    <x v="6"/>
    <x v="1"/>
    <x v="0"/>
  </r>
  <r>
    <s v="ORD0380"/>
    <x v="17"/>
    <s v="Karnataka"/>
    <x v="1"/>
    <x v="3"/>
    <x v="9"/>
    <n v="3"/>
    <n v="1099.5999999999999"/>
    <n v="0.14000000000000001"/>
    <n v="2836.97"/>
    <s v="Debit Card"/>
    <x v="0"/>
    <x v="1"/>
    <x v="0"/>
    <n v="3298.7999999999997"/>
    <x v="2"/>
    <x v="1"/>
    <x v="0"/>
  </r>
  <r>
    <s v="ORD0381"/>
    <x v="52"/>
    <s v="Gujarat"/>
    <x v="0"/>
    <x v="1"/>
    <x v="10"/>
    <n v="5"/>
    <n v="3943.11"/>
    <n v="0.2"/>
    <n v="15772.44"/>
    <s v="Net Banking"/>
    <x v="0"/>
    <x v="1"/>
    <x v="1"/>
    <n v="19715.55"/>
    <x v="2"/>
    <x v="6"/>
    <x v="0"/>
  </r>
  <r>
    <s v="ORD0382"/>
    <x v="106"/>
    <s v="Karnataka"/>
    <x v="3"/>
    <x v="2"/>
    <x v="5"/>
    <n v="1"/>
    <n v="3743.98"/>
    <n v="0.05"/>
    <n v="3556.78"/>
    <s v="COD"/>
    <x v="0"/>
    <x v="1"/>
    <x v="1"/>
    <n v="3743.98"/>
    <x v="5"/>
    <x v="0"/>
    <x v="0"/>
  </r>
  <r>
    <s v="ORD0383"/>
    <x v="44"/>
    <s v="Delhi"/>
    <x v="0"/>
    <x v="4"/>
    <x v="16"/>
    <n v="2"/>
    <n v="4918.92"/>
    <n v="0.02"/>
    <n v="9641.08"/>
    <s v="UPI"/>
    <x v="2"/>
    <x v="2"/>
    <x v="0"/>
    <n v="9837.84"/>
    <x v="3"/>
    <x v="3"/>
    <x v="0"/>
  </r>
  <r>
    <s v="ORD0384"/>
    <x v="19"/>
    <s v="Gujarat"/>
    <x v="1"/>
    <x v="2"/>
    <x v="6"/>
    <n v="2"/>
    <n v="2961.53"/>
    <n v="0.06"/>
    <n v="5567.68"/>
    <s v="UPI"/>
    <x v="0"/>
    <x v="1"/>
    <x v="0"/>
    <n v="5923.06"/>
    <x v="3"/>
    <x v="2"/>
    <x v="0"/>
  </r>
  <r>
    <s v="ORD0385"/>
    <x v="139"/>
    <s v="Delhi"/>
    <x v="2"/>
    <x v="3"/>
    <x v="8"/>
    <n v="1"/>
    <n v="3890.94"/>
    <n v="0.16"/>
    <n v="3268.39"/>
    <s v="UPI"/>
    <x v="1"/>
    <x v="0"/>
    <x v="0"/>
    <n v="3890.94"/>
    <x v="2"/>
    <x v="2"/>
    <x v="0"/>
  </r>
  <r>
    <s v="ORD0386"/>
    <x v="157"/>
    <s v="Maharashtra"/>
    <x v="3"/>
    <x v="1"/>
    <x v="1"/>
    <n v="2"/>
    <n v="4789.24"/>
    <n v="0.13"/>
    <n v="8333.2800000000007"/>
    <s v="UPI"/>
    <x v="1"/>
    <x v="0"/>
    <x v="0"/>
    <n v="9578.48"/>
    <x v="4"/>
    <x v="5"/>
    <x v="0"/>
  </r>
  <r>
    <s v="ORD0387"/>
    <x v="129"/>
    <s v="Maharashtra"/>
    <x v="3"/>
    <x v="1"/>
    <x v="14"/>
    <n v="2"/>
    <n v="3350.34"/>
    <n v="0.08"/>
    <n v="6164.63"/>
    <s v="UPI"/>
    <x v="0"/>
    <x v="1"/>
    <x v="2"/>
    <n v="6700.68"/>
    <x v="3"/>
    <x v="4"/>
    <x v="0"/>
  </r>
  <r>
    <s v="ORD0388"/>
    <x v="163"/>
    <s v="Gujarat"/>
    <x v="3"/>
    <x v="1"/>
    <x v="14"/>
    <n v="3"/>
    <n v="2283.77"/>
    <n v="0.23"/>
    <n v="5275.51"/>
    <s v="Credit Card"/>
    <x v="0"/>
    <x v="0"/>
    <x v="2"/>
    <n v="6851.3099999999995"/>
    <x v="6"/>
    <x v="4"/>
    <x v="0"/>
  </r>
  <r>
    <s v="ORD0389"/>
    <x v="39"/>
    <s v="Maharashtra"/>
    <x v="2"/>
    <x v="4"/>
    <x v="18"/>
    <n v="5"/>
    <n v="3647.48"/>
    <n v="0.01"/>
    <n v="18055.03"/>
    <s v="Net Banking"/>
    <x v="2"/>
    <x v="0"/>
    <x v="0"/>
    <n v="18237.400000000001"/>
    <x v="5"/>
    <x v="2"/>
    <x v="0"/>
  </r>
  <r>
    <s v="ORD0390"/>
    <x v="60"/>
    <s v="Tamil Nadu"/>
    <x v="3"/>
    <x v="1"/>
    <x v="14"/>
    <n v="2"/>
    <n v="1669.53"/>
    <n v="0.02"/>
    <n v="3272.28"/>
    <s v="Credit Card"/>
    <x v="2"/>
    <x v="2"/>
    <x v="2"/>
    <n v="3339.06"/>
    <x v="5"/>
    <x v="3"/>
    <x v="0"/>
  </r>
  <r>
    <s v="ORD0391"/>
    <x v="89"/>
    <s v="Maharashtra"/>
    <x v="3"/>
    <x v="1"/>
    <x v="13"/>
    <n v="2"/>
    <n v="4338.26"/>
    <n v="0.11"/>
    <n v="7722.1"/>
    <s v="Debit Card"/>
    <x v="1"/>
    <x v="2"/>
    <x v="0"/>
    <n v="8676.52"/>
    <x v="1"/>
    <x v="5"/>
    <x v="0"/>
  </r>
  <r>
    <s v="ORD0392"/>
    <x v="147"/>
    <s v="Delhi"/>
    <x v="2"/>
    <x v="2"/>
    <x v="7"/>
    <n v="3"/>
    <n v="285.64"/>
    <n v="0.02"/>
    <n v="839.78"/>
    <s v="Credit Card"/>
    <x v="2"/>
    <x v="2"/>
    <x v="0"/>
    <n v="856.92"/>
    <x v="1"/>
    <x v="3"/>
    <x v="1"/>
  </r>
  <r>
    <s v="ORD0393"/>
    <x v="134"/>
    <s v="Karnataka"/>
    <x v="1"/>
    <x v="1"/>
    <x v="10"/>
    <n v="4"/>
    <n v="3188.06"/>
    <n v="0.11"/>
    <n v="11349.49"/>
    <s v="Net Banking"/>
    <x v="2"/>
    <x v="2"/>
    <x v="0"/>
    <n v="12752.24"/>
    <x v="2"/>
    <x v="1"/>
    <x v="0"/>
  </r>
  <r>
    <s v="ORD0394"/>
    <x v="34"/>
    <s v="Gujarat"/>
    <x v="0"/>
    <x v="1"/>
    <x v="13"/>
    <n v="5"/>
    <n v="323.02999999999997"/>
    <n v="0.21"/>
    <n v="1275.97"/>
    <s v="Credit Card"/>
    <x v="1"/>
    <x v="1"/>
    <x v="0"/>
    <n v="1615.1499999999999"/>
    <x v="3"/>
    <x v="2"/>
    <x v="0"/>
  </r>
  <r>
    <s v="ORD0395"/>
    <x v="42"/>
    <s v="Karnataka"/>
    <x v="3"/>
    <x v="4"/>
    <x v="19"/>
    <n v="4"/>
    <n v="4128.3999999999996"/>
    <n v="0.01"/>
    <n v="16348.46"/>
    <s v="Net Banking"/>
    <x v="2"/>
    <x v="2"/>
    <x v="0"/>
    <n v="16513.599999999999"/>
    <x v="3"/>
    <x v="5"/>
    <x v="0"/>
  </r>
  <r>
    <s v="ORD0396"/>
    <x v="119"/>
    <s v="Delhi"/>
    <x v="3"/>
    <x v="2"/>
    <x v="6"/>
    <n v="3"/>
    <n v="4791.22"/>
    <n v="0"/>
    <n v="14373.66"/>
    <s v="UPI"/>
    <x v="1"/>
    <x v="0"/>
    <x v="0"/>
    <n v="14373.66"/>
    <x v="1"/>
    <x v="1"/>
    <x v="0"/>
  </r>
  <r>
    <s v="ORD0397"/>
    <x v="164"/>
    <s v="Gujarat"/>
    <x v="2"/>
    <x v="0"/>
    <x v="3"/>
    <n v="3"/>
    <n v="1129.26"/>
    <n v="0.19"/>
    <n v="2744.1"/>
    <s v="COD"/>
    <x v="0"/>
    <x v="0"/>
    <x v="0"/>
    <n v="3387.7799999999997"/>
    <x v="0"/>
    <x v="5"/>
    <x v="0"/>
  </r>
  <r>
    <s v="ORD0398"/>
    <x v="46"/>
    <s v="Delhi"/>
    <x v="0"/>
    <x v="1"/>
    <x v="10"/>
    <n v="5"/>
    <n v="4190.2700000000004"/>
    <n v="0.05"/>
    <n v="19903.78"/>
    <s v="Debit Card"/>
    <x v="0"/>
    <x v="2"/>
    <x v="1"/>
    <n v="20951.350000000002"/>
    <x v="6"/>
    <x v="2"/>
    <x v="0"/>
  </r>
  <r>
    <s v="ORD0399"/>
    <x v="52"/>
    <s v="Gujarat"/>
    <x v="1"/>
    <x v="1"/>
    <x v="14"/>
    <n v="1"/>
    <n v="1328.37"/>
    <n v="0.05"/>
    <n v="1261.95"/>
    <s v="Credit Card"/>
    <x v="2"/>
    <x v="0"/>
    <x v="2"/>
    <n v="1328.37"/>
    <x v="2"/>
    <x v="6"/>
    <x v="0"/>
  </r>
  <r>
    <s v="ORD0400"/>
    <x v="154"/>
    <s v="Delhi"/>
    <x v="1"/>
    <x v="4"/>
    <x v="16"/>
    <n v="5"/>
    <n v="442.06"/>
    <n v="0.05"/>
    <n v="2099.7800000000002"/>
    <s v="Credit Card"/>
    <x v="2"/>
    <x v="1"/>
    <x v="0"/>
    <n v="2210.3000000000002"/>
    <x v="0"/>
    <x v="3"/>
    <x v="0"/>
  </r>
  <r>
    <s v="ORD0401"/>
    <x v="154"/>
    <s v="Gujarat"/>
    <x v="3"/>
    <x v="4"/>
    <x v="16"/>
    <n v="3"/>
    <n v="4797.43"/>
    <n v="0.04"/>
    <n v="13816.6"/>
    <s v="COD"/>
    <x v="2"/>
    <x v="1"/>
    <x v="3"/>
    <n v="14392.29"/>
    <x v="0"/>
    <x v="3"/>
    <x v="0"/>
  </r>
  <r>
    <s v="ORD0402"/>
    <x v="69"/>
    <s v="Karnataka"/>
    <x v="2"/>
    <x v="2"/>
    <x v="6"/>
    <n v="3"/>
    <n v="4401.6400000000003"/>
    <n v="0.12"/>
    <n v="11620.33"/>
    <s v="Debit Card"/>
    <x v="1"/>
    <x v="1"/>
    <x v="0"/>
    <n v="13204.920000000002"/>
    <x v="2"/>
    <x v="4"/>
    <x v="0"/>
  </r>
  <r>
    <s v="ORD0403"/>
    <x v="165"/>
    <s v="Gujarat"/>
    <x v="0"/>
    <x v="0"/>
    <x v="4"/>
    <n v="2"/>
    <n v="4467.3599999999997"/>
    <n v="0.05"/>
    <n v="8487.98"/>
    <s v="Credit Card"/>
    <x v="2"/>
    <x v="0"/>
    <x v="0"/>
    <n v="8934.7199999999993"/>
    <x v="5"/>
    <x v="2"/>
    <x v="0"/>
  </r>
  <r>
    <s v="ORD0404"/>
    <x v="36"/>
    <s v="Gujarat"/>
    <x v="1"/>
    <x v="0"/>
    <x v="0"/>
    <n v="5"/>
    <n v="1142.53"/>
    <n v="0.01"/>
    <n v="5655.52"/>
    <s v="COD"/>
    <x v="2"/>
    <x v="1"/>
    <x v="0"/>
    <n v="5712.65"/>
    <x v="0"/>
    <x v="5"/>
    <x v="0"/>
  </r>
  <r>
    <s v="ORD0405"/>
    <x v="35"/>
    <s v="Tamil Nadu"/>
    <x v="1"/>
    <x v="3"/>
    <x v="9"/>
    <n v="3"/>
    <n v="756.02"/>
    <n v="0.13"/>
    <n v="1973.21"/>
    <s v="Debit Card"/>
    <x v="1"/>
    <x v="2"/>
    <x v="0"/>
    <n v="2268.06"/>
    <x v="6"/>
    <x v="0"/>
    <x v="0"/>
  </r>
  <r>
    <s v="ORD0406"/>
    <x v="48"/>
    <s v="Gujarat"/>
    <x v="3"/>
    <x v="0"/>
    <x v="4"/>
    <n v="2"/>
    <n v="2286.48"/>
    <n v="0.04"/>
    <n v="4390.04"/>
    <s v="Debit Card"/>
    <x v="1"/>
    <x v="0"/>
    <x v="0"/>
    <n v="4572.96"/>
    <x v="4"/>
    <x v="0"/>
    <x v="0"/>
  </r>
  <r>
    <s v="ORD0407"/>
    <x v="154"/>
    <s v="Maharashtra"/>
    <x v="3"/>
    <x v="2"/>
    <x v="6"/>
    <n v="2"/>
    <n v="408.02"/>
    <n v="0.09"/>
    <n v="742.6"/>
    <s v="Debit Card"/>
    <x v="2"/>
    <x v="2"/>
    <x v="0"/>
    <n v="816.04"/>
    <x v="0"/>
    <x v="3"/>
    <x v="1"/>
  </r>
  <r>
    <s v="ORD0408"/>
    <x v="54"/>
    <s v="Tamil Nadu"/>
    <x v="2"/>
    <x v="4"/>
    <x v="18"/>
    <n v="1"/>
    <n v="4904.8900000000003"/>
    <n v="0.08"/>
    <n v="4512.5"/>
    <s v="Net Banking"/>
    <x v="0"/>
    <x v="0"/>
    <x v="3"/>
    <n v="4904.8900000000003"/>
    <x v="6"/>
    <x v="4"/>
    <x v="0"/>
  </r>
  <r>
    <s v="ORD0409"/>
    <x v="65"/>
    <s v="Tamil Nadu"/>
    <x v="2"/>
    <x v="4"/>
    <x v="16"/>
    <n v="5"/>
    <n v="3301.35"/>
    <n v="0.21"/>
    <n v="13040.33"/>
    <s v="Net Banking"/>
    <x v="2"/>
    <x v="0"/>
    <x v="0"/>
    <n v="16506.75"/>
    <x v="6"/>
    <x v="0"/>
    <x v="0"/>
  </r>
  <r>
    <s v="ORD0410"/>
    <x v="24"/>
    <s v="Karnataka"/>
    <x v="1"/>
    <x v="3"/>
    <x v="15"/>
    <n v="4"/>
    <n v="4447.1400000000003"/>
    <n v="0"/>
    <n v="17788.560000000001"/>
    <s v="UPI"/>
    <x v="2"/>
    <x v="2"/>
    <x v="0"/>
    <n v="17788.560000000001"/>
    <x v="5"/>
    <x v="0"/>
    <x v="0"/>
  </r>
  <r>
    <s v="ORD0411"/>
    <x v="129"/>
    <s v="Delhi"/>
    <x v="3"/>
    <x v="0"/>
    <x v="2"/>
    <n v="2"/>
    <n v="1874.89"/>
    <n v="0.18"/>
    <n v="3074.82"/>
    <s v="Debit Card"/>
    <x v="0"/>
    <x v="2"/>
    <x v="0"/>
    <n v="3749.78"/>
    <x v="3"/>
    <x v="4"/>
    <x v="0"/>
  </r>
  <r>
    <s v="ORD0412"/>
    <x v="38"/>
    <s v="Tamil Nadu"/>
    <x v="0"/>
    <x v="4"/>
    <x v="19"/>
    <n v="2"/>
    <n v="2994.88"/>
    <n v="0.16"/>
    <n v="5031.3999999999996"/>
    <s v="Net Banking"/>
    <x v="2"/>
    <x v="1"/>
    <x v="0"/>
    <n v="5989.76"/>
    <x v="6"/>
    <x v="2"/>
    <x v="0"/>
  </r>
  <r>
    <s v="ORD0413"/>
    <x v="156"/>
    <s v="Delhi"/>
    <x v="1"/>
    <x v="3"/>
    <x v="12"/>
    <n v="5"/>
    <n v="819.64"/>
    <n v="0.04"/>
    <n v="3934.27"/>
    <s v="COD"/>
    <x v="0"/>
    <x v="2"/>
    <x v="0"/>
    <n v="4098.2"/>
    <x v="4"/>
    <x v="2"/>
    <x v="0"/>
  </r>
  <r>
    <s v="ORD0414"/>
    <x v="125"/>
    <s v="Karnataka"/>
    <x v="3"/>
    <x v="1"/>
    <x v="13"/>
    <n v="4"/>
    <n v="3071.98"/>
    <n v="0.12"/>
    <n v="10813.37"/>
    <s v="Credit Card"/>
    <x v="0"/>
    <x v="1"/>
    <x v="0"/>
    <n v="12287.92"/>
    <x v="4"/>
    <x v="5"/>
    <x v="0"/>
  </r>
  <r>
    <s v="ORD0415"/>
    <x v="18"/>
    <s v="Gujarat"/>
    <x v="1"/>
    <x v="2"/>
    <x v="11"/>
    <n v="5"/>
    <n v="1396.15"/>
    <n v="0.18"/>
    <n v="5724.22"/>
    <s v="Debit Card"/>
    <x v="1"/>
    <x v="1"/>
    <x v="0"/>
    <n v="6980.75"/>
    <x v="1"/>
    <x v="2"/>
    <x v="0"/>
  </r>
  <r>
    <s v="ORD0416"/>
    <x v="134"/>
    <s v="Tamil Nadu"/>
    <x v="1"/>
    <x v="0"/>
    <x v="4"/>
    <n v="1"/>
    <n v="181.16"/>
    <n v="0.13"/>
    <n v="157.61000000000001"/>
    <s v="Net Banking"/>
    <x v="0"/>
    <x v="0"/>
    <x v="3"/>
    <n v="181.16"/>
    <x v="2"/>
    <x v="1"/>
    <x v="1"/>
  </r>
  <r>
    <s v="ORD0417"/>
    <x v="62"/>
    <s v="Delhi"/>
    <x v="0"/>
    <x v="1"/>
    <x v="13"/>
    <n v="5"/>
    <n v="291.27999999999997"/>
    <n v="0.2"/>
    <n v="1165.1199999999999"/>
    <s v="Net Banking"/>
    <x v="1"/>
    <x v="0"/>
    <x v="0"/>
    <n v="1456.3999999999999"/>
    <x v="1"/>
    <x v="4"/>
    <x v="0"/>
  </r>
  <r>
    <s v="ORD0418"/>
    <x v="135"/>
    <s v="Tamil Nadu"/>
    <x v="3"/>
    <x v="3"/>
    <x v="8"/>
    <n v="3"/>
    <n v="4386.6400000000003"/>
    <n v="0.17"/>
    <n v="10922.73"/>
    <s v="COD"/>
    <x v="2"/>
    <x v="1"/>
    <x v="1"/>
    <n v="13159.920000000002"/>
    <x v="6"/>
    <x v="0"/>
    <x v="0"/>
  </r>
  <r>
    <s v="ORD0419"/>
    <x v="11"/>
    <s v="Karnataka"/>
    <x v="3"/>
    <x v="2"/>
    <x v="5"/>
    <n v="5"/>
    <n v="578.80999999999995"/>
    <n v="0.03"/>
    <n v="2807.23"/>
    <s v="COD"/>
    <x v="1"/>
    <x v="1"/>
    <x v="1"/>
    <n v="2894.0499999999997"/>
    <x v="1"/>
    <x v="4"/>
    <x v="0"/>
  </r>
  <r>
    <s v="ORD0420"/>
    <x v="134"/>
    <s v="Gujarat"/>
    <x v="0"/>
    <x v="0"/>
    <x v="2"/>
    <n v="3"/>
    <n v="1026.2"/>
    <n v="0.18"/>
    <n v="2524.4499999999998"/>
    <s v="COD"/>
    <x v="2"/>
    <x v="2"/>
    <x v="0"/>
    <n v="3078.6000000000004"/>
    <x v="2"/>
    <x v="1"/>
    <x v="0"/>
  </r>
  <r>
    <s v="ORD0421"/>
    <x v="99"/>
    <s v="Karnataka"/>
    <x v="2"/>
    <x v="2"/>
    <x v="11"/>
    <n v="1"/>
    <n v="858.42"/>
    <n v="0.16"/>
    <n v="721.07"/>
    <s v="Net Banking"/>
    <x v="2"/>
    <x v="1"/>
    <x v="1"/>
    <n v="858.42"/>
    <x v="0"/>
    <x v="0"/>
    <x v="1"/>
  </r>
  <r>
    <s v="ORD0422"/>
    <x v="142"/>
    <s v="Gujarat"/>
    <x v="1"/>
    <x v="2"/>
    <x v="6"/>
    <n v="4"/>
    <n v="3799.36"/>
    <n v="0.1"/>
    <n v="13677.7"/>
    <s v="UPI"/>
    <x v="1"/>
    <x v="0"/>
    <x v="0"/>
    <n v="15197.44"/>
    <x v="2"/>
    <x v="5"/>
    <x v="0"/>
  </r>
  <r>
    <s v="ORD0423"/>
    <x v="134"/>
    <s v="Karnataka"/>
    <x v="0"/>
    <x v="1"/>
    <x v="14"/>
    <n v="3"/>
    <n v="3893.55"/>
    <n v="0.1"/>
    <n v="10512.59"/>
    <s v="UPI"/>
    <x v="1"/>
    <x v="2"/>
    <x v="0"/>
    <n v="11680.650000000001"/>
    <x v="2"/>
    <x v="1"/>
    <x v="0"/>
  </r>
  <r>
    <s v="ORD0424"/>
    <x v="107"/>
    <s v="Maharashtra"/>
    <x v="0"/>
    <x v="2"/>
    <x v="11"/>
    <n v="4"/>
    <n v="3951.8"/>
    <n v="0.2"/>
    <n v="12645.76"/>
    <s v="Debit Card"/>
    <x v="1"/>
    <x v="0"/>
    <x v="0"/>
    <n v="15807.2"/>
    <x v="6"/>
    <x v="1"/>
    <x v="0"/>
  </r>
  <r>
    <s v="ORD0425"/>
    <x v="100"/>
    <s v="Delhi"/>
    <x v="0"/>
    <x v="0"/>
    <x v="0"/>
    <n v="4"/>
    <n v="531.89"/>
    <n v="7.0000000000000007E-2"/>
    <n v="1978.63"/>
    <s v="Net Banking"/>
    <x v="1"/>
    <x v="1"/>
    <x v="0"/>
    <n v="2127.56"/>
    <x v="4"/>
    <x v="4"/>
    <x v="0"/>
  </r>
  <r>
    <s v="ORD0426"/>
    <x v="137"/>
    <s v="Gujarat"/>
    <x v="1"/>
    <x v="2"/>
    <x v="5"/>
    <n v="5"/>
    <n v="381.57"/>
    <n v="0.19"/>
    <n v="1545.36"/>
    <s v="COD"/>
    <x v="2"/>
    <x v="2"/>
    <x v="0"/>
    <n v="1907.85"/>
    <x v="4"/>
    <x v="4"/>
    <x v="0"/>
  </r>
  <r>
    <s v="ORD0427"/>
    <x v="121"/>
    <s v="Delhi"/>
    <x v="0"/>
    <x v="3"/>
    <x v="9"/>
    <n v="5"/>
    <n v="2627.49"/>
    <n v="0.06"/>
    <n v="12349.2"/>
    <s v="Credit Card"/>
    <x v="1"/>
    <x v="2"/>
    <x v="0"/>
    <n v="13137.449999999999"/>
    <x v="5"/>
    <x v="4"/>
    <x v="0"/>
  </r>
  <r>
    <s v="ORD0428"/>
    <x v="128"/>
    <s v="Maharashtra"/>
    <x v="0"/>
    <x v="0"/>
    <x v="4"/>
    <n v="3"/>
    <n v="3381.34"/>
    <n v="0.1"/>
    <n v="9129.6200000000008"/>
    <s v="UPI"/>
    <x v="2"/>
    <x v="2"/>
    <x v="0"/>
    <n v="10144.02"/>
    <x v="3"/>
    <x v="3"/>
    <x v="0"/>
  </r>
  <r>
    <s v="ORD0429"/>
    <x v="166"/>
    <s v="Gujarat"/>
    <x v="3"/>
    <x v="0"/>
    <x v="0"/>
    <n v="5"/>
    <n v="4583.54"/>
    <n v="0.09"/>
    <n v="20855.11"/>
    <s v="UPI"/>
    <x v="1"/>
    <x v="1"/>
    <x v="0"/>
    <n v="22917.7"/>
    <x v="2"/>
    <x v="3"/>
    <x v="0"/>
  </r>
  <r>
    <s v="ORD0430"/>
    <x v="80"/>
    <s v="Tamil Nadu"/>
    <x v="0"/>
    <x v="3"/>
    <x v="15"/>
    <n v="3"/>
    <n v="957.67"/>
    <n v="0.13"/>
    <n v="2499.52"/>
    <s v="COD"/>
    <x v="0"/>
    <x v="0"/>
    <x v="0"/>
    <n v="2873.0099999999998"/>
    <x v="0"/>
    <x v="4"/>
    <x v="0"/>
  </r>
  <r>
    <s v="ORD0431"/>
    <x v="38"/>
    <s v="Gujarat"/>
    <x v="1"/>
    <x v="4"/>
    <x v="19"/>
    <n v="5"/>
    <n v="1325.69"/>
    <n v="0.11"/>
    <n v="5899.32"/>
    <s v="UPI"/>
    <x v="1"/>
    <x v="1"/>
    <x v="3"/>
    <n v="6628.4500000000007"/>
    <x v="6"/>
    <x v="2"/>
    <x v="0"/>
  </r>
  <r>
    <s v="ORD0432"/>
    <x v="134"/>
    <s v="Tamil Nadu"/>
    <x v="3"/>
    <x v="4"/>
    <x v="18"/>
    <n v="4"/>
    <n v="669.71"/>
    <n v="0.02"/>
    <n v="2625.26"/>
    <s v="COD"/>
    <x v="0"/>
    <x v="0"/>
    <x v="0"/>
    <n v="2678.84"/>
    <x v="2"/>
    <x v="1"/>
    <x v="0"/>
  </r>
  <r>
    <s v="ORD0433"/>
    <x v="20"/>
    <s v="Tamil Nadu"/>
    <x v="2"/>
    <x v="3"/>
    <x v="9"/>
    <n v="5"/>
    <n v="147.63999999999999"/>
    <n v="0.21"/>
    <n v="583.17999999999995"/>
    <s v="UPI"/>
    <x v="1"/>
    <x v="2"/>
    <x v="0"/>
    <n v="738.19999999999993"/>
    <x v="1"/>
    <x v="4"/>
    <x v="1"/>
  </r>
  <r>
    <s v="ORD0434"/>
    <x v="53"/>
    <s v="Gujarat"/>
    <x v="3"/>
    <x v="4"/>
    <x v="19"/>
    <n v="3"/>
    <n v="1832.34"/>
    <n v="0.22"/>
    <n v="4287.68"/>
    <s v="Debit Card"/>
    <x v="2"/>
    <x v="1"/>
    <x v="1"/>
    <n v="5497.0199999999995"/>
    <x v="4"/>
    <x v="1"/>
    <x v="0"/>
  </r>
  <r>
    <s v="ORD0435"/>
    <x v="166"/>
    <s v="Delhi"/>
    <x v="3"/>
    <x v="3"/>
    <x v="15"/>
    <n v="2"/>
    <n v="4376.4399999999996"/>
    <n v="0.05"/>
    <n v="8315.24"/>
    <s v="Debit Card"/>
    <x v="1"/>
    <x v="2"/>
    <x v="3"/>
    <n v="8752.8799999999992"/>
    <x v="2"/>
    <x v="3"/>
    <x v="0"/>
  </r>
  <r>
    <s v="ORD0436"/>
    <x v="156"/>
    <s v="Maharashtra"/>
    <x v="0"/>
    <x v="4"/>
    <x v="16"/>
    <n v="4"/>
    <n v="3107.75"/>
    <n v="0.19"/>
    <n v="10069.11"/>
    <s v="Credit Card"/>
    <x v="0"/>
    <x v="0"/>
    <x v="3"/>
    <n v="12431"/>
    <x v="4"/>
    <x v="2"/>
    <x v="0"/>
  </r>
  <r>
    <s v="ORD0437"/>
    <x v="64"/>
    <s v="Tamil Nadu"/>
    <x v="2"/>
    <x v="4"/>
    <x v="17"/>
    <n v="4"/>
    <n v="996.07"/>
    <n v="0.19"/>
    <n v="3227.27"/>
    <s v="COD"/>
    <x v="2"/>
    <x v="0"/>
    <x v="0"/>
    <n v="3984.28"/>
    <x v="5"/>
    <x v="1"/>
    <x v="0"/>
  </r>
  <r>
    <s v="ORD0438"/>
    <x v="111"/>
    <s v="Maharashtra"/>
    <x v="1"/>
    <x v="1"/>
    <x v="10"/>
    <n v="4"/>
    <n v="4704.3100000000004"/>
    <n v="0.01"/>
    <n v="18629.07"/>
    <s v="COD"/>
    <x v="2"/>
    <x v="1"/>
    <x v="1"/>
    <n v="18817.240000000002"/>
    <x v="3"/>
    <x v="4"/>
    <x v="0"/>
  </r>
  <r>
    <s v="ORD0439"/>
    <x v="64"/>
    <s v="Maharashtra"/>
    <x v="1"/>
    <x v="3"/>
    <x v="15"/>
    <n v="3"/>
    <n v="3477.13"/>
    <n v="0"/>
    <n v="10431.39"/>
    <s v="COD"/>
    <x v="2"/>
    <x v="2"/>
    <x v="0"/>
    <n v="10431.39"/>
    <x v="5"/>
    <x v="1"/>
    <x v="0"/>
  </r>
  <r>
    <s v="ORD0440"/>
    <x v="9"/>
    <s v="Gujarat"/>
    <x v="2"/>
    <x v="4"/>
    <x v="17"/>
    <n v="5"/>
    <n v="1387.96"/>
    <n v="7.0000000000000007E-2"/>
    <n v="6454.01"/>
    <s v="UPI"/>
    <x v="0"/>
    <x v="0"/>
    <x v="0"/>
    <n v="6939.8"/>
    <x v="0"/>
    <x v="0"/>
    <x v="0"/>
  </r>
  <r>
    <s v="ORD0441"/>
    <x v="60"/>
    <s v="Delhi"/>
    <x v="3"/>
    <x v="2"/>
    <x v="5"/>
    <n v="3"/>
    <n v="1888.88"/>
    <n v="0.1"/>
    <n v="5099.9799999999996"/>
    <s v="Net Banking"/>
    <x v="1"/>
    <x v="1"/>
    <x v="0"/>
    <n v="5666.64"/>
    <x v="5"/>
    <x v="3"/>
    <x v="0"/>
  </r>
  <r>
    <s v="ORD0442"/>
    <x v="19"/>
    <s v="Maharashtra"/>
    <x v="3"/>
    <x v="1"/>
    <x v="10"/>
    <n v="5"/>
    <n v="2217.87"/>
    <n v="0.1"/>
    <n v="9980.41"/>
    <s v="UPI"/>
    <x v="0"/>
    <x v="2"/>
    <x v="0"/>
    <n v="11089.349999999999"/>
    <x v="3"/>
    <x v="2"/>
    <x v="0"/>
  </r>
  <r>
    <s v="ORD0443"/>
    <x v="157"/>
    <s v="Tamil Nadu"/>
    <x v="2"/>
    <x v="0"/>
    <x v="4"/>
    <n v="5"/>
    <n v="2716.51"/>
    <n v="0.08"/>
    <n v="12495.95"/>
    <s v="Net Banking"/>
    <x v="0"/>
    <x v="1"/>
    <x v="0"/>
    <n v="13582.550000000001"/>
    <x v="4"/>
    <x v="5"/>
    <x v="0"/>
  </r>
  <r>
    <s v="ORD0444"/>
    <x v="145"/>
    <s v="Tamil Nadu"/>
    <x v="0"/>
    <x v="1"/>
    <x v="13"/>
    <n v="2"/>
    <n v="394.18"/>
    <n v="0.2"/>
    <n v="630.69000000000005"/>
    <s v="Credit Card"/>
    <x v="1"/>
    <x v="1"/>
    <x v="0"/>
    <n v="788.36"/>
    <x v="6"/>
    <x v="1"/>
    <x v="1"/>
  </r>
  <r>
    <s v="ORD0445"/>
    <x v="167"/>
    <s v="Karnataka"/>
    <x v="1"/>
    <x v="4"/>
    <x v="17"/>
    <n v="5"/>
    <n v="4666.04"/>
    <n v="0.06"/>
    <n v="21930.39"/>
    <s v="UPI"/>
    <x v="1"/>
    <x v="2"/>
    <x v="0"/>
    <n v="23330.2"/>
    <x v="1"/>
    <x v="6"/>
    <x v="0"/>
  </r>
  <r>
    <s v="ORD0446"/>
    <x v="168"/>
    <s v="Gujarat"/>
    <x v="2"/>
    <x v="1"/>
    <x v="10"/>
    <n v="5"/>
    <n v="955.24"/>
    <n v="0.2"/>
    <n v="3820.96"/>
    <s v="COD"/>
    <x v="1"/>
    <x v="1"/>
    <x v="0"/>
    <n v="4776.2"/>
    <x v="2"/>
    <x v="3"/>
    <x v="0"/>
  </r>
  <r>
    <s v="ORD0447"/>
    <x v="92"/>
    <s v="Maharashtra"/>
    <x v="2"/>
    <x v="2"/>
    <x v="5"/>
    <n v="3"/>
    <n v="2372.39"/>
    <n v="0.24"/>
    <n v="5409.05"/>
    <s v="Net Banking"/>
    <x v="1"/>
    <x v="2"/>
    <x v="0"/>
    <n v="7117.17"/>
    <x v="0"/>
    <x v="4"/>
    <x v="0"/>
  </r>
  <r>
    <s v="ORD0448"/>
    <x v="5"/>
    <s v="Maharashtra"/>
    <x v="2"/>
    <x v="1"/>
    <x v="14"/>
    <n v="3"/>
    <n v="1218.27"/>
    <n v="0.08"/>
    <n v="3362.43"/>
    <s v="Credit Card"/>
    <x v="0"/>
    <x v="1"/>
    <x v="0"/>
    <n v="3654.81"/>
    <x v="0"/>
    <x v="2"/>
    <x v="0"/>
  </r>
  <r>
    <s v="ORD0449"/>
    <x v="62"/>
    <s v="Tamil Nadu"/>
    <x v="3"/>
    <x v="2"/>
    <x v="6"/>
    <n v="5"/>
    <n v="2652.58"/>
    <n v="0.11"/>
    <n v="11803.98"/>
    <s v="UPI"/>
    <x v="1"/>
    <x v="2"/>
    <x v="1"/>
    <n v="13262.9"/>
    <x v="1"/>
    <x v="4"/>
    <x v="0"/>
  </r>
  <r>
    <s v="ORD0450"/>
    <x v="111"/>
    <s v="Karnataka"/>
    <x v="0"/>
    <x v="3"/>
    <x v="12"/>
    <n v="2"/>
    <n v="2045.52"/>
    <n v="0.02"/>
    <n v="4009.22"/>
    <s v="Credit Card"/>
    <x v="0"/>
    <x v="1"/>
    <x v="0"/>
    <n v="4091.04"/>
    <x v="3"/>
    <x v="4"/>
    <x v="0"/>
  </r>
  <r>
    <s v="ORD0451"/>
    <x v="169"/>
    <s v="Maharashtra"/>
    <x v="2"/>
    <x v="2"/>
    <x v="7"/>
    <n v="2"/>
    <n v="513.13"/>
    <n v="0.23"/>
    <n v="790.22"/>
    <s v="UPI"/>
    <x v="1"/>
    <x v="1"/>
    <x v="0"/>
    <n v="1026.26"/>
    <x v="1"/>
    <x v="1"/>
    <x v="1"/>
  </r>
  <r>
    <s v="ORD0452"/>
    <x v="58"/>
    <s v="Delhi"/>
    <x v="1"/>
    <x v="4"/>
    <x v="18"/>
    <n v="2"/>
    <n v="240"/>
    <n v="0.17"/>
    <n v="398.4"/>
    <s v="Debit Card"/>
    <x v="1"/>
    <x v="1"/>
    <x v="0"/>
    <n v="480"/>
    <x v="4"/>
    <x v="0"/>
    <x v="1"/>
  </r>
  <r>
    <s v="ORD0453"/>
    <x v="53"/>
    <s v="Gujarat"/>
    <x v="1"/>
    <x v="1"/>
    <x v="1"/>
    <n v="5"/>
    <n v="967.48"/>
    <n v="0.15"/>
    <n v="4111.79"/>
    <s v="Net Banking"/>
    <x v="0"/>
    <x v="0"/>
    <x v="0"/>
    <n v="4837.3999999999996"/>
    <x v="4"/>
    <x v="1"/>
    <x v="0"/>
  </r>
  <r>
    <s v="ORD0454"/>
    <x v="14"/>
    <s v="Karnataka"/>
    <x v="1"/>
    <x v="1"/>
    <x v="1"/>
    <n v="2"/>
    <n v="4043.07"/>
    <n v="0.11"/>
    <n v="7196.66"/>
    <s v="Net Banking"/>
    <x v="1"/>
    <x v="1"/>
    <x v="0"/>
    <n v="8086.14"/>
    <x v="2"/>
    <x v="5"/>
    <x v="0"/>
  </r>
  <r>
    <s v="ORD0455"/>
    <x v="94"/>
    <s v="Maharashtra"/>
    <x v="1"/>
    <x v="4"/>
    <x v="19"/>
    <n v="3"/>
    <n v="1505.14"/>
    <n v="0.13"/>
    <n v="3928.42"/>
    <s v="COD"/>
    <x v="0"/>
    <x v="0"/>
    <x v="1"/>
    <n v="4515.42"/>
    <x v="4"/>
    <x v="0"/>
    <x v="0"/>
  </r>
  <r>
    <s v="ORD0456"/>
    <x v="100"/>
    <s v="Maharashtra"/>
    <x v="3"/>
    <x v="2"/>
    <x v="6"/>
    <n v="5"/>
    <n v="1232.96"/>
    <n v="0"/>
    <n v="6164.8"/>
    <s v="Net Banking"/>
    <x v="2"/>
    <x v="1"/>
    <x v="0"/>
    <n v="6164.8"/>
    <x v="4"/>
    <x v="4"/>
    <x v="0"/>
  </r>
  <r>
    <s v="ORD0457"/>
    <x v="98"/>
    <s v="Tamil Nadu"/>
    <x v="1"/>
    <x v="1"/>
    <x v="14"/>
    <n v="4"/>
    <n v="4159.29"/>
    <n v="0.06"/>
    <n v="15638.93"/>
    <s v="Debit Card"/>
    <x v="0"/>
    <x v="2"/>
    <x v="0"/>
    <n v="16637.16"/>
    <x v="2"/>
    <x v="4"/>
    <x v="0"/>
  </r>
  <r>
    <s v="ORD0458"/>
    <x v="170"/>
    <s v="Karnataka"/>
    <x v="2"/>
    <x v="1"/>
    <x v="1"/>
    <n v="4"/>
    <n v="1021.2"/>
    <n v="0.02"/>
    <n v="4003.1"/>
    <s v="COD"/>
    <x v="2"/>
    <x v="2"/>
    <x v="0"/>
    <n v="4084.8"/>
    <x v="3"/>
    <x v="4"/>
    <x v="0"/>
  </r>
  <r>
    <s v="ORD0459"/>
    <x v="88"/>
    <s v="Karnataka"/>
    <x v="0"/>
    <x v="2"/>
    <x v="5"/>
    <n v="2"/>
    <n v="1671.15"/>
    <n v="0.04"/>
    <n v="3208.61"/>
    <s v="COD"/>
    <x v="2"/>
    <x v="0"/>
    <x v="0"/>
    <n v="3342.3"/>
    <x v="0"/>
    <x v="5"/>
    <x v="0"/>
  </r>
  <r>
    <s v="ORD0460"/>
    <x v="75"/>
    <s v="Karnataka"/>
    <x v="0"/>
    <x v="0"/>
    <x v="2"/>
    <n v="4"/>
    <n v="3662.82"/>
    <n v="0.06"/>
    <n v="13772.2"/>
    <s v="Debit Card"/>
    <x v="1"/>
    <x v="2"/>
    <x v="0"/>
    <n v="14651.28"/>
    <x v="5"/>
    <x v="6"/>
    <x v="0"/>
  </r>
  <r>
    <s v="ORD0461"/>
    <x v="171"/>
    <s v="Karnataka"/>
    <x v="3"/>
    <x v="4"/>
    <x v="18"/>
    <n v="4"/>
    <n v="3514.98"/>
    <n v="0.01"/>
    <n v="13919.32"/>
    <s v="Net Banking"/>
    <x v="2"/>
    <x v="2"/>
    <x v="0"/>
    <n v="14059.92"/>
    <x v="4"/>
    <x v="2"/>
    <x v="0"/>
  </r>
  <r>
    <s v="ORD0462"/>
    <x v="140"/>
    <s v="Gujarat"/>
    <x v="0"/>
    <x v="2"/>
    <x v="7"/>
    <n v="2"/>
    <n v="4488.92"/>
    <n v="0.06"/>
    <n v="8439.17"/>
    <s v="Net Banking"/>
    <x v="0"/>
    <x v="1"/>
    <x v="0"/>
    <n v="8977.84"/>
    <x v="2"/>
    <x v="2"/>
    <x v="0"/>
  </r>
  <r>
    <s v="ORD0463"/>
    <x v="74"/>
    <s v="Tamil Nadu"/>
    <x v="3"/>
    <x v="3"/>
    <x v="15"/>
    <n v="1"/>
    <n v="1075.98"/>
    <n v="0.18"/>
    <n v="882.3"/>
    <s v="Debit Card"/>
    <x v="1"/>
    <x v="2"/>
    <x v="0"/>
    <n v="1075.98"/>
    <x v="2"/>
    <x v="0"/>
    <x v="1"/>
  </r>
  <r>
    <s v="ORD0464"/>
    <x v="24"/>
    <s v="Delhi"/>
    <x v="2"/>
    <x v="4"/>
    <x v="17"/>
    <n v="5"/>
    <n v="2652.54"/>
    <n v="0.06"/>
    <n v="12466.94"/>
    <s v="Credit Card"/>
    <x v="1"/>
    <x v="0"/>
    <x v="0"/>
    <n v="13262.7"/>
    <x v="5"/>
    <x v="0"/>
    <x v="0"/>
  </r>
  <r>
    <s v="ORD0465"/>
    <x v="88"/>
    <s v="Maharashtra"/>
    <x v="0"/>
    <x v="0"/>
    <x v="4"/>
    <n v="4"/>
    <n v="1690.12"/>
    <n v="0.04"/>
    <n v="6490.06"/>
    <s v="Debit Card"/>
    <x v="1"/>
    <x v="1"/>
    <x v="0"/>
    <n v="6760.48"/>
    <x v="0"/>
    <x v="5"/>
    <x v="0"/>
  </r>
  <r>
    <s v="ORD0466"/>
    <x v="133"/>
    <s v="Maharashtra"/>
    <x v="3"/>
    <x v="3"/>
    <x v="8"/>
    <n v="4"/>
    <n v="3473.19"/>
    <n v="0.04"/>
    <n v="13337.05"/>
    <s v="COD"/>
    <x v="1"/>
    <x v="2"/>
    <x v="0"/>
    <n v="13892.76"/>
    <x v="2"/>
    <x v="2"/>
    <x v="0"/>
  </r>
  <r>
    <s v="ORD0467"/>
    <x v="46"/>
    <s v="Maharashtra"/>
    <x v="1"/>
    <x v="0"/>
    <x v="2"/>
    <n v="2"/>
    <n v="3536.51"/>
    <n v="0.2"/>
    <n v="5658.42"/>
    <s v="Credit Card"/>
    <x v="2"/>
    <x v="2"/>
    <x v="0"/>
    <n v="7073.02"/>
    <x v="6"/>
    <x v="2"/>
    <x v="0"/>
  </r>
  <r>
    <s v="ORD0468"/>
    <x v="96"/>
    <s v="Tamil Nadu"/>
    <x v="1"/>
    <x v="1"/>
    <x v="1"/>
    <n v="4"/>
    <n v="1855.02"/>
    <n v="0.03"/>
    <n v="7197.48"/>
    <s v="Debit Card"/>
    <x v="0"/>
    <x v="2"/>
    <x v="0"/>
    <n v="7420.08"/>
    <x v="5"/>
    <x v="5"/>
    <x v="0"/>
  </r>
  <r>
    <s v="ORD0469"/>
    <x v="151"/>
    <s v="Gujarat"/>
    <x v="1"/>
    <x v="1"/>
    <x v="1"/>
    <n v="5"/>
    <n v="1014.47"/>
    <n v="0.09"/>
    <n v="4615.84"/>
    <s v="Net Banking"/>
    <x v="0"/>
    <x v="0"/>
    <x v="0"/>
    <n v="5072.3500000000004"/>
    <x v="2"/>
    <x v="1"/>
    <x v="0"/>
  </r>
  <r>
    <s v="ORD0470"/>
    <x v="74"/>
    <s v="Maharashtra"/>
    <x v="1"/>
    <x v="1"/>
    <x v="10"/>
    <n v="4"/>
    <n v="1548.8"/>
    <n v="7.0000000000000007E-2"/>
    <n v="5761.54"/>
    <s v="COD"/>
    <x v="0"/>
    <x v="1"/>
    <x v="0"/>
    <n v="6195.2"/>
    <x v="2"/>
    <x v="0"/>
    <x v="0"/>
  </r>
  <r>
    <s v="ORD0471"/>
    <x v="77"/>
    <s v="Delhi"/>
    <x v="0"/>
    <x v="1"/>
    <x v="14"/>
    <n v="3"/>
    <n v="3902.48"/>
    <n v="0.06"/>
    <n v="11004.99"/>
    <s v="Credit Card"/>
    <x v="1"/>
    <x v="0"/>
    <x v="0"/>
    <n v="11707.44"/>
    <x v="5"/>
    <x v="0"/>
    <x v="0"/>
  </r>
  <r>
    <s v="ORD0472"/>
    <x v="172"/>
    <s v="Delhi"/>
    <x v="2"/>
    <x v="1"/>
    <x v="14"/>
    <n v="4"/>
    <n v="3852.1"/>
    <n v="0.04"/>
    <n v="14792.06"/>
    <s v="COD"/>
    <x v="1"/>
    <x v="1"/>
    <x v="0"/>
    <n v="15408.4"/>
    <x v="6"/>
    <x v="5"/>
    <x v="0"/>
  </r>
  <r>
    <s v="ORD0473"/>
    <x v="69"/>
    <s v="Maharashtra"/>
    <x v="0"/>
    <x v="4"/>
    <x v="19"/>
    <n v="1"/>
    <n v="314.51"/>
    <n v="0.23"/>
    <n v="242.17"/>
    <s v="COD"/>
    <x v="1"/>
    <x v="2"/>
    <x v="0"/>
    <n v="314.51"/>
    <x v="2"/>
    <x v="4"/>
    <x v="1"/>
  </r>
  <r>
    <s v="ORD0474"/>
    <x v="88"/>
    <s v="Maharashtra"/>
    <x v="2"/>
    <x v="2"/>
    <x v="11"/>
    <n v="4"/>
    <n v="3323.81"/>
    <n v="0.13"/>
    <n v="11566.86"/>
    <s v="Credit Card"/>
    <x v="1"/>
    <x v="0"/>
    <x v="0"/>
    <n v="13295.24"/>
    <x v="0"/>
    <x v="5"/>
    <x v="0"/>
  </r>
  <r>
    <s v="ORD0475"/>
    <x v="131"/>
    <s v="Maharashtra"/>
    <x v="0"/>
    <x v="3"/>
    <x v="8"/>
    <n v="4"/>
    <n v="4649.18"/>
    <n v="0.21"/>
    <n v="14691.41"/>
    <s v="Debit Card"/>
    <x v="1"/>
    <x v="1"/>
    <x v="0"/>
    <n v="18596.72"/>
    <x v="0"/>
    <x v="6"/>
    <x v="0"/>
  </r>
  <r>
    <s v="ORD0476"/>
    <x v="99"/>
    <s v="Maharashtra"/>
    <x v="0"/>
    <x v="2"/>
    <x v="6"/>
    <n v="5"/>
    <n v="299.2"/>
    <n v="0.02"/>
    <n v="1466.08"/>
    <s v="COD"/>
    <x v="2"/>
    <x v="1"/>
    <x v="1"/>
    <n v="1496"/>
    <x v="0"/>
    <x v="0"/>
    <x v="0"/>
  </r>
  <r>
    <s v="ORD0477"/>
    <x v="75"/>
    <s v="Maharashtra"/>
    <x v="3"/>
    <x v="1"/>
    <x v="13"/>
    <n v="4"/>
    <n v="1028.3599999999999"/>
    <n v="0.13"/>
    <n v="3578.69"/>
    <s v="Debit Card"/>
    <x v="1"/>
    <x v="2"/>
    <x v="0"/>
    <n v="4113.4399999999996"/>
    <x v="5"/>
    <x v="6"/>
    <x v="0"/>
  </r>
  <r>
    <s v="ORD0478"/>
    <x v="160"/>
    <s v="Maharashtra"/>
    <x v="3"/>
    <x v="1"/>
    <x v="14"/>
    <n v="4"/>
    <n v="3542.5"/>
    <n v="0.11"/>
    <n v="12611.3"/>
    <s v="COD"/>
    <x v="2"/>
    <x v="2"/>
    <x v="3"/>
    <n v="14170"/>
    <x v="1"/>
    <x v="1"/>
    <x v="0"/>
  </r>
  <r>
    <s v="ORD0479"/>
    <x v="31"/>
    <s v="Gujarat"/>
    <x v="2"/>
    <x v="1"/>
    <x v="14"/>
    <n v="2"/>
    <n v="2716.11"/>
    <n v="0.15"/>
    <n v="4617.3900000000003"/>
    <s v="UPI"/>
    <x v="1"/>
    <x v="1"/>
    <x v="0"/>
    <n v="5432.22"/>
    <x v="4"/>
    <x v="1"/>
    <x v="0"/>
  </r>
  <r>
    <s v="ORD0480"/>
    <x v="69"/>
    <s v="Tamil Nadu"/>
    <x v="1"/>
    <x v="4"/>
    <x v="17"/>
    <n v="3"/>
    <n v="3081.23"/>
    <n v="0.14000000000000001"/>
    <n v="7949.57"/>
    <s v="Net Banking"/>
    <x v="1"/>
    <x v="2"/>
    <x v="3"/>
    <n v="9243.69"/>
    <x v="2"/>
    <x v="4"/>
    <x v="0"/>
  </r>
  <r>
    <s v="ORD0481"/>
    <x v="58"/>
    <s v="Tamil Nadu"/>
    <x v="0"/>
    <x v="4"/>
    <x v="17"/>
    <n v="1"/>
    <n v="3658.94"/>
    <n v="0.25"/>
    <n v="2744.2"/>
    <s v="Net Banking"/>
    <x v="2"/>
    <x v="0"/>
    <x v="0"/>
    <n v="3658.94"/>
    <x v="4"/>
    <x v="0"/>
    <x v="0"/>
  </r>
  <r>
    <s v="ORD0482"/>
    <x v="98"/>
    <s v="Karnataka"/>
    <x v="2"/>
    <x v="4"/>
    <x v="19"/>
    <n v="3"/>
    <n v="206.34"/>
    <n v="0.21"/>
    <n v="489.03"/>
    <s v="Debit Card"/>
    <x v="0"/>
    <x v="0"/>
    <x v="1"/>
    <n v="619.02"/>
    <x v="2"/>
    <x v="4"/>
    <x v="1"/>
  </r>
  <r>
    <s v="ORD0483"/>
    <x v="8"/>
    <s v="Maharashtra"/>
    <x v="3"/>
    <x v="1"/>
    <x v="10"/>
    <n v="3"/>
    <n v="864.92"/>
    <n v="7.0000000000000007E-2"/>
    <n v="2413.13"/>
    <s v="Credit Card"/>
    <x v="2"/>
    <x v="0"/>
    <x v="0"/>
    <n v="2594.7599999999998"/>
    <x v="0"/>
    <x v="1"/>
    <x v="0"/>
  </r>
  <r>
    <s v="ORD0484"/>
    <x v="160"/>
    <s v="Gujarat"/>
    <x v="3"/>
    <x v="4"/>
    <x v="19"/>
    <n v="2"/>
    <n v="3697.9"/>
    <n v="0.18"/>
    <n v="6064.56"/>
    <s v="Net Banking"/>
    <x v="1"/>
    <x v="1"/>
    <x v="0"/>
    <n v="7395.8"/>
    <x v="1"/>
    <x v="1"/>
    <x v="0"/>
  </r>
  <r>
    <s v="ORD0485"/>
    <x v="50"/>
    <s v="Gujarat"/>
    <x v="2"/>
    <x v="1"/>
    <x v="13"/>
    <n v="5"/>
    <n v="1969.58"/>
    <n v="0.2"/>
    <n v="7878.32"/>
    <s v="UPI"/>
    <x v="0"/>
    <x v="1"/>
    <x v="1"/>
    <n v="9847.9"/>
    <x v="5"/>
    <x v="4"/>
    <x v="0"/>
  </r>
  <r>
    <s v="ORD0486"/>
    <x v="39"/>
    <s v="Maharashtra"/>
    <x v="1"/>
    <x v="2"/>
    <x v="5"/>
    <n v="5"/>
    <n v="4650.3999999999996"/>
    <n v="0.16"/>
    <n v="19531.68"/>
    <s v="Debit Card"/>
    <x v="1"/>
    <x v="0"/>
    <x v="0"/>
    <n v="23252"/>
    <x v="5"/>
    <x v="2"/>
    <x v="0"/>
  </r>
  <r>
    <s v="ORD0487"/>
    <x v="20"/>
    <s v="Karnataka"/>
    <x v="0"/>
    <x v="1"/>
    <x v="13"/>
    <n v="2"/>
    <n v="1701.47"/>
    <n v="0.17"/>
    <n v="2824.44"/>
    <s v="COD"/>
    <x v="1"/>
    <x v="2"/>
    <x v="0"/>
    <n v="3402.94"/>
    <x v="1"/>
    <x v="4"/>
    <x v="0"/>
  </r>
  <r>
    <s v="ORD0488"/>
    <x v="46"/>
    <s v="Gujarat"/>
    <x v="3"/>
    <x v="2"/>
    <x v="5"/>
    <n v="1"/>
    <n v="1188.22"/>
    <n v="7.0000000000000007E-2"/>
    <n v="1105.04"/>
    <s v="COD"/>
    <x v="1"/>
    <x v="1"/>
    <x v="0"/>
    <n v="1188.22"/>
    <x v="6"/>
    <x v="2"/>
    <x v="0"/>
  </r>
  <r>
    <s v="ORD0489"/>
    <x v="151"/>
    <s v="Gujarat"/>
    <x v="3"/>
    <x v="0"/>
    <x v="3"/>
    <n v="4"/>
    <n v="1386.53"/>
    <n v="0.1"/>
    <n v="4991.51"/>
    <s v="Credit Card"/>
    <x v="1"/>
    <x v="1"/>
    <x v="3"/>
    <n v="5546.12"/>
    <x v="2"/>
    <x v="1"/>
    <x v="0"/>
  </r>
  <r>
    <s v="ORD0490"/>
    <x v="75"/>
    <s v="Tamil Nadu"/>
    <x v="3"/>
    <x v="2"/>
    <x v="11"/>
    <n v="5"/>
    <n v="1060.8900000000001"/>
    <n v="0.15"/>
    <n v="4508.78"/>
    <s v="Net Banking"/>
    <x v="1"/>
    <x v="0"/>
    <x v="0"/>
    <n v="5304.4500000000007"/>
    <x v="5"/>
    <x v="6"/>
    <x v="0"/>
  </r>
  <r>
    <s v="ORD0491"/>
    <x v="173"/>
    <s v="Karnataka"/>
    <x v="3"/>
    <x v="4"/>
    <x v="18"/>
    <n v="1"/>
    <n v="3391.56"/>
    <n v="0.11"/>
    <n v="3018.49"/>
    <s v="COD"/>
    <x v="0"/>
    <x v="1"/>
    <x v="0"/>
    <n v="3391.56"/>
    <x v="2"/>
    <x v="5"/>
    <x v="0"/>
  </r>
  <r>
    <s v="ORD0492"/>
    <x v="59"/>
    <s v="Karnataka"/>
    <x v="3"/>
    <x v="1"/>
    <x v="13"/>
    <n v="5"/>
    <n v="4125.76"/>
    <n v="0.2"/>
    <n v="16503.04"/>
    <s v="Debit Card"/>
    <x v="2"/>
    <x v="0"/>
    <x v="0"/>
    <n v="20628.800000000003"/>
    <x v="3"/>
    <x v="3"/>
    <x v="0"/>
  </r>
  <r>
    <s v="ORD0493"/>
    <x v="64"/>
    <s v="Karnataka"/>
    <x v="3"/>
    <x v="3"/>
    <x v="12"/>
    <n v="1"/>
    <n v="650.62"/>
    <n v="0.01"/>
    <n v="644.11"/>
    <s v="Debit Card"/>
    <x v="1"/>
    <x v="0"/>
    <x v="1"/>
    <n v="650.62"/>
    <x v="5"/>
    <x v="1"/>
    <x v="1"/>
  </r>
  <r>
    <s v="ORD0494"/>
    <x v="93"/>
    <s v="Karnataka"/>
    <x v="3"/>
    <x v="4"/>
    <x v="19"/>
    <n v="4"/>
    <n v="2408.83"/>
    <n v="0.08"/>
    <n v="8864.49"/>
    <s v="Credit Card"/>
    <x v="2"/>
    <x v="0"/>
    <x v="0"/>
    <n v="9635.32"/>
    <x v="6"/>
    <x v="3"/>
    <x v="0"/>
  </r>
  <r>
    <s v="ORD0495"/>
    <x v="5"/>
    <s v="Gujarat"/>
    <x v="0"/>
    <x v="1"/>
    <x v="1"/>
    <n v="2"/>
    <n v="3505.85"/>
    <n v="0.17"/>
    <n v="5819.71"/>
    <s v="Net Banking"/>
    <x v="1"/>
    <x v="1"/>
    <x v="0"/>
    <n v="7011.7"/>
    <x v="0"/>
    <x v="2"/>
    <x v="0"/>
  </r>
  <r>
    <s v="ORD0496"/>
    <x v="71"/>
    <s v="Delhi"/>
    <x v="1"/>
    <x v="0"/>
    <x v="2"/>
    <n v="1"/>
    <n v="2378.31"/>
    <n v="0.24"/>
    <n v="1807.52"/>
    <s v="COD"/>
    <x v="2"/>
    <x v="2"/>
    <x v="0"/>
    <n v="2378.31"/>
    <x v="4"/>
    <x v="5"/>
    <x v="0"/>
  </r>
  <r>
    <s v="ORD0497"/>
    <x v="165"/>
    <s v="Maharashtra"/>
    <x v="0"/>
    <x v="4"/>
    <x v="19"/>
    <n v="4"/>
    <n v="1232.73"/>
    <n v="0.1"/>
    <n v="4437.83"/>
    <s v="UPI"/>
    <x v="1"/>
    <x v="0"/>
    <x v="1"/>
    <n v="4930.92"/>
    <x v="5"/>
    <x v="2"/>
    <x v="0"/>
  </r>
  <r>
    <s v="ORD0498"/>
    <x v="38"/>
    <s v="Delhi"/>
    <x v="3"/>
    <x v="2"/>
    <x v="7"/>
    <n v="4"/>
    <n v="2847.37"/>
    <n v="0.18"/>
    <n v="9339.3700000000008"/>
    <s v="Debit Card"/>
    <x v="1"/>
    <x v="2"/>
    <x v="1"/>
    <n v="11389.48"/>
    <x v="6"/>
    <x v="2"/>
    <x v="0"/>
  </r>
  <r>
    <s v="ORD0499"/>
    <x v="143"/>
    <s v="Tamil Nadu"/>
    <x v="2"/>
    <x v="4"/>
    <x v="17"/>
    <n v="2"/>
    <n v="190.02"/>
    <n v="0.17"/>
    <n v="315.43"/>
    <s v="Net Banking"/>
    <x v="1"/>
    <x v="1"/>
    <x v="0"/>
    <n v="380.04"/>
    <x v="4"/>
    <x v="5"/>
    <x v="1"/>
  </r>
  <r>
    <s v="ORD0500"/>
    <x v="56"/>
    <s v="Maharashtra"/>
    <x v="3"/>
    <x v="1"/>
    <x v="1"/>
    <n v="1"/>
    <n v="4726.2700000000004"/>
    <n v="0.24"/>
    <n v="3591.97"/>
    <s v="UPI"/>
    <x v="2"/>
    <x v="2"/>
    <x v="0"/>
    <n v="4726.2700000000004"/>
    <x v="1"/>
    <x v="3"/>
    <x v="0"/>
  </r>
  <r>
    <s v="ORD0501"/>
    <x v="11"/>
    <s v="Maharashtra"/>
    <x v="3"/>
    <x v="2"/>
    <x v="11"/>
    <n v="5"/>
    <n v="4376.24"/>
    <n v="0.17"/>
    <n v="18161.400000000001"/>
    <s v="Net Banking"/>
    <x v="1"/>
    <x v="1"/>
    <x v="0"/>
    <n v="21881.199999999997"/>
    <x v="1"/>
    <x v="4"/>
    <x v="0"/>
  </r>
  <r>
    <s v="ORD0502"/>
    <x v="26"/>
    <s v="Gujarat"/>
    <x v="3"/>
    <x v="2"/>
    <x v="6"/>
    <n v="5"/>
    <n v="745.68"/>
    <n v="0.16"/>
    <n v="3131.86"/>
    <s v="UPI"/>
    <x v="2"/>
    <x v="0"/>
    <x v="1"/>
    <n v="3728.3999999999996"/>
    <x v="3"/>
    <x v="0"/>
    <x v="0"/>
  </r>
  <r>
    <s v="ORD0503"/>
    <x v="172"/>
    <s v="Tamil Nadu"/>
    <x v="0"/>
    <x v="4"/>
    <x v="16"/>
    <n v="5"/>
    <n v="4593.8500000000004"/>
    <n v="0.08"/>
    <n v="21131.71"/>
    <s v="Debit Card"/>
    <x v="1"/>
    <x v="0"/>
    <x v="0"/>
    <n v="22969.25"/>
    <x v="6"/>
    <x v="5"/>
    <x v="0"/>
  </r>
  <r>
    <s v="ORD0504"/>
    <x v="78"/>
    <s v="Karnataka"/>
    <x v="2"/>
    <x v="3"/>
    <x v="8"/>
    <n v="3"/>
    <n v="2270.7199999999998"/>
    <n v="0.23"/>
    <n v="5245.36"/>
    <s v="Net Banking"/>
    <x v="2"/>
    <x v="0"/>
    <x v="0"/>
    <n v="6812.16"/>
    <x v="5"/>
    <x v="0"/>
    <x v="0"/>
  </r>
  <r>
    <s v="ORD0505"/>
    <x v="33"/>
    <s v="Delhi"/>
    <x v="3"/>
    <x v="3"/>
    <x v="8"/>
    <n v="5"/>
    <n v="3123.04"/>
    <n v="0.15"/>
    <n v="13272.92"/>
    <s v="Debit Card"/>
    <x v="0"/>
    <x v="0"/>
    <x v="0"/>
    <n v="15615.2"/>
    <x v="6"/>
    <x v="3"/>
    <x v="0"/>
  </r>
  <r>
    <s v="ORD0506"/>
    <x v="25"/>
    <s v="Karnataka"/>
    <x v="2"/>
    <x v="3"/>
    <x v="8"/>
    <n v="4"/>
    <n v="757.02"/>
    <n v="0.21"/>
    <n v="2392.1799999999998"/>
    <s v="Credit Card"/>
    <x v="1"/>
    <x v="1"/>
    <x v="0"/>
    <n v="3028.08"/>
    <x v="1"/>
    <x v="0"/>
    <x v="0"/>
  </r>
  <r>
    <s v="ORD0507"/>
    <x v="114"/>
    <s v="Tamil Nadu"/>
    <x v="2"/>
    <x v="2"/>
    <x v="5"/>
    <n v="2"/>
    <n v="1208.74"/>
    <n v="0.1"/>
    <n v="2175.73"/>
    <s v="Debit Card"/>
    <x v="0"/>
    <x v="2"/>
    <x v="2"/>
    <n v="2417.48"/>
    <x v="2"/>
    <x v="4"/>
    <x v="0"/>
  </r>
  <r>
    <s v="ORD0508"/>
    <x v="31"/>
    <s v="Delhi"/>
    <x v="1"/>
    <x v="3"/>
    <x v="12"/>
    <n v="4"/>
    <n v="4348.93"/>
    <n v="0.12"/>
    <n v="15308.23"/>
    <s v="Credit Card"/>
    <x v="0"/>
    <x v="1"/>
    <x v="1"/>
    <n v="17395.72"/>
    <x v="4"/>
    <x v="1"/>
    <x v="0"/>
  </r>
  <r>
    <s v="ORD0509"/>
    <x v="150"/>
    <s v="Maharashtra"/>
    <x v="0"/>
    <x v="2"/>
    <x v="5"/>
    <n v="4"/>
    <n v="3628.98"/>
    <n v="0.1"/>
    <n v="13064.33"/>
    <s v="COD"/>
    <x v="1"/>
    <x v="0"/>
    <x v="0"/>
    <n v="14515.92"/>
    <x v="3"/>
    <x v="0"/>
    <x v="0"/>
  </r>
  <r>
    <s v="ORD0510"/>
    <x v="136"/>
    <s v="Maharashtra"/>
    <x v="1"/>
    <x v="2"/>
    <x v="5"/>
    <n v="5"/>
    <n v="2038.49"/>
    <n v="0.18"/>
    <n v="8357.81"/>
    <s v="Debit Card"/>
    <x v="1"/>
    <x v="0"/>
    <x v="0"/>
    <n v="10192.450000000001"/>
    <x v="2"/>
    <x v="3"/>
    <x v="0"/>
  </r>
  <r>
    <s v="ORD0511"/>
    <x v="54"/>
    <s v="Karnataka"/>
    <x v="1"/>
    <x v="0"/>
    <x v="4"/>
    <n v="3"/>
    <n v="3891.02"/>
    <n v="7.0000000000000007E-2"/>
    <n v="10855.95"/>
    <s v="Net Banking"/>
    <x v="2"/>
    <x v="2"/>
    <x v="0"/>
    <n v="11673.06"/>
    <x v="6"/>
    <x v="4"/>
    <x v="0"/>
  </r>
  <r>
    <s v="ORD0512"/>
    <x v="172"/>
    <s v="Tamil Nadu"/>
    <x v="3"/>
    <x v="0"/>
    <x v="4"/>
    <n v="5"/>
    <n v="654.54"/>
    <n v="0.19"/>
    <n v="2650.89"/>
    <s v="Net Banking"/>
    <x v="0"/>
    <x v="0"/>
    <x v="0"/>
    <n v="3272.7"/>
    <x v="6"/>
    <x v="5"/>
    <x v="0"/>
  </r>
  <r>
    <s v="ORD0513"/>
    <x v="131"/>
    <s v="Maharashtra"/>
    <x v="0"/>
    <x v="4"/>
    <x v="18"/>
    <n v="5"/>
    <n v="4493.43"/>
    <n v="0.22"/>
    <n v="17524.38"/>
    <s v="Debit Card"/>
    <x v="2"/>
    <x v="1"/>
    <x v="0"/>
    <n v="22467.15"/>
    <x v="0"/>
    <x v="6"/>
    <x v="0"/>
  </r>
  <r>
    <s v="ORD0514"/>
    <x v="65"/>
    <s v="Maharashtra"/>
    <x v="1"/>
    <x v="3"/>
    <x v="8"/>
    <n v="4"/>
    <n v="3206.95"/>
    <n v="0.02"/>
    <n v="12571.24"/>
    <s v="Credit Card"/>
    <x v="1"/>
    <x v="0"/>
    <x v="0"/>
    <n v="12827.8"/>
    <x v="6"/>
    <x v="0"/>
    <x v="0"/>
  </r>
  <r>
    <s v="ORD0515"/>
    <x v="123"/>
    <s v="Tamil Nadu"/>
    <x v="3"/>
    <x v="1"/>
    <x v="10"/>
    <n v="1"/>
    <n v="3864.48"/>
    <n v="0.23"/>
    <n v="2975.65"/>
    <s v="COD"/>
    <x v="2"/>
    <x v="0"/>
    <x v="0"/>
    <n v="3864.48"/>
    <x v="5"/>
    <x v="1"/>
    <x v="0"/>
  </r>
  <r>
    <s v="ORD0516"/>
    <x v="167"/>
    <s v="Maharashtra"/>
    <x v="3"/>
    <x v="3"/>
    <x v="12"/>
    <n v="3"/>
    <n v="3677.79"/>
    <n v="0.24"/>
    <n v="8385.36"/>
    <s v="Net Banking"/>
    <x v="2"/>
    <x v="1"/>
    <x v="0"/>
    <n v="11033.369999999999"/>
    <x v="1"/>
    <x v="6"/>
    <x v="0"/>
  </r>
  <r>
    <s v="ORD0517"/>
    <x v="93"/>
    <s v="Maharashtra"/>
    <x v="0"/>
    <x v="3"/>
    <x v="12"/>
    <n v="1"/>
    <n v="2347.35"/>
    <n v="0.21"/>
    <n v="1854.41"/>
    <s v="COD"/>
    <x v="2"/>
    <x v="0"/>
    <x v="0"/>
    <n v="2347.35"/>
    <x v="6"/>
    <x v="3"/>
    <x v="0"/>
  </r>
  <r>
    <s v="ORD0518"/>
    <x v="103"/>
    <s v="Delhi"/>
    <x v="0"/>
    <x v="2"/>
    <x v="11"/>
    <n v="4"/>
    <n v="2323.3200000000002"/>
    <n v="0.11"/>
    <n v="8271.02"/>
    <s v="COD"/>
    <x v="1"/>
    <x v="0"/>
    <x v="0"/>
    <n v="9293.2800000000007"/>
    <x v="0"/>
    <x v="1"/>
    <x v="0"/>
  </r>
  <r>
    <s v="ORD0519"/>
    <x v="46"/>
    <s v="Gujarat"/>
    <x v="0"/>
    <x v="1"/>
    <x v="1"/>
    <n v="1"/>
    <n v="1005.72"/>
    <n v="0.01"/>
    <n v="995.66"/>
    <s v="COD"/>
    <x v="0"/>
    <x v="1"/>
    <x v="0"/>
    <n v="1005.72"/>
    <x v="6"/>
    <x v="2"/>
    <x v="1"/>
  </r>
  <r>
    <s v="ORD0520"/>
    <x v="117"/>
    <s v="Karnataka"/>
    <x v="2"/>
    <x v="0"/>
    <x v="2"/>
    <n v="1"/>
    <n v="2143.09"/>
    <n v="0.04"/>
    <n v="2057.37"/>
    <s v="Credit Card"/>
    <x v="0"/>
    <x v="0"/>
    <x v="0"/>
    <n v="2143.09"/>
    <x v="4"/>
    <x v="1"/>
    <x v="0"/>
  </r>
  <r>
    <s v="ORD0521"/>
    <x v="168"/>
    <s v="Tamil Nadu"/>
    <x v="1"/>
    <x v="1"/>
    <x v="10"/>
    <n v="1"/>
    <n v="556.32000000000005"/>
    <n v="7.0000000000000007E-2"/>
    <n v="517.38"/>
    <s v="COD"/>
    <x v="2"/>
    <x v="1"/>
    <x v="3"/>
    <n v="556.32000000000005"/>
    <x v="2"/>
    <x v="3"/>
    <x v="1"/>
  </r>
  <r>
    <s v="ORD0522"/>
    <x v="123"/>
    <s v="Karnataka"/>
    <x v="1"/>
    <x v="2"/>
    <x v="7"/>
    <n v="1"/>
    <n v="3503.64"/>
    <n v="7.0000000000000007E-2"/>
    <n v="3258.39"/>
    <s v="Net Banking"/>
    <x v="0"/>
    <x v="0"/>
    <x v="0"/>
    <n v="3503.64"/>
    <x v="5"/>
    <x v="1"/>
    <x v="0"/>
  </r>
  <r>
    <s v="ORD0523"/>
    <x v="97"/>
    <s v="Maharashtra"/>
    <x v="2"/>
    <x v="3"/>
    <x v="8"/>
    <n v="5"/>
    <n v="4937.2299999999996"/>
    <n v="0.12"/>
    <n v="21723.81"/>
    <s v="COD"/>
    <x v="1"/>
    <x v="0"/>
    <x v="0"/>
    <n v="24686.149999999998"/>
    <x v="2"/>
    <x v="0"/>
    <x v="0"/>
  </r>
  <r>
    <s v="ORD0524"/>
    <x v="54"/>
    <s v="Gujarat"/>
    <x v="1"/>
    <x v="4"/>
    <x v="17"/>
    <n v="3"/>
    <n v="4642.82"/>
    <n v="0.15"/>
    <n v="11839.19"/>
    <s v="COD"/>
    <x v="1"/>
    <x v="1"/>
    <x v="0"/>
    <n v="13928.46"/>
    <x v="6"/>
    <x v="4"/>
    <x v="0"/>
  </r>
  <r>
    <s v="ORD0525"/>
    <x v="38"/>
    <s v="Karnataka"/>
    <x v="3"/>
    <x v="3"/>
    <x v="12"/>
    <n v="1"/>
    <n v="217.54"/>
    <n v="0.16"/>
    <n v="182.73"/>
    <s v="Debit Card"/>
    <x v="0"/>
    <x v="2"/>
    <x v="3"/>
    <n v="217.54"/>
    <x v="6"/>
    <x v="2"/>
    <x v="1"/>
  </r>
  <r>
    <s v="ORD0526"/>
    <x v="81"/>
    <s v="Maharashtra"/>
    <x v="3"/>
    <x v="2"/>
    <x v="5"/>
    <n v="5"/>
    <n v="4049.61"/>
    <n v="0.05"/>
    <n v="19235.650000000001"/>
    <s v="UPI"/>
    <x v="2"/>
    <x v="0"/>
    <x v="0"/>
    <n v="20248.05"/>
    <x v="3"/>
    <x v="2"/>
    <x v="0"/>
  </r>
  <r>
    <s v="ORD0527"/>
    <x v="28"/>
    <s v="Karnataka"/>
    <x v="2"/>
    <x v="4"/>
    <x v="19"/>
    <n v="5"/>
    <n v="1687.23"/>
    <n v="0"/>
    <n v="8436.15"/>
    <s v="UPI"/>
    <x v="1"/>
    <x v="0"/>
    <x v="0"/>
    <n v="8436.15"/>
    <x v="0"/>
    <x v="2"/>
    <x v="0"/>
  </r>
  <r>
    <s v="ORD0528"/>
    <x v="45"/>
    <s v="Delhi"/>
    <x v="0"/>
    <x v="1"/>
    <x v="13"/>
    <n v="3"/>
    <n v="4619.17"/>
    <n v="0.12"/>
    <n v="12194.61"/>
    <s v="Debit Card"/>
    <x v="2"/>
    <x v="1"/>
    <x v="0"/>
    <n v="13857.51"/>
    <x v="0"/>
    <x v="4"/>
    <x v="0"/>
  </r>
  <r>
    <s v="ORD0529"/>
    <x v="73"/>
    <s v="Tamil Nadu"/>
    <x v="0"/>
    <x v="2"/>
    <x v="11"/>
    <n v="4"/>
    <n v="3941.55"/>
    <n v="0.1"/>
    <n v="14189.58"/>
    <s v="COD"/>
    <x v="2"/>
    <x v="0"/>
    <x v="3"/>
    <n v="15766.2"/>
    <x v="0"/>
    <x v="2"/>
    <x v="0"/>
  </r>
  <r>
    <s v="ORD0530"/>
    <x v="24"/>
    <s v="Gujarat"/>
    <x v="0"/>
    <x v="4"/>
    <x v="17"/>
    <n v="2"/>
    <n v="2929.25"/>
    <n v="0.08"/>
    <n v="5389.82"/>
    <s v="COD"/>
    <x v="0"/>
    <x v="1"/>
    <x v="2"/>
    <n v="5858.5"/>
    <x v="5"/>
    <x v="0"/>
    <x v="0"/>
  </r>
  <r>
    <s v="ORD0531"/>
    <x v="37"/>
    <s v="Karnataka"/>
    <x v="3"/>
    <x v="4"/>
    <x v="19"/>
    <n v="5"/>
    <n v="4227.79"/>
    <n v="0.14000000000000001"/>
    <n v="18179.5"/>
    <s v="Net Banking"/>
    <x v="1"/>
    <x v="1"/>
    <x v="0"/>
    <n v="21138.95"/>
    <x v="3"/>
    <x v="5"/>
    <x v="0"/>
  </r>
  <r>
    <s v="ORD0532"/>
    <x v="140"/>
    <s v="Maharashtra"/>
    <x v="2"/>
    <x v="4"/>
    <x v="17"/>
    <n v="1"/>
    <n v="2535.5700000000002"/>
    <n v="0.06"/>
    <n v="2383.44"/>
    <s v="UPI"/>
    <x v="2"/>
    <x v="1"/>
    <x v="0"/>
    <n v="2535.5700000000002"/>
    <x v="2"/>
    <x v="2"/>
    <x v="0"/>
  </r>
  <r>
    <s v="ORD0533"/>
    <x v="82"/>
    <s v="Maharashtra"/>
    <x v="1"/>
    <x v="4"/>
    <x v="16"/>
    <n v="2"/>
    <n v="4575.43"/>
    <n v="0.11"/>
    <n v="8144.27"/>
    <s v="UPI"/>
    <x v="0"/>
    <x v="2"/>
    <x v="1"/>
    <n v="9150.86"/>
    <x v="1"/>
    <x v="0"/>
    <x v="0"/>
  </r>
  <r>
    <s v="ORD0534"/>
    <x v="70"/>
    <s v="Karnataka"/>
    <x v="3"/>
    <x v="3"/>
    <x v="12"/>
    <n v="5"/>
    <n v="1620.76"/>
    <n v="0.08"/>
    <n v="7455.5"/>
    <s v="Net Banking"/>
    <x v="1"/>
    <x v="2"/>
    <x v="0"/>
    <n v="8103.8"/>
    <x v="2"/>
    <x v="0"/>
    <x v="0"/>
  </r>
  <r>
    <s v="ORD0535"/>
    <x v="166"/>
    <s v="Tamil Nadu"/>
    <x v="0"/>
    <x v="0"/>
    <x v="3"/>
    <n v="1"/>
    <n v="1623.81"/>
    <n v="0.01"/>
    <n v="1607.57"/>
    <s v="COD"/>
    <x v="0"/>
    <x v="0"/>
    <x v="0"/>
    <n v="1623.81"/>
    <x v="2"/>
    <x v="3"/>
    <x v="0"/>
  </r>
  <r>
    <s v="ORD0536"/>
    <x v="46"/>
    <s v="Gujarat"/>
    <x v="2"/>
    <x v="0"/>
    <x v="0"/>
    <n v="5"/>
    <n v="3816.62"/>
    <n v="0.16"/>
    <n v="16029.8"/>
    <s v="UPI"/>
    <x v="0"/>
    <x v="2"/>
    <x v="0"/>
    <n v="19083.099999999999"/>
    <x v="6"/>
    <x v="2"/>
    <x v="0"/>
  </r>
  <r>
    <s v="ORD0537"/>
    <x v="20"/>
    <s v="Gujarat"/>
    <x v="0"/>
    <x v="4"/>
    <x v="17"/>
    <n v="1"/>
    <n v="1436.01"/>
    <n v="0.04"/>
    <n v="1378.57"/>
    <s v="UPI"/>
    <x v="2"/>
    <x v="2"/>
    <x v="2"/>
    <n v="1436.01"/>
    <x v="1"/>
    <x v="4"/>
    <x v="0"/>
  </r>
  <r>
    <s v="ORD0538"/>
    <x v="129"/>
    <s v="Delhi"/>
    <x v="2"/>
    <x v="1"/>
    <x v="13"/>
    <n v="5"/>
    <n v="1660.58"/>
    <n v="0.04"/>
    <n v="7970.78"/>
    <s v="COD"/>
    <x v="2"/>
    <x v="0"/>
    <x v="0"/>
    <n v="8302.9"/>
    <x v="3"/>
    <x v="4"/>
    <x v="0"/>
  </r>
  <r>
    <s v="ORD0539"/>
    <x v="115"/>
    <s v="Karnataka"/>
    <x v="0"/>
    <x v="3"/>
    <x v="8"/>
    <n v="5"/>
    <n v="2273.87"/>
    <n v="0.03"/>
    <n v="11028.27"/>
    <s v="COD"/>
    <x v="2"/>
    <x v="1"/>
    <x v="0"/>
    <n v="11369.349999999999"/>
    <x v="5"/>
    <x v="2"/>
    <x v="0"/>
  </r>
  <r>
    <s v="ORD0540"/>
    <x v="147"/>
    <s v="Tamil Nadu"/>
    <x v="1"/>
    <x v="0"/>
    <x v="0"/>
    <n v="5"/>
    <n v="4467.25"/>
    <n v="0.16"/>
    <n v="18762.45"/>
    <s v="Net Banking"/>
    <x v="0"/>
    <x v="0"/>
    <x v="0"/>
    <n v="22336.25"/>
    <x v="1"/>
    <x v="3"/>
    <x v="0"/>
  </r>
  <r>
    <s v="ORD0541"/>
    <x v="174"/>
    <s v="Delhi"/>
    <x v="1"/>
    <x v="4"/>
    <x v="17"/>
    <n v="4"/>
    <n v="2882.17"/>
    <n v="0.02"/>
    <n v="11298.11"/>
    <s v="COD"/>
    <x v="0"/>
    <x v="0"/>
    <x v="0"/>
    <n v="11528.68"/>
    <x v="4"/>
    <x v="3"/>
    <x v="0"/>
  </r>
  <r>
    <s v="ORD0542"/>
    <x v="44"/>
    <s v="Tamil Nadu"/>
    <x v="1"/>
    <x v="4"/>
    <x v="18"/>
    <n v="2"/>
    <n v="4319.37"/>
    <n v="0.15"/>
    <n v="7342.93"/>
    <s v="Debit Card"/>
    <x v="0"/>
    <x v="1"/>
    <x v="0"/>
    <n v="8638.74"/>
    <x v="3"/>
    <x v="3"/>
    <x v="0"/>
  </r>
  <r>
    <s v="ORD0543"/>
    <x v="107"/>
    <s v="Tamil Nadu"/>
    <x v="3"/>
    <x v="4"/>
    <x v="17"/>
    <n v="1"/>
    <n v="2429.14"/>
    <n v="0.09"/>
    <n v="2210.52"/>
    <s v="Net Banking"/>
    <x v="0"/>
    <x v="1"/>
    <x v="0"/>
    <n v="2429.14"/>
    <x v="6"/>
    <x v="1"/>
    <x v="0"/>
  </r>
  <r>
    <s v="ORD0544"/>
    <x v="105"/>
    <s v="Gujarat"/>
    <x v="1"/>
    <x v="4"/>
    <x v="16"/>
    <n v="1"/>
    <n v="1696.76"/>
    <n v="0.16"/>
    <n v="1425.28"/>
    <s v="Credit Card"/>
    <x v="2"/>
    <x v="1"/>
    <x v="0"/>
    <n v="1696.76"/>
    <x v="3"/>
    <x v="1"/>
    <x v="0"/>
  </r>
  <r>
    <s v="ORD0545"/>
    <x v="70"/>
    <s v="Gujarat"/>
    <x v="3"/>
    <x v="2"/>
    <x v="11"/>
    <n v="2"/>
    <n v="4872.07"/>
    <n v="0.1"/>
    <n v="8769.73"/>
    <s v="Debit Card"/>
    <x v="1"/>
    <x v="1"/>
    <x v="3"/>
    <n v="9744.14"/>
    <x v="2"/>
    <x v="0"/>
    <x v="0"/>
  </r>
  <r>
    <s v="ORD0546"/>
    <x v="36"/>
    <s v="Tamil Nadu"/>
    <x v="0"/>
    <x v="1"/>
    <x v="14"/>
    <n v="5"/>
    <n v="3501.25"/>
    <n v="0.04"/>
    <n v="16806"/>
    <s v="COD"/>
    <x v="2"/>
    <x v="0"/>
    <x v="0"/>
    <n v="17506.25"/>
    <x v="0"/>
    <x v="5"/>
    <x v="0"/>
  </r>
  <r>
    <s v="ORD0547"/>
    <x v="56"/>
    <s v="Maharashtra"/>
    <x v="3"/>
    <x v="1"/>
    <x v="14"/>
    <n v="4"/>
    <n v="1694.35"/>
    <n v="0.02"/>
    <n v="6641.85"/>
    <s v="COD"/>
    <x v="1"/>
    <x v="1"/>
    <x v="0"/>
    <n v="6777.4"/>
    <x v="1"/>
    <x v="3"/>
    <x v="0"/>
  </r>
  <r>
    <s v="ORD0548"/>
    <x v="4"/>
    <s v="Gujarat"/>
    <x v="0"/>
    <x v="2"/>
    <x v="7"/>
    <n v="5"/>
    <n v="3879.58"/>
    <n v="0.09"/>
    <n v="17652.09"/>
    <s v="Credit Card"/>
    <x v="1"/>
    <x v="1"/>
    <x v="0"/>
    <n v="19397.900000000001"/>
    <x v="2"/>
    <x v="2"/>
    <x v="0"/>
  </r>
  <r>
    <s v="ORD0549"/>
    <x v="47"/>
    <s v="Delhi"/>
    <x v="3"/>
    <x v="3"/>
    <x v="8"/>
    <n v="5"/>
    <n v="1528.37"/>
    <n v="0.15"/>
    <n v="6495.57"/>
    <s v="Debit Card"/>
    <x v="2"/>
    <x v="1"/>
    <x v="0"/>
    <n v="7641.8499999999995"/>
    <x v="4"/>
    <x v="1"/>
    <x v="0"/>
  </r>
  <r>
    <s v="ORD0550"/>
    <x v="119"/>
    <s v="Gujarat"/>
    <x v="1"/>
    <x v="4"/>
    <x v="17"/>
    <n v="3"/>
    <n v="4952.42"/>
    <n v="0.15"/>
    <n v="12628.67"/>
    <s v="UPI"/>
    <x v="2"/>
    <x v="0"/>
    <x v="3"/>
    <n v="14857.26"/>
    <x v="1"/>
    <x v="1"/>
    <x v="0"/>
  </r>
  <r>
    <s v="ORD0551"/>
    <x v="148"/>
    <s v="Karnataka"/>
    <x v="0"/>
    <x v="4"/>
    <x v="19"/>
    <n v="1"/>
    <n v="3546.44"/>
    <n v="0.21"/>
    <n v="2801.69"/>
    <s v="COD"/>
    <x v="0"/>
    <x v="1"/>
    <x v="1"/>
    <n v="3546.44"/>
    <x v="4"/>
    <x v="5"/>
    <x v="0"/>
  </r>
  <r>
    <s v="ORD0552"/>
    <x v="85"/>
    <s v="Tamil Nadu"/>
    <x v="3"/>
    <x v="0"/>
    <x v="4"/>
    <n v="3"/>
    <n v="3587.69"/>
    <n v="0.1"/>
    <n v="9686.76"/>
    <s v="COD"/>
    <x v="2"/>
    <x v="1"/>
    <x v="0"/>
    <n v="10763.07"/>
    <x v="6"/>
    <x v="3"/>
    <x v="0"/>
  </r>
  <r>
    <s v="ORD0553"/>
    <x v="151"/>
    <s v="Delhi"/>
    <x v="3"/>
    <x v="2"/>
    <x v="11"/>
    <n v="3"/>
    <n v="4215.82"/>
    <n v="0.04"/>
    <n v="12141.56"/>
    <s v="COD"/>
    <x v="2"/>
    <x v="0"/>
    <x v="0"/>
    <n v="12647.46"/>
    <x v="2"/>
    <x v="1"/>
    <x v="0"/>
  </r>
  <r>
    <s v="ORD0554"/>
    <x v="70"/>
    <s v="Delhi"/>
    <x v="1"/>
    <x v="0"/>
    <x v="0"/>
    <n v="4"/>
    <n v="4877.38"/>
    <n v="0.03"/>
    <n v="18924.23"/>
    <s v="Net Banking"/>
    <x v="1"/>
    <x v="2"/>
    <x v="1"/>
    <n v="19509.52"/>
    <x v="2"/>
    <x v="0"/>
    <x v="0"/>
  </r>
  <r>
    <s v="ORD0555"/>
    <x v="171"/>
    <s v="Gujarat"/>
    <x v="2"/>
    <x v="1"/>
    <x v="14"/>
    <n v="5"/>
    <n v="2178.21"/>
    <n v="0.21"/>
    <n v="8603.93"/>
    <s v="Debit Card"/>
    <x v="2"/>
    <x v="1"/>
    <x v="0"/>
    <n v="10891.05"/>
    <x v="4"/>
    <x v="2"/>
    <x v="0"/>
  </r>
  <r>
    <s v="ORD0556"/>
    <x v="34"/>
    <s v="Gujarat"/>
    <x v="2"/>
    <x v="2"/>
    <x v="7"/>
    <n v="2"/>
    <n v="3589.44"/>
    <n v="7.0000000000000007E-2"/>
    <n v="6676.36"/>
    <s v="Net Banking"/>
    <x v="1"/>
    <x v="0"/>
    <x v="0"/>
    <n v="7178.88"/>
    <x v="3"/>
    <x v="2"/>
    <x v="0"/>
  </r>
  <r>
    <s v="ORD0557"/>
    <x v="3"/>
    <s v="Karnataka"/>
    <x v="2"/>
    <x v="0"/>
    <x v="3"/>
    <n v="4"/>
    <n v="4812.51"/>
    <n v="0.02"/>
    <n v="18865.04"/>
    <s v="Credit Card"/>
    <x v="1"/>
    <x v="0"/>
    <x v="0"/>
    <n v="19250.04"/>
    <x v="3"/>
    <x v="0"/>
    <x v="0"/>
  </r>
  <r>
    <s v="ORD0558"/>
    <x v="143"/>
    <s v="Delhi"/>
    <x v="2"/>
    <x v="0"/>
    <x v="0"/>
    <n v="1"/>
    <n v="3451.96"/>
    <n v="0.13"/>
    <n v="3003.21"/>
    <s v="Net Banking"/>
    <x v="1"/>
    <x v="0"/>
    <x v="0"/>
    <n v="3451.96"/>
    <x v="4"/>
    <x v="5"/>
    <x v="0"/>
  </r>
  <r>
    <s v="ORD0559"/>
    <x v="54"/>
    <s v="Tamil Nadu"/>
    <x v="2"/>
    <x v="4"/>
    <x v="19"/>
    <n v="4"/>
    <n v="2912.43"/>
    <n v="0.08"/>
    <n v="10717.74"/>
    <s v="Net Banking"/>
    <x v="1"/>
    <x v="1"/>
    <x v="0"/>
    <n v="11649.72"/>
    <x v="6"/>
    <x v="4"/>
    <x v="0"/>
  </r>
  <r>
    <s v="ORD0560"/>
    <x v="146"/>
    <s v="Gujarat"/>
    <x v="2"/>
    <x v="0"/>
    <x v="2"/>
    <n v="4"/>
    <n v="2932.89"/>
    <n v="0.14000000000000001"/>
    <n v="10089.14"/>
    <s v="UPI"/>
    <x v="0"/>
    <x v="0"/>
    <x v="3"/>
    <n v="11731.56"/>
    <x v="2"/>
    <x v="0"/>
    <x v="0"/>
  </r>
  <r>
    <s v="ORD0561"/>
    <x v="101"/>
    <s v="Karnataka"/>
    <x v="2"/>
    <x v="1"/>
    <x v="13"/>
    <n v="2"/>
    <n v="2577.42"/>
    <n v="0.21"/>
    <n v="4072.32"/>
    <s v="Net Banking"/>
    <x v="0"/>
    <x v="1"/>
    <x v="0"/>
    <n v="5154.84"/>
    <x v="5"/>
    <x v="5"/>
    <x v="0"/>
  </r>
  <r>
    <s v="ORD0562"/>
    <x v="22"/>
    <s v="Karnataka"/>
    <x v="3"/>
    <x v="4"/>
    <x v="17"/>
    <n v="1"/>
    <n v="3058.73"/>
    <n v="0.23"/>
    <n v="2355.2199999999998"/>
    <s v="Credit Card"/>
    <x v="1"/>
    <x v="0"/>
    <x v="0"/>
    <n v="3058.73"/>
    <x v="3"/>
    <x v="4"/>
    <x v="0"/>
  </r>
  <r>
    <s v="ORD0563"/>
    <x v="31"/>
    <s v="Karnataka"/>
    <x v="0"/>
    <x v="4"/>
    <x v="16"/>
    <n v="2"/>
    <n v="4016.92"/>
    <n v="0.22"/>
    <n v="6266.4"/>
    <s v="Debit Card"/>
    <x v="2"/>
    <x v="1"/>
    <x v="2"/>
    <n v="8033.84"/>
    <x v="4"/>
    <x v="1"/>
    <x v="0"/>
  </r>
  <r>
    <s v="ORD0564"/>
    <x v="1"/>
    <s v="Tamil Nadu"/>
    <x v="3"/>
    <x v="1"/>
    <x v="10"/>
    <n v="2"/>
    <n v="3337.27"/>
    <n v="0.18"/>
    <n v="5473.12"/>
    <s v="Net Banking"/>
    <x v="2"/>
    <x v="2"/>
    <x v="0"/>
    <n v="6674.54"/>
    <x v="1"/>
    <x v="1"/>
    <x v="0"/>
  </r>
  <r>
    <s v="ORD0565"/>
    <x v="160"/>
    <s v="Karnataka"/>
    <x v="3"/>
    <x v="4"/>
    <x v="19"/>
    <n v="2"/>
    <n v="2373.67"/>
    <n v="0.12"/>
    <n v="4177.66"/>
    <s v="Credit Card"/>
    <x v="0"/>
    <x v="1"/>
    <x v="0"/>
    <n v="4747.34"/>
    <x v="1"/>
    <x v="1"/>
    <x v="0"/>
  </r>
  <r>
    <s v="ORD0566"/>
    <x v="59"/>
    <s v="Karnataka"/>
    <x v="1"/>
    <x v="2"/>
    <x v="5"/>
    <n v="4"/>
    <n v="158.13"/>
    <n v="0.23"/>
    <n v="487.04"/>
    <s v="Debit Card"/>
    <x v="1"/>
    <x v="1"/>
    <x v="0"/>
    <n v="632.52"/>
    <x v="3"/>
    <x v="3"/>
    <x v="1"/>
  </r>
  <r>
    <s v="ORD0567"/>
    <x v="175"/>
    <s v="Maharashtra"/>
    <x v="2"/>
    <x v="1"/>
    <x v="13"/>
    <n v="3"/>
    <n v="4785.3"/>
    <n v="0.11"/>
    <n v="12776.75"/>
    <s v="COD"/>
    <x v="1"/>
    <x v="0"/>
    <x v="0"/>
    <n v="14355.900000000001"/>
    <x v="4"/>
    <x v="0"/>
    <x v="0"/>
  </r>
  <r>
    <s v="ORD0568"/>
    <x v="147"/>
    <s v="Karnataka"/>
    <x v="3"/>
    <x v="4"/>
    <x v="19"/>
    <n v="4"/>
    <n v="3888.44"/>
    <n v="0.19"/>
    <n v="12598.55"/>
    <s v="COD"/>
    <x v="2"/>
    <x v="0"/>
    <x v="0"/>
    <n v="15553.76"/>
    <x v="1"/>
    <x v="3"/>
    <x v="0"/>
  </r>
  <r>
    <s v="ORD0569"/>
    <x v="176"/>
    <s v="Gujarat"/>
    <x v="0"/>
    <x v="3"/>
    <x v="9"/>
    <n v="1"/>
    <n v="4175.28"/>
    <n v="0"/>
    <n v="4175.28"/>
    <s v="Credit Card"/>
    <x v="1"/>
    <x v="2"/>
    <x v="0"/>
    <n v="4175.28"/>
    <x v="1"/>
    <x v="1"/>
    <x v="0"/>
  </r>
  <r>
    <s v="ORD0570"/>
    <x v="11"/>
    <s v="Karnataka"/>
    <x v="3"/>
    <x v="4"/>
    <x v="16"/>
    <n v="1"/>
    <n v="216.13"/>
    <n v="0.02"/>
    <n v="211.81"/>
    <s v="UPI"/>
    <x v="0"/>
    <x v="0"/>
    <x v="2"/>
    <n v="216.13"/>
    <x v="1"/>
    <x v="4"/>
    <x v="1"/>
  </r>
  <r>
    <s v="ORD0571"/>
    <x v="15"/>
    <s v="Maharashtra"/>
    <x v="3"/>
    <x v="0"/>
    <x v="0"/>
    <n v="4"/>
    <n v="3316.33"/>
    <n v="0.22"/>
    <n v="10346.950000000001"/>
    <s v="COD"/>
    <x v="0"/>
    <x v="0"/>
    <x v="1"/>
    <n v="13265.32"/>
    <x v="5"/>
    <x v="1"/>
    <x v="0"/>
  </r>
  <r>
    <s v="ORD0572"/>
    <x v="162"/>
    <s v="Karnataka"/>
    <x v="1"/>
    <x v="3"/>
    <x v="9"/>
    <n v="1"/>
    <n v="3230.02"/>
    <n v="0.23"/>
    <n v="2487.12"/>
    <s v="Net Banking"/>
    <x v="1"/>
    <x v="1"/>
    <x v="0"/>
    <n v="3230.02"/>
    <x v="4"/>
    <x v="3"/>
    <x v="0"/>
  </r>
  <r>
    <s v="ORD0573"/>
    <x v="71"/>
    <s v="Delhi"/>
    <x v="2"/>
    <x v="4"/>
    <x v="17"/>
    <n v="1"/>
    <n v="1975.72"/>
    <n v="0.08"/>
    <n v="1817.66"/>
    <s v="Credit Card"/>
    <x v="2"/>
    <x v="2"/>
    <x v="2"/>
    <n v="1975.72"/>
    <x v="4"/>
    <x v="5"/>
    <x v="0"/>
  </r>
  <r>
    <s v="ORD0574"/>
    <x v="100"/>
    <s v="Tamil Nadu"/>
    <x v="0"/>
    <x v="4"/>
    <x v="16"/>
    <n v="2"/>
    <n v="3090.48"/>
    <n v="0.04"/>
    <n v="5933.72"/>
    <s v="Credit Card"/>
    <x v="2"/>
    <x v="1"/>
    <x v="0"/>
    <n v="6180.96"/>
    <x v="4"/>
    <x v="4"/>
    <x v="0"/>
  </r>
  <r>
    <s v="ORD0575"/>
    <x v="54"/>
    <s v="Gujarat"/>
    <x v="2"/>
    <x v="2"/>
    <x v="11"/>
    <n v="3"/>
    <n v="606.11"/>
    <n v="0.02"/>
    <n v="1781.96"/>
    <s v="Credit Card"/>
    <x v="2"/>
    <x v="0"/>
    <x v="3"/>
    <n v="1818.33"/>
    <x v="6"/>
    <x v="4"/>
    <x v="0"/>
  </r>
  <r>
    <s v="ORD0576"/>
    <x v="176"/>
    <s v="Delhi"/>
    <x v="0"/>
    <x v="0"/>
    <x v="3"/>
    <n v="4"/>
    <n v="1405.54"/>
    <n v="0.18"/>
    <n v="4610.17"/>
    <s v="Credit Card"/>
    <x v="0"/>
    <x v="1"/>
    <x v="0"/>
    <n v="5622.16"/>
    <x v="1"/>
    <x v="1"/>
    <x v="0"/>
  </r>
  <r>
    <s v="ORD0577"/>
    <x v="101"/>
    <s v="Tamil Nadu"/>
    <x v="1"/>
    <x v="2"/>
    <x v="5"/>
    <n v="1"/>
    <n v="2746.63"/>
    <n v="0"/>
    <n v="2746.63"/>
    <s v="Net Banking"/>
    <x v="1"/>
    <x v="0"/>
    <x v="0"/>
    <n v="2746.63"/>
    <x v="5"/>
    <x v="5"/>
    <x v="0"/>
  </r>
  <r>
    <s v="ORD0578"/>
    <x v="51"/>
    <s v="Karnataka"/>
    <x v="2"/>
    <x v="1"/>
    <x v="1"/>
    <n v="1"/>
    <n v="3198.14"/>
    <n v="0.24"/>
    <n v="2430.59"/>
    <s v="UPI"/>
    <x v="2"/>
    <x v="2"/>
    <x v="0"/>
    <n v="3198.14"/>
    <x v="3"/>
    <x v="1"/>
    <x v="0"/>
  </r>
  <r>
    <s v="ORD0579"/>
    <x v="47"/>
    <s v="Tamil Nadu"/>
    <x v="3"/>
    <x v="4"/>
    <x v="19"/>
    <n v="2"/>
    <n v="965.43"/>
    <n v="0.01"/>
    <n v="1911.55"/>
    <s v="UPI"/>
    <x v="1"/>
    <x v="1"/>
    <x v="0"/>
    <n v="1930.86"/>
    <x v="4"/>
    <x v="1"/>
    <x v="0"/>
  </r>
  <r>
    <s v="ORD0580"/>
    <x v="132"/>
    <s v="Karnataka"/>
    <x v="0"/>
    <x v="2"/>
    <x v="7"/>
    <n v="4"/>
    <n v="3703.09"/>
    <n v="0.03"/>
    <n v="14367.99"/>
    <s v="Net Banking"/>
    <x v="0"/>
    <x v="2"/>
    <x v="0"/>
    <n v="14812.36"/>
    <x v="3"/>
    <x v="5"/>
    <x v="0"/>
  </r>
  <r>
    <s v="ORD0581"/>
    <x v="61"/>
    <s v="Tamil Nadu"/>
    <x v="0"/>
    <x v="1"/>
    <x v="10"/>
    <n v="5"/>
    <n v="3252.7"/>
    <n v="0.12"/>
    <n v="14311.88"/>
    <s v="Net Banking"/>
    <x v="0"/>
    <x v="1"/>
    <x v="0"/>
    <n v="16263.5"/>
    <x v="1"/>
    <x v="5"/>
    <x v="0"/>
  </r>
  <r>
    <s v="ORD0582"/>
    <x v="102"/>
    <s v="Maharashtra"/>
    <x v="3"/>
    <x v="0"/>
    <x v="2"/>
    <n v="2"/>
    <n v="4054.81"/>
    <n v="0.17"/>
    <n v="6730.98"/>
    <s v="Net Banking"/>
    <x v="0"/>
    <x v="1"/>
    <x v="0"/>
    <n v="8109.62"/>
    <x v="5"/>
    <x v="3"/>
    <x v="0"/>
  </r>
  <r>
    <s v="ORD0583"/>
    <x v="75"/>
    <s v="Maharashtra"/>
    <x v="3"/>
    <x v="3"/>
    <x v="8"/>
    <n v="1"/>
    <n v="2408.98"/>
    <n v="0.23"/>
    <n v="1854.91"/>
    <s v="Debit Card"/>
    <x v="2"/>
    <x v="2"/>
    <x v="0"/>
    <n v="2408.98"/>
    <x v="5"/>
    <x v="6"/>
    <x v="0"/>
  </r>
  <r>
    <s v="ORD0584"/>
    <x v="177"/>
    <s v="Delhi"/>
    <x v="0"/>
    <x v="3"/>
    <x v="8"/>
    <n v="1"/>
    <n v="2335.3000000000002"/>
    <n v="0.04"/>
    <n v="2241.89"/>
    <s v="Credit Card"/>
    <x v="2"/>
    <x v="0"/>
    <x v="3"/>
    <n v="2335.3000000000002"/>
    <x v="1"/>
    <x v="3"/>
    <x v="0"/>
  </r>
  <r>
    <s v="ORD0585"/>
    <x v="60"/>
    <s v="Tamil Nadu"/>
    <x v="1"/>
    <x v="0"/>
    <x v="0"/>
    <n v="2"/>
    <n v="409.24"/>
    <n v="0.05"/>
    <n v="777.56"/>
    <s v="COD"/>
    <x v="1"/>
    <x v="1"/>
    <x v="0"/>
    <n v="818.48"/>
    <x v="5"/>
    <x v="3"/>
    <x v="1"/>
  </r>
  <r>
    <s v="ORD0586"/>
    <x v="169"/>
    <s v="Karnataka"/>
    <x v="3"/>
    <x v="1"/>
    <x v="10"/>
    <n v="5"/>
    <n v="949.89"/>
    <n v="0.02"/>
    <n v="4654.46"/>
    <s v="Debit Card"/>
    <x v="0"/>
    <x v="1"/>
    <x v="3"/>
    <n v="4749.45"/>
    <x v="1"/>
    <x v="1"/>
    <x v="0"/>
  </r>
  <r>
    <s v="ORD0587"/>
    <x v="102"/>
    <s v="Gujarat"/>
    <x v="1"/>
    <x v="3"/>
    <x v="9"/>
    <n v="2"/>
    <n v="4635.8100000000004"/>
    <n v="0.01"/>
    <n v="9178.9"/>
    <s v="Debit Card"/>
    <x v="2"/>
    <x v="2"/>
    <x v="3"/>
    <n v="9271.6200000000008"/>
    <x v="5"/>
    <x v="3"/>
    <x v="0"/>
  </r>
  <r>
    <s v="ORD0588"/>
    <x v="43"/>
    <s v="Maharashtra"/>
    <x v="2"/>
    <x v="0"/>
    <x v="3"/>
    <n v="2"/>
    <n v="4638.07"/>
    <n v="0.18"/>
    <n v="7606.43"/>
    <s v="Credit Card"/>
    <x v="0"/>
    <x v="0"/>
    <x v="0"/>
    <n v="9276.14"/>
    <x v="5"/>
    <x v="5"/>
    <x v="0"/>
  </r>
  <r>
    <s v="ORD0589"/>
    <x v="73"/>
    <s v="Delhi"/>
    <x v="0"/>
    <x v="2"/>
    <x v="11"/>
    <n v="3"/>
    <n v="2663.13"/>
    <n v="0.1"/>
    <n v="7190.45"/>
    <s v="Debit Card"/>
    <x v="1"/>
    <x v="2"/>
    <x v="0"/>
    <n v="7989.39"/>
    <x v="0"/>
    <x v="2"/>
    <x v="0"/>
  </r>
  <r>
    <s v="ORD0590"/>
    <x v="76"/>
    <s v="Karnataka"/>
    <x v="0"/>
    <x v="2"/>
    <x v="7"/>
    <n v="1"/>
    <n v="2832.78"/>
    <n v="0.05"/>
    <n v="2691.14"/>
    <s v="UPI"/>
    <x v="2"/>
    <x v="0"/>
    <x v="0"/>
    <n v="2832.78"/>
    <x v="5"/>
    <x v="0"/>
    <x v="0"/>
  </r>
  <r>
    <s v="ORD0591"/>
    <x v="115"/>
    <s v="Tamil Nadu"/>
    <x v="1"/>
    <x v="1"/>
    <x v="10"/>
    <n v="1"/>
    <n v="1049.22"/>
    <n v="0.2"/>
    <n v="839.38"/>
    <s v="Debit Card"/>
    <x v="2"/>
    <x v="0"/>
    <x v="0"/>
    <n v="1049.22"/>
    <x v="5"/>
    <x v="2"/>
    <x v="1"/>
  </r>
  <r>
    <s v="ORD0592"/>
    <x v="150"/>
    <s v="Maharashtra"/>
    <x v="0"/>
    <x v="3"/>
    <x v="8"/>
    <n v="2"/>
    <n v="2229.89"/>
    <n v="0.08"/>
    <n v="4103"/>
    <s v="UPI"/>
    <x v="2"/>
    <x v="1"/>
    <x v="0"/>
    <n v="4459.78"/>
    <x v="3"/>
    <x v="0"/>
    <x v="0"/>
  </r>
  <r>
    <s v="ORD0593"/>
    <x v="8"/>
    <s v="Delhi"/>
    <x v="1"/>
    <x v="0"/>
    <x v="4"/>
    <n v="5"/>
    <n v="668.72"/>
    <n v="0.22"/>
    <n v="2608.0100000000002"/>
    <s v="Credit Card"/>
    <x v="2"/>
    <x v="0"/>
    <x v="0"/>
    <n v="3343.6000000000004"/>
    <x v="0"/>
    <x v="1"/>
    <x v="0"/>
  </r>
  <r>
    <s v="ORD0594"/>
    <x v="72"/>
    <s v="Delhi"/>
    <x v="1"/>
    <x v="4"/>
    <x v="18"/>
    <n v="1"/>
    <n v="1698.05"/>
    <n v="0.02"/>
    <n v="1664.09"/>
    <s v="UPI"/>
    <x v="0"/>
    <x v="0"/>
    <x v="1"/>
    <n v="1698.05"/>
    <x v="0"/>
    <x v="5"/>
    <x v="0"/>
  </r>
  <r>
    <s v="ORD0595"/>
    <x v="127"/>
    <s v="Maharashtra"/>
    <x v="1"/>
    <x v="2"/>
    <x v="11"/>
    <n v="4"/>
    <n v="366.26"/>
    <n v="0.11"/>
    <n v="1303.8900000000001"/>
    <s v="Net Banking"/>
    <x v="1"/>
    <x v="2"/>
    <x v="0"/>
    <n v="1465.04"/>
    <x v="2"/>
    <x v="3"/>
    <x v="0"/>
  </r>
  <r>
    <s v="ORD0596"/>
    <x v="22"/>
    <s v="Tamil Nadu"/>
    <x v="0"/>
    <x v="4"/>
    <x v="16"/>
    <n v="3"/>
    <n v="4880.22"/>
    <n v="0.05"/>
    <n v="13908.63"/>
    <s v="Debit Card"/>
    <x v="1"/>
    <x v="2"/>
    <x v="0"/>
    <n v="14640.66"/>
    <x v="3"/>
    <x v="4"/>
    <x v="0"/>
  </r>
  <r>
    <s v="ORD0597"/>
    <x v="59"/>
    <s v="Delhi"/>
    <x v="2"/>
    <x v="0"/>
    <x v="2"/>
    <n v="4"/>
    <n v="2149.3000000000002"/>
    <n v="0.19"/>
    <n v="6963.73"/>
    <s v="Credit Card"/>
    <x v="2"/>
    <x v="2"/>
    <x v="0"/>
    <n v="8597.2000000000007"/>
    <x v="3"/>
    <x v="3"/>
    <x v="0"/>
  </r>
  <r>
    <s v="ORD0598"/>
    <x v="124"/>
    <s v="Gujarat"/>
    <x v="1"/>
    <x v="1"/>
    <x v="10"/>
    <n v="1"/>
    <n v="2117.31"/>
    <n v="0.13"/>
    <n v="1842.06"/>
    <s v="COD"/>
    <x v="0"/>
    <x v="2"/>
    <x v="3"/>
    <n v="2117.31"/>
    <x v="4"/>
    <x v="3"/>
    <x v="0"/>
  </r>
  <r>
    <s v="ORD0599"/>
    <x v="157"/>
    <s v="Tamil Nadu"/>
    <x v="3"/>
    <x v="4"/>
    <x v="19"/>
    <n v="3"/>
    <n v="2227.8200000000002"/>
    <n v="0.06"/>
    <n v="6282.45"/>
    <s v="Debit Card"/>
    <x v="0"/>
    <x v="0"/>
    <x v="1"/>
    <n v="6683.4600000000009"/>
    <x v="4"/>
    <x v="5"/>
    <x v="0"/>
  </r>
  <r>
    <s v="ORD0600"/>
    <x v="58"/>
    <s v="Maharashtra"/>
    <x v="0"/>
    <x v="0"/>
    <x v="3"/>
    <n v="5"/>
    <n v="264.74"/>
    <n v="0.13"/>
    <n v="1151.6199999999999"/>
    <s v="Credit Card"/>
    <x v="2"/>
    <x v="1"/>
    <x v="0"/>
    <n v="1323.7"/>
    <x v="4"/>
    <x v="0"/>
    <x v="0"/>
  </r>
  <r>
    <s v="ORD0601"/>
    <x v="99"/>
    <s v="Gujarat"/>
    <x v="3"/>
    <x v="3"/>
    <x v="8"/>
    <n v="4"/>
    <n v="4754.68"/>
    <n v="0.03"/>
    <n v="18448.16"/>
    <s v="Credit Card"/>
    <x v="1"/>
    <x v="1"/>
    <x v="0"/>
    <n v="19018.72"/>
    <x v="0"/>
    <x v="0"/>
    <x v="0"/>
  </r>
  <r>
    <s v="ORD0602"/>
    <x v="38"/>
    <s v="Tamil Nadu"/>
    <x v="1"/>
    <x v="0"/>
    <x v="0"/>
    <n v="4"/>
    <n v="4303.82"/>
    <n v="0.19"/>
    <n v="13944.38"/>
    <s v="UPI"/>
    <x v="0"/>
    <x v="2"/>
    <x v="0"/>
    <n v="17215.28"/>
    <x v="6"/>
    <x v="2"/>
    <x v="0"/>
  </r>
  <r>
    <s v="ORD0603"/>
    <x v="52"/>
    <s v="Delhi"/>
    <x v="0"/>
    <x v="3"/>
    <x v="15"/>
    <n v="4"/>
    <n v="3549.12"/>
    <n v="0"/>
    <n v="14196.48"/>
    <s v="UPI"/>
    <x v="1"/>
    <x v="0"/>
    <x v="0"/>
    <n v="14196.48"/>
    <x v="2"/>
    <x v="6"/>
    <x v="0"/>
  </r>
  <r>
    <s v="ORD0604"/>
    <x v="131"/>
    <s v="Karnataka"/>
    <x v="0"/>
    <x v="4"/>
    <x v="19"/>
    <n v="5"/>
    <n v="2757.93"/>
    <n v="0.2"/>
    <n v="11031.72"/>
    <s v="Net Banking"/>
    <x v="2"/>
    <x v="0"/>
    <x v="0"/>
    <n v="13789.65"/>
    <x v="0"/>
    <x v="6"/>
    <x v="0"/>
  </r>
  <r>
    <s v="ORD0605"/>
    <x v="19"/>
    <s v="Gujarat"/>
    <x v="2"/>
    <x v="4"/>
    <x v="19"/>
    <n v="1"/>
    <n v="1976.48"/>
    <n v="0.12"/>
    <n v="1739.3"/>
    <s v="UPI"/>
    <x v="0"/>
    <x v="2"/>
    <x v="0"/>
    <n v="1976.48"/>
    <x v="3"/>
    <x v="2"/>
    <x v="0"/>
  </r>
  <r>
    <s v="ORD0606"/>
    <x v="60"/>
    <s v="Gujarat"/>
    <x v="3"/>
    <x v="1"/>
    <x v="13"/>
    <n v="3"/>
    <n v="1269.3"/>
    <n v="0.03"/>
    <n v="3693.66"/>
    <s v="Debit Card"/>
    <x v="0"/>
    <x v="1"/>
    <x v="3"/>
    <n v="3807.8999999999996"/>
    <x v="5"/>
    <x v="3"/>
    <x v="0"/>
  </r>
  <r>
    <s v="ORD0607"/>
    <x v="34"/>
    <s v="Karnataka"/>
    <x v="1"/>
    <x v="3"/>
    <x v="9"/>
    <n v="4"/>
    <n v="1458.01"/>
    <n v="0.02"/>
    <n v="5715.4"/>
    <s v="UPI"/>
    <x v="1"/>
    <x v="1"/>
    <x v="0"/>
    <n v="5832.04"/>
    <x v="3"/>
    <x v="2"/>
    <x v="0"/>
  </r>
  <r>
    <s v="ORD0608"/>
    <x v="158"/>
    <s v="Tamil Nadu"/>
    <x v="0"/>
    <x v="1"/>
    <x v="13"/>
    <n v="5"/>
    <n v="4507.3100000000004"/>
    <n v="0.11"/>
    <n v="20057.53"/>
    <s v="COD"/>
    <x v="1"/>
    <x v="1"/>
    <x v="0"/>
    <n v="22536.550000000003"/>
    <x v="4"/>
    <x v="3"/>
    <x v="0"/>
  </r>
  <r>
    <s v="ORD0609"/>
    <x v="29"/>
    <s v="Maharashtra"/>
    <x v="2"/>
    <x v="2"/>
    <x v="7"/>
    <n v="3"/>
    <n v="4795.46"/>
    <n v="0.02"/>
    <n v="14098.65"/>
    <s v="Net Banking"/>
    <x v="0"/>
    <x v="2"/>
    <x v="0"/>
    <n v="14386.380000000001"/>
    <x v="3"/>
    <x v="3"/>
    <x v="0"/>
  </r>
  <r>
    <s v="ORD0610"/>
    <x v="122"/>
    <s v="Delhi"/>
    <x v="3"/>
    <x v="3"/>
    <x v="15"/>
    <n v="1"/>
    <n v="1536.53"/>
    <n v="0.24"/>
    <n v="1167.76"/>
    <s v="Debit Card"/>
    <x v="1"/>
    <x v="0"/>
    <x v="0"/>
    <n v="1536.53"/>
    <x v="5"/>
    <x v="2"/>
    <x v="0"/>
  </r>
  <r>
    <s v="ORD0611"/>
    <x v="59"/>
    <s v="Maharashtra"/>
    <x v="2"/>
    <x v="2"/>
    <x v="5"/>
    <n v="1"/>
    <n v="207.98"/>
    <n v="0.2"/>
    <n v="166.38"/>
    <s v="UPI"/>
    <x v="0"/>
    <x v="0"/>
    <x v="0"/>
    <n v="207.98"/>
    <x v="3"/>
    <x v="3"/>
    <x v="1"/>
  </r>
  <r>
    <s v="ORD0612"/>
    <x v="178"/>
    <s v="Tamil Nadu"/>
    <x v="3"/>
    <x v="4"/>
    <x v="17"/>
    <n v="5"/>
    <n v="4225.3500000000004"/>
    <n v="0.11"/>
    <n v="18802.810000000001"/>
    <s v="COD"/>
    <x v="1"/>
    <x v="1"/>
    <x v="1"/>
    <n v="21126.75"/>
    <x v="3"/>
    <x v="5"/>
    <x v="0"/>
  </r>
  <r>
    <s v="ORD0613"/>
    <x v="2"/>
    <s v="Karnataka"/>
    <x v="3"/>
    <x v="4"/>
    <x v="16"/>
    <n v="3"/>
    <n v="4856.55"/>
    <n v="0.19"/>
    <n v="11801.42"/>
    <s v="Debit Card"/>
    <x v="2"/>
    <x v="2"/>
    <x v="0"/>
    <n v="14569.650000000001"/>
    <x v="2"/>
    <x v="1"/>
    <x v="0"/>
  </r>
  <r>
    <s v="ORD0614"/>
    <x v="122"/>
    <s v="Gujarat"/>
    <x v="3"/>
    <x v="2"/>
    <x v="11"/>
    <n v="5"/>
    <n v="1497.71"/>
    <n v="0.24"/>
    <n v="5691.3"/>
    <s v="Debit Card"/>
    <x v="1"/>
    <x v="0"/>
    <x v="0"/>
    <n v="7488.55"/>
    <x v="5"/>
    <x v="2"/>
    <x v="0"/>
  </r>
  <r>
    <s v="ORD0615"/>
    <x v="3"/>
    <s v="Karnataka"/>
    <x v="0"/>
    <x v="0"/>
    <x v="0"/>
    <n v="4"/>
    <n v="1376"/>
    <n v="0.05"/>
    <n v="5228.8"/>
    <s v="COD"/>
    <x v="0"/>
    <x v="0"/>
    <x v="0"/>
    <n v="5504"/>
    <x v="3"/>
    <x v="0"/>
    <x v="0"/>
  </r>
  <r>
    <s v="ORD0616"/>
    <x v="52"/>
    <s v="Karnataka"/>
    <x v="1"/>
    <x v="4"/>
    <x v="16"/>
    <n v="2"/>
    <n v="2714.85"/>
    <n v="0.03"/>
    <n v="5266.81"/>
    <s v="Net Banking"/>
    <x v="1"/>
    <x v="2"/>
    <x v="1"/>
    <n v="5429.7"/>
    <x v="2"/>
    <x v="6"/>
    <x v="0"/>
  </r>
  <r>
    <s v="ORD0617"/>
    <x v="148"/>
    <s v="Karnataka"/>
    <x v="2"/>
    <x v="3"/>
    <x v="15"/>
    <n v="5"/>
    <n v="4880.45"/>
    <n v="0.08"/>
    <n v="22450.07"/>
    <s v="Debit Card"/>
    <x v="0"/>
    <x v="0"/>
    <x v="0"/>
    <n v="24402.25"/>
    <x v="4"/>
    <x v="5"/>
    <x v="0"/>
  </r>
  <r>
    <s v="ORD0618"/>
    <x v="127"/>
    <s v="Gujarat"/>
    <x v="0"/>
    <x v="4"/>
    <x v="16"/>
    <n v="1"/>
    <n v="3685.04"/>
    <n v="0.23"/>
    <n v="2837.48"/>
    <s v="Net Banking"/>
    <x v="2"/>
    <x v="2"/>
    <x v="0"/>
    <n v="3685.04"/>
    <x v="2"/>
    <x v="3"/>
    <x v="0"/>
  </r>
  <r>
    <s v="ORD0619"/>
    <x v="131"/>
    <s v="Tamil Nadu"/>
    <x v="3"/>
    <x v="2"/>
    <x v="11"/>
    <n v="3"/>
    <n v="369.66"/>
    <n v="0.16"/>
    <n v="931.54"/>
    <s v="UPI"/>
    <x v="0"/>
    <x v="0"/>
    <x v="3"/>
    <n v="1108.98"/>
    <x v="0"/>
    <x v="6"/>
    <x v="1"/>
  </r>
  <r>
    <s v="ORD0620"/>
    <x v="155"/>
    <s v="Maharashtra"/>
    <x v="1"/>
    <x v="4"/>
    <x v="16"/>
    <n v="4"/>
    <n v="3417.61"/>
    <n v="0.24"/>
    <n v="10389.530000000001"/>
    <s v="Credit Card"/>
    <x v="1"/>
    <x v="0"/>
    <x v="0"/>
    <n v="13670.44"/>
    <x v="6"/>
    <x v="5"/>
    <x v="0"/>
  </r>
  <r>
    <s v="ORD0621"/>
    <x v="158"/>
    <s v="Karnataka"/>
    <x v="2"/>
    <x v="4"/>
    <x v="19"/>
    <n v="4"/>
    <n v="1911.19"/>
    <n v="0.09"/>
    <n v="6956.73"/>
    <s v="Net Banking"/>
    <x v="0"/>
    <x v="1"/>
    <x v="0"/>
    <n v="7644.76"/>
    <x v="4"/>
    <x v="3"/>
    <x v="0"/>
  </r>
  <r>
    <s v="ORD0622"/>
    <x v="74"/>
    <s v="Delhi"/>
    <x v="1"/>
    <x v="2"/>
    <x v="7"/>
    <n v="4"/>
    <n v="4038.06"/>
    <n v="7.0000000000000007E-2"/>
    <n v="15021.58"/>
    <s v="Net Banking"/>
    <x v="1"/>
    <x v="0"/>
    <x v="0"/>
    <n v="16152.24"/>
    <x v="2"/>
    <x v="0"/>
    <x v="0"/>
  </r>
  <r>
    <s v="ORD0623"/>
    <x v="60"/>
    <s v="Gujarat"/>
    <x v="2"/>
    <x v="2"/>
    <x v="11"/>
    <n v="2"/>
    <n v="1118.1400000000001"/>
    <n v="0.12"/>
    <n v="1967.93"/>
    <s v="COD"/>
    <x v="0"/>
    <x v="0"/>
    <x v="0"/>
    <n v="2236.2800000000002"/>
    <x v="5"/>
    <x v="3"/>
    <x v="0"/>
  </r>
  <r>
    <s v="ORD0624"/>
    <x v="135"/>
    <s v="Maharashtra"/>
    <x v="3"/>
    <x v="1"/>
    <x v="14"/>
    <n v="3"/>
    <n v="2131.12"/>
    <n v="0.14000000000000001"/>
    <n v="5498.29"/>
    <s v="Credit Card"/>
    <x v="2"/>
    <x v="0"/>
    <x v="0"/>
    <n v="6393.36"/>
    <x v="6"/>
    <x v="0"/>
    <x v="0"/>
  </r>
  <r>
    <s v="ORD0625"/>
    <x v="29"/>
    <s v="Gujarat"/>
    <x v="1"/>
    <x v="2"/>
    <x v="6"/>
    <n v="3"/>
    <n v="4189.47"/>
    <n v="0.08"/>
    <n v="11562.94"/>
    <s v="Net Banking"/>
    <x v="0"/>
    <x v="0"/>
    <x v="0"/>
    <n v="12568.41"/>
    <x v="3"/>
    <x v="3"/>
    <x v="0"/>
  </r>
  <r>
    <s v="ORD0626"/>
    <x v="115"/>
    <s v="Karnataka"/>
    <x v="1"/>
    <x v="0"/>
    <x v="4"/>
    <n v="4"/>
    <n v="708.47"/>
    <n v="0.17"/>
    <n v="2352.12"/>
    <s v="UPI"/>
    <x v="1"/>
    <x v="1"/>
    <x v="0"/>
    <n v="2833.88"/>
    <x v="5"/>
    <x v="2"/>
    <x v="0"/>
  </r>
  <r>
    <s v="ORD0627"/>
    <x v="46"/>
    <s v="Maharashtra"/>
    <x v="1"/>
    <x v="3"/>
    <x v="8"/>
    <n v="1"/>
    <n v="3034.57"/>
    <n v="0.09"/>
    <n v="2761.46"/>
    <s v="UPI"/>
    <x v="2"/>
    <x v="1"/>
    <x v="1"/>
    <n v="3034.57"/>
    <x v="6"/>
    <x v="2"/>
    <x v="0"/>
  </r>
  <r>
    <s v="ORD0628"/>
    <x v="38"/>
    <s v="Karnataka"/>
    <x v="0"/>
    <x v="2"/>
    <x v="7"/>
    <n v="5"/>
    <n v="185.97"/>
    <n v="0.06"/>
    <n v="874.06"/>
    <s v="COD"/>
    <x v="1"/>
    <x v="0"/>
    <x v="0"/>
    <n v="929.85"/>
    <x v="6"/>
    <x v="2"/>
    <x v="1"/>
  </r>
  <r>
    <s v="ORD0629"/>
    <x v="154"/>
    <s v="Karnataka"/>
    <x v="0"/>
    <x v="2"/>
    <x v="11"/>
    <n v="3"/>
    <n v="1869.7"/>
    <n v="0.16"/>
    <n v="4711.6400000000003"/>
    <s v="Debit Card"/>
    <x v="0"/>
    <x v="1"/>
    <x v="0"/>
    <n v="5609.1"/>
    <x v="0"/>
    <x v="3"/>
    <x v="0"/>
  </r>
  <r>
    <s v="ORD0630"/>
    <x v="26"/>
    <s v="Gujarat"/>
    <x v="2"/>
    <x v="1"/>
    <x v="13"/>
    <n v="2"/>
    <n v="3846.98"/>
    <n v="0.15"/>
    <n v="6539.87"/>
    <s v="Debit Card"/>
    <x v="1"/>
    <x v="2"/>
    <x v="1"/>
    <n v="7693.96"/>
    <x v="3"/>
    <x v="0"/>
    <x v="0"/>
  </r>
  <r>
    <s v="ORD0631"/>
    <x v="123"/>
    <s v="Karnataka"/>
    <x v="2"/>
    <x v="4"/>
    <x v="17"/>
    <n v="5"/>
    <n v="1822.98"/>
    <n v="0.04"/>
    <n v="8750.2999999999993"/>
    <s v="Credit Card"/>
    <x v="1"/>
    <x v="2"/>
    <x v="0"/>
    <n v="9114.9"/>
    <x v="5"/>
    <x v="1"/>
    <x v="0"/>
  </r>
  <r>
    <s v="ORD0632"/>
    <x v="112"/>
    <s v="Karnataka"/>
    <x v="0"/>
    <x v="2"/>
    <x v="5"/>
    <n v="2"/>
    <n v="857.32"/>
    <n v="0.06"/>
    <n v="1611.76"/>
    <s v="Debit Card"/>
    <x v="0"/>
    <x v="2"/>
    <x v="0"/>
    <n v="1714.64"/>
    <x v="2"/>
    <x v="5"/>
    <x v="0"/>
  </r>
  <r>
    <s v="ORD0633"/>
    <x v="124"/>
    <s v="Delhi"/>
    <x v="2"/>
    <x v="0"/>
    <x v="0"/>
    <n v="3"/>
    <n v="1626.71"/>
    <n v="0.09"/>
    <n v="4440.92"/>
    <s v="Credit Card"/>
    <x v="2"/>
    <x v="1"/>
    <x v="0"/>
    <n v="4880.13"/>
    <x v="4"/>
    <x v="3"/>
    <x v="0"/>
  </r>
  <r>
    <s v="ORD0634"/>
    <x v="169"/>
    <s v="Maharashtra"/>
    <x v="3"/>
    <x v="4"/>
    <x v="19"/>
    <n v="2"/>
    <n v="3471.43"/>
    <n v="0.08"/>
    <n v="6387.43"/>
    <s v="Debit Card"/>
    <x v="0"/>
    <x v="2"/>
    <x v="2"/>
    <n v="6942.86"/>
    <x v="1"/>
    <x v="1"/>
    <x v="0"/>
  </r>
  <r>
    <s v="ORD0635"/>
    <x v="68"/>
    <s v="Maharashtra"/>
    <x v="0"/>
    <x v="2"/>
    <x v="7"/>
    <n v="4"/>
    <n v="308.33"/>
    <n v="0.03"/>
    <n v="1196.32"/>
    <s v="Credit Card"/>
    <x v="2"/>
    <x v="0"/>
    <x v="0"/>
    <n v="1233.32"/>
    <x v="0"/>
    <x v="3"/>
    <x v="0"/>
  </r>
  <r>
    <s v="ORD0636"/>
    <x v="153"/>
    <s v="Maharashtra"/>
    <x v="3"/>
    <x v="4"/>
    <x v="19"/>
    <n v="1"/>
    <n v="3797.3"/>
    <n v="0.2"/>
    <n v="3037.84"/>
    <s v="UPI"/>
    <x v="1"/>
    <x v="0"/>
    <x v="0"/>
    <n v="3797.3"/>
    <x v="1"/>
    <x v="4"/>
    <x v="0"/>
  </r>
  <r>
    <s v="ORD0637"/>
    <x v="6"/>
    <s v="Karnataka"/>
    <x v="2"/>
    <x v="3"/>
    <x v="12"/>
    <n v="2"/>
    <n v="4244.72"/>
    <n v="0.24"/>
    <n v="6451.97"/>
    <s v="Credit Card"/>
    <x v="0"/>
    <x v="0"/>
    <x v="0"/>
    <n v="8489.44"/>
    <x v="4"/>
    <x v="2"/>
    <x v="0"/>
  </r>
  <r>
    <s v="ORD0638"/>
    <x v="23"/>
    <s v="Gujarat"/>
    <x v="3"/>
    <x v="1"/>
    <x v="10"/>
    <n v="1"/>
    <n v="4115.97"/>
    <n v="0.19"/>
    <n v="3333.94"/>
    <s v="COD"/>
    <x v="0"/>
    <x v="0"/>
    <x v="0"/>
    <n v="4115.97"/>
    <x v="3"/>
    <x v="2"/>
    <x v="0"/>
  </r>
  <r>
    <s v="ORD0639"/>
    <x v="136"/>
    <s v="Gujarat"/>
    <x v="1"/>
    <x v="4"/>
    <x v="16"/>
    <n v="1"/>
    <n v="4628.74"/>
    <n v="0.23"/>
    <n v="3564.13"/>
    <s v="Credit Card"/>
    <x v="1"/>
    <x v="0"/>
    <x v="0"/>
    <n v="4628.74"/>
    <x v="2"/>
    <x v="3"/>
    <x v="0"/>
  </r>
  <r>
    <s v="ORD0640"/>
    <x v="128"/>
    <s v="Tamil Nadu"/>
    <x v="3"/>
    <x v="1"/>
    <x v="10"/>
    <n v="3"/>
    <n v="4908.38"/>
    <n v="0.11"/>
    <n v="13105.37"/>
    <s v="Credit Card"/>
    <x v="0"/>
    <x v="0"/>
    <x v="0"/>
    <n v="14725.14"/>
    <x v="3"/>
    <x v="3"/>
    <x v="0"/>
  </r>
  <r>
    <s v="ORD0641"/>
    <x v="49"/>
    <s v="Tamil Nadu"/>
    <x v="0"/>
    <x v="4"/>
    <x v="19"/>
    <n v="2"/>
    <n v="2529.5"/>
    <n v="0.09"/>
    <n v="4603.6899999999996"/>
    <s v="Credit Card"/>
    <x v="1"/>
    <x v="1"/>
    <x v="0"/>
    <n v="5059"/>
    <x v="0"/>
    <x v="4"/>
    <x v="0"/>
  </r>
  <r>
    <s v="ORD0642"/>
    <x v="173"/>
    <s v="Tamil Nadu"/>
    <x v="3"/>
    <x v="2"/>
    <x v="7"/>
    <n v="5"/>
    <n v="3707.25"/>
    <n v="0.17"/>
    <n v="15385.09"/>
    <s v="UPI"/>
    <x v="2"/>
    <x v="1"/>
    <x v="0"/>
    <n v="18536.25"/>
    <x v="2"/>
    <x v="5"/>
    <x v="0"/>
  </r>
  <r>
    <s v="ORD0643"/>
    <x v="132"/>
    <s v="Delhi"/>
    <x v="0"/>
    <x v="4"/>
    <x v="18"/>
    <n v="3"/>
    <n v="978.56"/>
    <n v="0.25"/>
    <n v="2201.7600000000002"/>
    <s v="Credit Card"/>
    <x v="2"/>
    <x v="1"/>
    <x v="0"/>
    <n v="2935.68"/>
    <x v="3"/>
    <x v="5"/>
    <x v="0"/>
  </r>
  <r>
    <s v="ORD0644"/>
    <x v="87"/>
    <s v="Maharashtra"/>
    <x v="3"/>
    <x v="1"/>
    <x v="13"/>
    <n v="4"/>
    <n v="3505.68"/>
    <n v="0.24"/>
    <n v="10657.27"/>
    <s v="Debit Card"/>
    <x v="2"/>
    <x v="0"/>
    <x v="0"/>
    <n v="14022.72"/>
    <x v="0"/>
    <x v="3"/>
    <x v="0"/>
  </r>
  <r>
    <s v="ORD0645"/>
    <x v="177"/>
    <s v="Delhi"/>
    <x v="2"/>
    <x v="3"/>
    <x v="9"/>
    <n v="1"/>
    <n v="1241.06"/>
    <n v="0.11"/>
    <n v="1104.54"/>
    <s v="COD"/>
    <x v="2"/>
    <x v="1"/>
    <x v="3"/>
    <n v="1241.06"/>
    <x v="1"/>
    <x v="3"/>
    <x v="0"/>
  </r>
  <r>
    <s v="ORD0646"/>
    <x v="124"/>
    <s v="Tamil Nadu"/>
    <x v="2"/>
    <x v="1"/>
    <x v="1"/>
    <n v="5"/>
    <n v="4755.68"/>
    <n v="0.25"/>
    <n v="17833.8"/>
    <s v="UPI"/>
    <x v="2"/>
    <x v="0"/>
    <x v="0"/>
    <n v="23778.400000000001"/>
    <x v="4"/>
    <x v="3"/>
    <x v="0"/>
  </r>
  <r>
    <s v="ORD0647"/>
    <x v="66"/>
    <s v="Maharashtra"/>
    <x v="0"/>
    <x v="2"/>
    <x v="7"/>
    <n v="4"/>
    <n v="1231.03"/>
    <n v="0.24"/>
    <n v="3742.33"/>
    <s v="UPI"/>
    <x v="2"/>
    <x v="2"/>
    <x v="0"/>
    <n v="4924.12"/>
    <x v="6"/>
    <x v="2"/>
    <x v="0"/>
  </r>
  <r>
    <s v="ORD0648"/>
    <x v="6"/>
    <s v="Maharashtra"/>
    <x v="0"/>
    <x v="0"/>
    <x v="3"/>
    <n v="5"/>
    <n v="3428.1"/>
    <n v="0.04"/>
    <n v="16454.88"/>
    <s v="Debit Card"/>
    <x v="2"/>
    <x v="0"/>
    <x v="3"/>
    <n v="17140.5"/>
    <x v="4"/>
    <x v="2"/>
    <x v="0"/>
  </r>
  <r>
    <s v="ORD0649"/>
    <x v="2"/>
    <s v="Tamil Nadu"/>
    <x v="0"/>
    <x v="1"/>
    <x v="14"/>
    <n v="4"/>
    <n v="2502.23"/>
    <n v="7.0000000000000007E-2"/>
    <n v="9308.2999999999993"/>
    <s v="Debit Card"/>
    <x v="2"/>
    <x v="1"/>
    <x v="2"/>
    <n v="10008.92"/>
    <x v="2"/>
    <x v="1"/>
    <x v="0"/>
  </r>
  <r>
    <s v="ORD0650"/>
    <x v="65"/>
    <s v="Maharashtra"/>
    <x v="0"/>
    <x v="0"/>
    <x v="3"/>
    <n v="3"/>
    <n v="4279.08"/>
    <n v="0.11"/>
    <n v="11425.14"/>
    <s v="Net Banking"/>
    <x v="2"/>
    <x v="2"/>
    <x v="0"/>
    <n v="12837.24"/>
    <x v="6"/>
    <x v="0"/>
    <x v="0"/>
  </r>
  <r>
    <s v="ORD0651"/>
    <x v="63"/>
    <s v="Tamil Nadu"/>
    <x v="1"/>
    <x v="4"/>
    <x v="16"/>
    <n v="3"/>
    <n v="3607.04"/>
    <n v="0.12"/>
    <n v="9522.59"/>
    <s v="Net Banking"/>
    <x v="0"/>
    <x v="2"/>
    <x v="0"/>
    <n v="10821.119999999999"/>
    <x v="6"/>
    <x v="2"/>
    <x v="0"/>
  </r>
  <r>
    <s v="ORD0652"/>
    <x v="89"/>
    <s v="Tamil Nadu"/>
    <x v="1"/>
    <x v="1"/>
    <x v="14"/>
    <n v="5"/>
    <n v="373.11"/>
    <n v="7.0000000000000007E-2"/>
    <n v="1734.96"/>
    <s v="COD"/>
    <x v="0"/>
    <x v="0"/>
    <x v="0"/>
    <n v="1865.5500000000002"/>
    <x v="1"/>
    <x v="5"/>
    <x v="0"/>
  </r>
  <r>
    <s v="ORD0653"/>
    <x v="179"/>
    <s v="Karnataka"/>
    <x v="0"/>
    <x v="4"/>
    <x v="17"/>
    <n v="5"/>
    <n v="321.08"/>
    <n v="0.21"/>
    <n v="1268.27"/>
    <s v="Credit Card"/>
    <x v="0"/>
    <x v="1"/>
    <x v="3"/>
    <n v="1605.3999999999999"/>
    <x v="1"/>
    <x v="5"/>
    <x v="0"/>
  </r>
  <r>
    <s v="ORD0654"/>
    <x v="28"/>
    <s v="Maharashtra"/>
    <x v="3"/>
    <x v="4"/>
    <x v="18"/>
    <n v="3"/>
    <n v="2118.46"/>
    <n v="0.01"/>
    <n v="6291.83"/>
    <s v="Net Banking"/>
    <x v="2"/>
    <x v="2"/>
    <x v="0"/>
    <n v="6355.38"/>
    <x v="0"/>
    <x v="2"/>
    <x v="0"/>
  </r>
  <r>
    <s v="ORD0655"/>
    <x v="60"/>
    <s v="Maharashtra"/>
    <x v="1"/>
    <x v="4"/>
    <x v="19"/>
    <n v="3"/>
    <n v="931.92"/>
    <n v="0.13"/>
    <n v="2432.31"/>
    <s v="UPI"/>
    <x v="0"/>
    <x v="2"/>
    <x v="0"/>
    <n v="2795.7599999999998"/>
    <x v="5"/>
    <x v="3"/>
    <x v="0"/>
  </r>
  <r>
    <s v="ORD0656"/>
    <x v="64"/>
    <s v="Karnataka"/>
    <x v="1"/>
    <x v="2"/>
    <x v="5"/>
    <n v="4"/>
    <n v="2981.15"/>
    <n v="0.25"/>
    <n v="8943.4500000000007"/>
    <s v="Credit Card"/>
    <x v="1"/>
    <x v="1"/>
    <x v="0"/>
    <n v="11924.6"/>
    <x v="5"/>
    <x v="1"/>
    <x v="0"/>
  </r>
  <r>
    <s v="ORD0657"/>
    <x v="67"/>
    <s v="Maharashtra"/>
    <x v="3"/>
    <x v="0"/>
    <x v="3"/>
    <n v="4"/>
    <n v="2563.5700000000002"/>
    <n v="0.19"/>
    <n v="8305.9699999999993"/>
    <s v="Debit Card"/>
    <x v="2"/>
    <x v="1"/>
    <x v="0"/>
    <n v="10254.280000000001"/>
    <x v="3"/>
    <x v="3"/>
    <x v="0"/>
  </r>
  <r>
    <s v="ORD0658"/>
    <x v="28"/>
    <s v="Delhi"/>
    <x v="2"/>
    <x v="4"/>
    <x v="18"/>
    <n v="1"/>
    <n v="4217.8599999999997"/>
    <n v="0.13"/>
    <n v="3669.54"/>
    <s v="Net Banking"/>
    <x v="1"/>
    <x v="1"/>
    <x v="0"/>
    <n v="4217.8599999999997"/>
    <x v="0"/>
    <x v="2"/>
    <x v="0"/>
  </r>
  <r>
    <s v="ORD0659"/>
    <x v="72"/>
    <s v="Delhi"/>
    <x v="2"/>
    <x v="1"/>
    <x v="14"/>
    <n v="1"/>
    <n v="3616.76"/>
    <n v="0.14000000000000001"/>
    <n v="3110.41"/>
    <s v="COD"/>
    <x v="1"/>
    <x v="0"/>
    <x v="0"/>
    <n v="3616.76"/>
    <x v="0"/>
    <x v="5"/>
    <x v="0"/>
  </r>
  <r>
    <s v="ORD0660"/>
    <x v="0"/>
    <s v="Tamil Nadu"/>
    <x v="1"/>
    <x v="1"/>
    <x v="14"/>
    <n v="1"/>
    <n v="3292.53"/>
    <n v="0.08"/>
    <n v="3029.13"/>
    <s v="Debit Card"/>
    <x v="2"/>
    <x v="1"/>
    <x v="0"/>
    <n v="3292.53"/>
    <x v="0"/>
    <x v="0"/>
    <x v="0"/>
  </r>
  <r>
    <s v="ORD0661"/>
    <x v="20"/>
    <s v="Tamil Nadu"/>
    <x v="3"/>
    <x v="4"/>
    <x v="16"/>
    <n v="5"/>
    <n v="2625.31"/>
    <n v="0.17"/>
    <n v="10895.04"/>
    <s v="Net Banking"/>
    <x v="2"/>
    <x v="0"/>
    <x v="1"/>
    <n v="13126.55"/>
    <x v="1"/>
    <x v="4"/>
    <x v="0"/>
  </r>
  <r>
    <s v="ORD0662"/>
    <x v="89"/>
    <s v="Gujarat"/>
    <x v="1"/>
    <x v="1"/>
    <x v="10"/>
    <n v="4"/>
    <n v="1412.89"/>
    <n v="0.16"/>
    <n v="4747.3100000000004"/>
    <s v="Net Banking"/>
    <x v="0"/>
    <x v="0"/>
    <x v="1"/>
    <n v="5651.56"/>
    <x v="1"/>
    <x v="5"/>
    <x v="0"/>
  </r>
  <r>
    <s v="ORD0663"/>
    <x v="9"/>
    <s v="Karnataka"/>
    <x v="1"/>
    <x v="0"/>
    <x v="4"/>
    <n v="2"/>
    <n v="837.32"/>
    <n v="0.17"/>
    <n v="1389.95"/>
    <s v="Net Banking"/>
    <x v="0"/>
    <x v="1"/>
    <x v="0"/>
    <n v="1674.64"/>
    <x v="0"/>
    <x v="0"/>
    <x v="0"/>
  </r>
  <r>
    <s v="ORD0664"/>
    <x v="84"/>
    <s v="Tamil Nadu"/>
    <x v="3"/>
    <x v="0"/>
    <x v="4"/>
    <n v="2"/>
    <n v="1356.59"/>
    <n v="0.15"/>
    <n v="2306.1999999999998"/>
    <s v="UPI"/>
    <x v="2"/>
    <x v="1"/>
    <x v="0"/>
    <n v="2713.18"/>
    <x v="6"/>
    <x v="3"/>
    <x v="0"/>
  </r>
  <r>
    <s v="ORD0665"/>
    <x v="50"/>
    <s v="Delhi"/>
    <x v="0"/>
    <x v="3"/>
    <x v="8"/>
    <n v="4"/>
    <n v="2843.14"/>
    <n v="0.11"/>
    <n v="10121.58"/>
    <s v="UPI"/>
    <x v="2"/>
    <x v="0"/>
    <x v="0"/>
    <n v="11372.56"/>
    <x v="5"/>
    <x v="4"/>
    <x v="0"/>
  </r>
  <r>
    <s v="ORD0666"/>
    <x v="148"/>
    <s v="Maharashtra"/>
    <x v="1"/>
    <x v="4"/>
    <x v="16"/>
    <n v="5"/>
    <n v="962.33"/>
    <n v="0.21"/>
    <n v="3801.2"/>
    <s v="UPI"/>
    <x v="2"/>
    <x v="0"/>
    <x v="3"/>
    <n v="4811.6500000000005"/>
    <x v="4"/>
    <x v="5"/>
    <x v="0"/>
  </r>
  <r>
    <s v="ORD0667"/>
    <x v="167"/>
    <s v="Karnataka"/>
    <x v="0"/>
    <x v="0"/>
    <x v="0"/>
    <n v="1"/>
    <n v="4512.82"/>
    <n v="0.1"/>
    <n v="4061.54"/>
    <s v="COD"/>
    <x v="2"/>
    <x v="1"/>
    <x v="0"/>
    <n v="4512.82"/>
    <x v="1"/>
    <x v="6"/>
    <x v="0"/>
  </r>
  <r>
    <s v="ORD0668"/>
    <x v="16"/>
    <s v="Maharashtra"/>
    <x v="2"/>
    <x v="3"/>
    <x v="12"/>
    <n v="5"/>
    <n v="4671.38"/>
    <n v="0.13"/>
    <n v="20320.5"/>
    <s v="COD"/>
    <x v="1"/>
    <x v="0"/>
    <x v="0"/>
    <n v="23356.9"/>
    <x v="0"/>
    <x v="1"/>
    <x v="0"/>
  </r>
  <r>
    <s v="ORD0669"/>
    <x v="117"/>
    <s v="Gujarat"/>
    <x v="3"/>
    <x v="0"/>
    <x v="4"/>
    <n v="3"/>
    <n v="4178.4399999999996"/>
    <n v="0.18"/>
    <n v="10278.959999999999"/>
    <s v="Credit Card"/>
    <x v="2"/>
    <x v="0"/>
    <x v="1"/>
    <n v="12535.32"/>
    <x v="4"/>
    <x v="1"/>
    <x v="0"/>
  </r>
  <r>
    <s v="ORD0670"/>
    <x v="93"/>
    <s v="Maharashtra"/>
    <x v="0"/>
    <x v="3"/>
    <x v="12"/>
    <n v="3"/>
    <n v="2253.4299999999998"/>
    <n v="0.06"/>
    <n v="6354.67"/>
    <s v="Debit Card"/>
    <x v="0"/>
    <x v="0"/>
    <x v="0"/>
    <n v="6760.2899999999991"/>
    <x v="6"/>
    <x v="3"/>
    <x v="0"/>
  </r>
  <r>
    <s v="ORD0671"/>
    <x v="171"/>
    <s v="Karnataka"/>
    <x v="2"/>
    <x v="4"/>
    <x v="19"/>
    <n v="4"/>
    <n v="3445.42"/>
    <n v="0.24"/>
    <n v="10474.08"/>
    <s v="COD"/>
    <x v="2"/>
    <x v="2"/>
    <x v="0"/>
    <n v="13781.68"/>
    <x v="4"/>
    <x v="2"/>
    <x v="0"/>
  </r>
  <r>
    <s v="ORD0672"/>
    <x v="122"/>
    <s v="Maharashtra"/>
    <x v="2"/>
    <x v="4"/>
    <x v="17"/>
    <n v="1"/>
    <n v="3484.34"/>
    <n v="0.2"/>
    <n v="2787.47"/>
    <s v="COD"/>
    <x v="0"/>
    <x v="2"/>
    <x v="0"/>
    <n v="3484.34"/>
    <x v="5"/>
    <x v="2"/>
    <x v="0"/>
  </r>
  <r>
    <s v="ORD0673"/>
    <x v="62"/>
    <s v="Maharashtra"/>
    <x v="2"/>
    <x v="4"/>
    <x v="17"/>
    <n v="4"/>
    <n v="2003.51"/>
    <n v="0.23"/>
    <n v="6170.81"/>
    <s v="COD"/>
    <x v="0"/>
    <x v="1"/>
    <x v="0"/>
    <n v="8014.04"/>
    <x v="1"/>
    <x v="4"/>
    <x v="0"/>
  </r>
  <r>
    <s v="ORD0674"/>
    <x v="46"/>
    <s v="Delhi"/>
    <x v="0"/>
    <x v="3"/>
    <x v="9"/>
    <n v="3"/>
    <n v="4409.3900000000003"/>
    <n v="0.19"/>
    <n v="10714.82"/>
    <s v="Debit Card"/>
    <x v="2"/>
    <x v="1"/>
    <x v="0"/>
    <n v="13228.170000000002"/>
    <x v="6"/>
    <x v="2"/>
    <x v="0"/>
  </r>
  <r>
    <s v="ORD0675"/>
    <x v="169"/>
    <s v="Tamil Nadu"/>
    <x v="2"/>
    <x v="0"/>
    <x v="3"/>
    <n v="4"/>
    <n v="4396.13"/>
    <n v="0.21"/>
    <n v="13891.77"/>
    <s v="Net Banking"/>
    <x v="2"/>
    <x v="2"/>
    <x v="0"/>
    <n v="17584.52"/>
    <x v="1"/>
    <x v="1"/>
    <x v="0"/>
  </r>
  <r>
    <s v="ORD0676"/>
    <x v="1"/>
    <s v="Gujarat"/>
    <x v="3"/>
    <x v="4"/>
    <x v="18"/>
    <n v="3"/>
    <n v="2320.98"/>
    <n v="0.01"/>
    <n v="6893.31"/>
    <s v="COD"/>
    <x v="1"/>
    <x v="2"/>
    <x v="0"/>
    <n v="6962.9400000000005"/>
    <x v="1"/>
    <x v="1"/>
    <x v="0"/>
  </r>
  <r>
    <s v="ORD0677"/>
    <x v="111"/>
    <s v="Tamil Nadu"/>
    <x v="3"/>
    <x v="3"/>
    <x v="8"/>
    <n v="3"/>
    <n v="1637.24"/>
    <n v="0.02"/>
    <n v="4813.49"/>
    <s v="Debit Card"/>
    <x v="1"/>
    <x v="2"/>
    <x v="0"/>
    <n v="4911.72"/>
    <x v="3"/>
    <x v="4"/>
    <x v="0"/>
  </r>
  <r>
    <s v="ORD0678"/>
    <x v="118"/>
    <s v="Karnataka"/>
    <x v="2"/>
    <x v="3"/>
    <x v="15"/>
    <n v="2"/>
    <n v="1377.33"/>
    <n v="0.17"/>
    <n v="2286.37"/>
    <s v="Net Banking"/>
    <x v="2"/>
    <x v="1"/>
    <x v="0"/>
    <n v="2754.66"/>
    <x v="1"/>
    <x v="5"/>
    <x v="0"/>
  </r>
  <r>
    <s v="ORD0679"/>
    <x v="173"/>
    <s v="Delhi"/>
    <x v="3"/>
    <x v="2"/>
    <x v="6"/>
    <n v="5"/>
    <n v="1199.99"/>
    <n v="0.24"/>
    <n v="4559.96"/>
    <s v="Net Banking"/>
    <x v="2"/>
    <x v="0"/>
    <x v="1"/>
    <n v="5999.95"/>
    <x v="2"/>
    <x v="5"/>
    <x v="0"/>
  </r>
  <r>
    <s v="ORD0680"/>
    <x v="48"/>
    <s v="Karnataka"/>
    <x v="0"/>
    <x v="2"/>
    <x v="11"/>
    <n v="4"/>
    <n v="3128.22"/>
    <n v="0.15"/>
    <n v="10635.95"/>
    <s v="Debit Card"/>
    <x v="0"/>
    <x v="2"/>
    <x v="2"/>
    <n v="12512.88"/>
    <x v="4"/>
    <x v="0"/>
    <x v="0"/>
  </r>
  <r>
    <s v="ORD0681"/>
    <x v="154"/>
    <s v="Maharashtra"/>
    <x v="3"/>
    <x v="3"/>
    <x v="8"/>
    <n v="4"/>
    <n v="4153.5600000000004"/>
    <n v="0.12"/>
    <n v="14620.53"/>
    <s v="COD"/>
    <x v="2"/>
    <x v="2"/>
    <x v="0"/>
    <n v="16614.240000000002"/>
    <x v="0"/>
    <x v="3"/>
    <x v="0"/>
  </r>
  <r>
    <s v="ORD0682"/>
    <x v="142"/>
    <s v="Tamil Nadu"/>
    <x v="3"/>
    <x v="4"/>
    <x v="17"/>
    <n v="4"/>
    <n v="4296.05"/>
    <n v="0.15"/>
    <n v="14606.57"/>
    <s v="Net Banking"/>
    <x v="0"/>
    <x v="1"/>
    <x v="0"/>
    <n v="17184.2"/>
    <x v="2"/>
    <x v="5"/>
    <x v="0"/>
  </r>
  <r>
    <s v="ORD0683"/>
    <x v="118"/>
    <s v="Maharashtra"/>
    <x v="1"/>
    <x v="2"/>
    <x v="11"/>
    <n v="2"/>
    <n v="3126.63"/>
    <n v="0.23"/>
    <n v="4815.01"/>
    <s v="UPI"/>
    <x v="2"/>
    <x v="1"/>
    <x v="0"/>
    <n v="6253.26"/>
    <x v="1"/>
    <x v="5"/>
    <x v="0"/>
  </r>
  <r>
    <s v="ORD0684"/>
    <x v="45"/>
    <s v="Karnataka"/>
    <x v="2"/>
    <x v="2"/>
    <x v="11"/>
    <n v="2"/>
    <n v="3595.35"/>
    <n v="0.18"/>
    <n v="5896.37"/>
    <s v="Net Banking"/>
    <x v="1"/>
    <x v="0"/>
    <x v="0"/>
    <n v="7190.7"/>
    <x v="0"/>
    <x v="4"/>
    <x v="0"/>
  </r>
  <r>
    <s v="ORD0685"/>
    <x v="149"/>
    <s v="Maharashtra"/>
    <x v="0"/>
    <x v="1"/>
    <x v="13"/>
    <n v="4"/>
    <n v="4550.3100000000004"/>
    <n v="0.25"/>
    <n v="13650.93"/>
    <s v="UPI"/>
    <x v="0"/>
    <x v="0"/>
    <x v="0"/>
    <n v="18201.240000000002"/>
    <x v="4"/>
    <x v="4"/>
    <x v="0"/>
  </r>
  <r>
    <s v="ORD0686"/>
    <x v="117"/>
    <s v="Karnataka"/>
    <x v="3"/>
    <x v="1"/>
    <x v="14"/>
    <n v="3"/>
    <n v="747.97"/>
    <n v="0.22"/>
    <n v="1750.25"/>
    <s v="Net Banking"/>
    <x v="1"/>
    <x v="2"/>
    <x v="0"/>
    <n v="2243.91"/>
    <x v="4"/>
    <x v="1"/>
    <x v="0"/>
  </r>
  <r>
    <s v="ORD0687"/>
    <x v="112"/>
    <s v="Karnataka"/>
    <x v="2"/>
    <x v="1"/>
    <x v="14"/>
    <n v="1"/>
    <n v="1654.86"/>
    <n v="0.13"/>
    <n v="1439.73"/>
    <s v="Net Banking"/>
    <x v="0"/>
    <x v="2"/>
    <x v="0"/>
    <n v="1654.86"/>
    <x v="2"/>
    <x v="5"/>
    <x v="0"/>
  </r>
  <r>
    <s v="ORD0688"/>
    <x v="102"/>
    <s v="Tamil Nadu"/>
    <x v="2"/>
    <x v="0"/>
    <x v="4"/>
    <n v="3"/>
    <n v="4638.5600000000004"/>
    <n v="7.0000000000000007E-2"/>
    <n v="12941.58"/>
    <s v="UPI"/>
    <x v="1"/>
    <x v="1"/>
    <x v="0"/>
    <n v="13915.68"/>
    <x v="5"/>
    <x v="3"/>
    <x v="0"/>
  </r>
  <r>
    <s v="ORD0689"/>
    <x v="152"/>
    <s v="Karnataka"/>
    <x v="0"/>
    <x v="2"/>
    <x v="11"/>
    <n v="5"/>
    <n v="4279.8599999999997"/>
    <n v="0.16"/>
    <n v="17975.41"/>
    <s v="Net Banking"/>
    <x v="0"/>
    <x v="1"/>
    <x v="0"/>
    <n v="21399.3"/>
    <x v="5"/>
    <x v="4"/>
    <x v="0"/>
  </r>
  <r>
    <s v="ORD0690"/>
    <x v="156"/>
    <s v="Delhi"/>
    <x v="1"/>
    <x v="0"/>
    <x v="4"/>
    <n v="3"/>
    <n v="901.42"/>
    <n v="0.12"/>
    <n v="2379.75"/>
    <s v="Credit Card"/>
    <x v="2"/>
    <x v="2"/>
    <x v="0"/>
    <n v="2704.2599999999998"/>
    <x v="4"/>
    <x v="2"/>
    <x v="0"/>
  </r>
  <r>
    <s v="ORD0691"/>
    <x v="180"/>
    <s v="Tamil Nadu"/>
    <x v="3"/>
    <x v="4"/>
    <x v="18"/>
    <n v="2"/>
    <n v="705.91"/>
    <n v="0.02"/>
    <n v="1383.58"/>
    <s v="Net Banking"/>
    <x v="0"/>
    <x v="1"/>
    <x v="3"/>
    <n v="1411.82"/>
    <x v="1"/>
    <x v="2"/>
    <x v="0"/>
  </r>
  <r>
    <s v="ORD0692"/>
    <x v="47"/>
    <s v="Gujarat"/>
    <x v="3"/>
    <x v="1"/>
    <x v="1"/>
    <n v="5"/>
    <n v="4990.22"/>
    <n v="0"/>
    <n v="24951.1"/>
    <s v="COD"/>
    <x v="0"/>
    <x v="0"/>
    <x v="0"/>
    <n v="24951.100000000002"/>
    <x v="4"/>
    <x v="1"/>
    <x v="0"/>
  </r>
  <r>
    <s v="ORD0693"/>
    <x v="146"/>
    <s v="Tamil Nadu"/>
    <x v="1"/>
    <x v="0"/>
    <x v="4"/>
    <n v="1"/>
    <n v="1492.98"/>
    <n v="0.25"/>
    <n v="1119.74"/>
    <s v="Credit Card"/>
    <x v="2"/>
    <x v="2"/>
    <x v="0"/>
    <n v="1492.98"/>
    <x v="2"/>
    <x v="0"/>
    <x v="0"/>
  </r>
  <r>
    <s v="ORD0694"/>
    <x v="118"/>
    <s v="Delhi"/>
    <x v="2"/>
    <x v="0"/>
    <x v="2"/>
    <n v="4"/>
    <n v="4170.43"/>
    <n v="0.16"/>
    <n v="14012.64"/>
    <s v="Credit Card"/>
    <x v="0"/>
    <x v="1"/>
    <x v="0"/>
    <n v="16681.72"/>
    <x v="1"/>
    <x v="5"/>
    <x v="0"/>
  </r>
  <r>
    <s v="ORD0695"/>
    <x v="119"/>
    <s v="Maharashtra"/>
    <x v="3"/>
    <x v="0"/>
    <x v="2"/>
    <n v="3"/>
    <n v="4742.3500000000004"/>
    <n v="0.25"/>
    <n v="10670.29"/>
    <s v="COD"/>
    <x v="2"/>
    <x v="0"/>
    <x v="0"/>
    <n v="14227.050000000001"/>
    <x v="1"/>
    <x v="1"/>
    <x v="0"/>
  </r>
  <r>
    <s v="ORD0696"/>
    <x v="144"/>
    <s v="Karnataka"/>
    <x v="1"/>
    <x v="0"/>
    <x v="2"/>
    <n v="1"/>
    <n v="2781.07"/>
    <n v="0.15"/>
    <n v="2363.91"/>
    <s v="Credit Card"/>
    <x v="1"/>
    <x v="2"/>
    <x v="0"/>
    <n v="2781.07"/>
    <x v="6"/>
    <x v="4"/>
    <x v="0"/>
  </r>
  <r>
    <s v="ORD0697"/>
    <x v="52"/>
    <s v="Maharashtra"/>
    <x v="3"/>
    <x v="3"/>
    <x v="15"/>
    <n v="2"/>
    <n v="2003.66"/>
    <n v="0.1"/>
    <n v="3606.59"/>
    <s v="Credit Card"/>
    <x v="0"/>
    <x v="0"/>
    <x v="0"/>
    <n v="4007.32"/>
    <x v="2"/>
    <x v="6"/>
    <x v="0"/>
  </r>
  <r>
    <s v="ORD0698"/>
    <x v="33"/>
    <s v="Karnataka"/>
    <x v="3"/>
    <x v="2"/>
    <x v="5"/>
    <n v="3"/>
    <n v="3361.05"/>
    <n v="0.21"/>
    <n v="7965.69"/>
    <s v="COD"/>
    <x v="0"/>
    <x v="0"/>
    <x v="0"/>
    <n v="10083.150000000001"/>
    <x v="6"/>
    <x v="3"/>
    <x v="0"/>
  </r>
  <r>
    <s v="ORD0699"/>
    <x v="50"/>
    <s v="Karnataka"/>
    <x v="3"/>
    <x v="2"/>
    <x v="5"/>
    <n v="4"/>
    <n v="542.09"/>
    <n v="0.11"/>
    <n v="1929.84"/>
    <s v="COD"/>
    <x v="1"/>
    <x v="1"/>
    <x v="0"/>
    <n v="2168.36"/>
    <x v="5"/>
    <x v="4"/>
    <x v="0"/>
  </r>
  <r>
    <s v="ORD0700"/>
    <x v="82"/>
    <s v="Maharashtra"/>
    <x v="3"/>
    <x v="2"/>
    <x v="7"/>
    <n v="4"/>
    <n v="3414.56"/>
    <n v="0.16"/>
    <n v="11472.92"/>
    <s v="COD"/>
    <x v="2"/>
    <x v="0"/>
    <x v="1"/>
    <n v="13658.24"/>
    <x v="1"/>
    <x v="0"/>
    <x v="0"/>
  </r>
  <r>
    <s v="ORD0701"/>
    <x v="24"/>
    <s v="Karnataka"/>
    <x v="3"/>
    <x v="1"/>
    <x v="13"/>
    <n v="1"/>
    <n v="4545.32"/>
    <n v="0.12"/>
    <n v="3999.88"/>
    <s v="Net Banking"/>
    <x v="2"/>
    <x v="2"/>
    <x v="0"/>
    <n v="4545.32"/>
    <x v="5"/>
    <x v="0"/>
    <x v="0"/>
  </r>
  <r>
    <s v="ORD0702"/>
    <x v="167"/>
    <s v="Gujarat"/>
    <x v="0"/>
    <x v="4"/>
    <x v="16"/>
    <n v="5"/>
    <n v="333.87"/>
    <n v="0.02"/>
    <n v="1635.96"/>
    <s v="Net Banking"/>
    <x v="2"/>
    <x v="2"/>
    <x v="0"/>
    <n v="1669.35"/>
    <x v="1"/>
    <x v="6"/>
    <x v="0"/>
  </r>
  <r>
    <s v="ORD0703"/>
    <x v="97"/>
    <s v="Tamil Nadu"/>
    <x v="0"/>
    <x v="2"/>
    <x v="7"/>
    <n v="3"/>
    <n v="1348.82"/>
    <n v="0.02"/>
    <n v="3965.53"/>
    <s v="COD"/>
    <x v="2"/>
    <x v="0"/>
    <x v="0"/>
    <n v="4046.46"/>
    <x v="2"/>
    <x v="0"/>
    <x v="0"/>
  </r>
  <r>
    <s v="ORD0704"/>
    <x v="3"/>
    <s v="Delhi"/>
    <x v="1"/>
    <x v="2"/>
    <x v="11"/>
    <n v="1"/>
    <n v="2139.63"/>
    <n v="0.18"/>
    <n v="1754.5"/>
    <s v="Net Banking"/>
    <x v="0"/>
    <x v="1"/>
    <x v="3"/>
    <n v="2139.63"/>
    <x v="3"/>
    <x v="0"/>
    <x v="0"/>
  </r>
  <r>
    <s v="ORD0705"/>
    <x v="74"/>
    <s v="Karnataka"/>
    <x v="0"/>
    <x v="2"/>
    <x v="6"/>
    <n v="2"/>
    <n v="483.28"/>
    <n v="0.25"/>
    <n v="724.92"/>
    <s v="Debit Card"/>
    <x v="0"/>
    <x v="1"/>
    <x v="0"/>
    <n v="966.56"/>
    <x v="2"/>
    <x v="0"/>
    <x v="1"/>
  </r>
  <r>
    <s v="ORD0706"/>
    <x v="23"/>
    <s v="Tamil Nadu"/>
    <x v="1"/>
    <x v="0"/>
    <x v="0"/>
    <n v="2"/>
    <n v="3313.42"/>
    <n v="0.12"/>
    <n v="5831.62"/>
    <s v="Credit Card"/>
    <x v="0"/>
    <x v="1"/>
    <x v="0"/>
    <n v="6626.84"/>
    <x v="3"/>
    <x v="2"/>
    <x v="0"/>
  </r>
  <r>
    <s v="ORD0707"/>
    <x v="61"/>
    <s v="Tamil Nadu"/>
    <x v="3"/>
    <x v="1"/>
    <x v="1"/>
    <n v="2"/>
    <n v="762.06"/>
    <n v="0.05"/>
    <n v="1447.91"/>
    <s v="UPI"/>
    <x v="0"/>
    <x v="2"/>
    <x v="1"/>
    <n v="1524.12"/>
    <x v="1"/>
    <x v="5"/>
    <x v="0"/>
  </r>
  <r>
    <s v="ORD0708"/>
    <x v="101"/>
    <s v="Delhi"/>
    <x v="3"/>
    <x v="3"/>
    <x v="15"/>
    <n v="5"/>
    <n v="1035.48"/>
    <n v="0.08"/>
    <n v="4763.21"/>
    <s v="Debit Card"/>
    <x v="2"/>
    <x v="1"/>
    <x v="0"/>
    <n v="5177.3999999999996"/>
    <x v="5"/>
    <x v="5"/>
    <x v="0"/>
  </r>
  <r>
    <s v="ORD0709"/>
    <x v="64"/>
    <s v="Delhi"/>
    <x v="3"/>
    <x v="0"/>
    <x v="0"/>
    <n v="4"/>
    <n v="4822.95"/>
    <n v="0.12"/>
    <n v="16976.78"/>
    <s v="Debit Card"/>
    <x v="1"/>
    <x v="1"/>
    <x v="0"/>
    <n v="19291.8"/>
    <x v="5"/>
    <x v="1"/>
    <x v="0"/>
  </r>
  <r>
    <s v="ORD0710"/>
    <x v="65"/>
    <s v="Maharashtra"/>
    <x v="1"/>
    <x v="1"/>
    <x v="14"/>
    <n v="1"/>
    <n v="3189.01"/>
    <n v="0.18"/>
    <n v="2614.9899999999998"/>
    <s v="UPI"/>
    <x v="0"/>
    <x v="1"/>
    <x v="0"/>
    <n v="3189.01"/>
    <x v="6"/>
    <x v="0"/>
    <x v="0"/>
  </r>
  <r>
    <s v="ORD0711"/>
    <x v="128"/>
    <s v="Maharashtra"/>
    <x v="1"/>
    <x v="1"/>
    <x v="1"/>
    <n v="4"/>
    <n v="2615.44"/>
    <n v="0.18"/>
    <n v="8578.64"/>
    <s v="Net Banking"/>
    <x v="2"/>
    <x v="0"/>
    <x v="0"/>
    <n v="10461.76"/>
    <x v="3"/>
    <x v="3"/>
    <x v="0"/>
  </r>
  <r>
    <s v="ORD0712"/>
    <x v="148"/>
    <s v="Tamil Nadu"/>
    <x v="1"/>
    <x v="0"/>
    <x v="0"/>
    <n v="5"/>
    <n v="411.2"/>
    <n v="0.22"/>
    <n v="1603.68"/>
    <s v="COD"/>
    <x v="2"/>
    <x v="1"/>
    <x v="0"/>
    <n v="2056"/>
    <x v="4"/>
    <x v="5"/>
    <x v="0"/>
  </r>
  <r>
    <s v="ORD0713"/>
    <x v="109"/>
    <s v="Tamil Nadu"/>
    <x v="1"/>
    <x v="1"/>
    <x v="1"/>
    <n v="2"/>
    <n v="1511.25"/>
    <n v="0.05"/>
    <n v="2871.38"/>
    <s v="Net Banking"/>
    <x v="0"/>
    <x v="1"/>
    <x v="0"/>
    <n v="3022.5"/>
    <x v="6"/>
    <x v="0"/>
    <x v="0"/>
  </r>
  <r>
    <s v="ORD0714"/>
    <x v="142"/>
    <s v="Gujarat"/>
    <x v="2"/>
    <x v="3"/>
    <x v="9"/>
    <n v="3"/>
    <n v="3642.68"/>
    <n v="0.1"/>
    <n v="9835.24"/>
    <s v="Net Banking"/>
    <x v="0"/>
    <x v="1"/>
    <x v="3"/>
    <n v="10928.039999999999"/>
    <x v="2"/>
    <x v="5"/>
    <x v="0"/>
  </r>
  <r>
    <s v="ORD0715"/>
    <x v="65"/>
    <s v="Karnataka"/>
    <x v="1"/>
    <x v="3"/>
    <x v="12"/>
    <n v="4"/>
    <n v="732.57"/>
    <n v="0.05"/>
    <n v="2783.77"/>
    <s v="Credit Card"/>
    <x v="1"/>
    <x v="0"/>
    <x v="0"/>
    <n v="2930.28"/>
    <x v="6"/>
    <x v="0"/>
    <x v="0"/>
  </r>
  <r>
    <s v="ORD0716"/>
    <x v="44"/>
    <s v="Karnataka"/>
    <x v="2"/>
    <x v="2"/>
    <x v="5"/>
    <n v="5"/>
    <n v="330.54"/>
    <n v="0"/>
    <n v="1652.7"/>
    <s v="Debit Card"/>
    <x v="0"/>
    <x v="1"/>
    <x v="0"/>
    <n v="1652.7"/>
    <x v="3"/>
    <x v="3"/>
    <x v="0"/>
  </r>
  <r>
    <s v="ORD0717"/>
    <x v="51"/>
    <s v="Maharashtra"/>
    <x v="1"/>
    <x v="3"/>
    <x v="8"/>
    <n v="1"/>
    <n v="3126.06"/>
    <n v="0.03"/>
    <n v="3032.28"/>
    <s v="UPI"/>
    <x v="2"/>
    <x v="2"/>
    <x v="0"/>
    <n v="3126.06"/>
    <x v="3"/>
    <x v="1"/>
    <x v="0"/>
  </r>
  <r>
    <s v="ORD0718"/>
    <x v="24"/>
    <s v="Maharashtra"/>
    <x v="0"/>
    <x v="4"/>
    <x v="17"/>
    <n v="2"/>
    <n v="4281.7"/>
    <n v="0.22"/>
    <n v="6679.45"/>
    <s v="COD"/>
    <x v="2"/>
    <x v="0"/>
    <x v="0"/>
    <n v="8563.4"/>
    <x v="5"/>
    <x v="0"/>
    <x v="0"/>
  </r>
  <r>
    <s v="ORD0719"/>
    <x v="102"/>
    <s v="Maharashtra"/>
    <x v="0"/>
    <x v="2"/>
    <x v="5"/>
    <n v="5"/>
    <n v="3932.57"/>
    <n v="0.24"/>
    <n v="14943.77"/>
    <s v="Credit Card"/>
    <x v="1"/>
    <x v="0"/>
    <x v="0"/>
    <n v="19662.850000000002"/>
    <x v="5"/>
    <x v="3"/>
    <x v="0"/>
  </r>
  <r>
    <s v="ORD0720"/>
    <x v="172"/>
    <s v="Delhi"/>
    <x v="0"/>
    <x v="3"/>
    <x v="8"/>
    <n v="3"/>
    <n v="3570"/>
    <n v="0.19"/>
    <n v="8675.1"/>
    <s v="UPI"/>
    <x v="0"/>
    <x v="1"/>
    <x v="0"/>
    <n v="10710"/>
    <x v="6"/>
    <x v="5"/>
    <x v="0"/>
  </r>
  <r>
    <s v="ORD0721"/>
    <x v="20"/>
    <s v="Delhi"/>
    <x v="3"/>
    <x v="4"/>
    <x v="17"/>
    <n v="4"/>
    <n v="4851.22"/>
    <n v="0.19"/>
    <n v="15717.95"/>
    <s v="Credit Card"/>
    <x v="0"/>
    <x v="2"/>
    <x v="3"/>
    <n v="19404.88"/>
    <x v="1"/>
    <x v="4"/>
    <x v="0"/>
  </r>
  <r>
    <s v="ORD0722"/>
    <x v="142"/>
    <s v="Karnataka"/>
    <x v="2"/>
    <x v="2"/>
    <x v="6"/>
    <n v="1"/>
    <n v="1403.48"/>
    <n v="0.18"/>
    <n v="1150.8499999999999"/>
    <s v="COD"/>
    <x v="0"/>
    <x v="1"/>
    <x v="0"/>
    <n v="1403.48"/>
    <x v="2"/>
    <x v="5"/>
    <x v="0"/>
  </r>
  <r>
    <s v="ORD0723"/>
    <x v="150"/>
    <s v="Gujarat"/>
    <x v="1"/>
    <x v="3"/>
    <x v="12"/>
    <n v="2"/>
    <n v="4028.67"/>
    <n v="0.1"/>
    <n v="7251.61"/>
    <s v="Net Banking"/>
    <x v="0"/>
    <x v="1"/>
    <x v="2"/>
    <n v="8057.34"/>
    <x v="3"/>
    <x v="0"/>
    <x v="0"/>
  </r>
  <r>
    <s v="ORD0724"/>
    <x v="155"/>
    <s v="Maharashtra"/>
    <x v="0"/>
    <x v="1"/>
    <x v="1"/>
    <n v="1"/>
    <n v="3616.37"/>
    <n v="0.13"/>
    <n v="3146.24"/>
    <s v="Net Banking"/>
    <x v="0"/>
    <x v="2"/>
    <x v="0"/>
    <n v="3616.37"/>
    <x v="6"/>
    <x v="5"/>
    <x v="0"/>
  </r>
  <r>
    <s v="ORD0725"/>
    <x v="179"/>
    <s v="Tamil Nadu"/>
    <x v="0"/>
    <x v="2"/>
    <x v="11"/>
    <n v="1"/>
    <n v="3334.86"/>
    <n v="0.16"/>
    <n v="2801.28"/>
    <s v="Credit Card"/>
    <x v="2"/>
    <x v="0"/>
    <x v="2"/>
    <n v="3334.86"/>
    <x v="1"/>
    <x v="5"/>
    <x v="0"/>
  </r>
  <r>
    <s v="ORD0726"/>
    <x v="157"/>
    <s v="Tamil Nadu"/>
    <x v="2"/>
    <x v="1"/>
    <x v="1"/>
    <n v="5"/>
    <n v="4380.38"/>
    <n v="0.18"/>
    <n v="17959.560000000001"/>
    <s v="Net Banking"/>
    <x v="1"/>
    <x v="1"/>
    <x v="0"/>
    <n v="21901.9"/>
    <x v="4"/>
    <x v="5"/>
    <x v="0"/>
  </r>
  <r>
    <s v="ORD0727"/>
    <x v="35"/>
    <s v="Tamil Nadu"/>
    <x v="1"/>
    <x v="4"/>
    <x v="16"/>
    <n v="2"/>
    <n v="4449.1400000000003"/>
    <n v="0.16"/>
    <n v="7474.56"/>
    <s v="Net Banking"/>
    <x v="1"/>
    <x v="0"/>
    <x v="0"/>
    <n v="8898.2800000000007"/>
    <x v="6"/>
    <x v="0"/>
    <x v="0"/>
  </r>
  <r>
    <s v="ORD0728"/>
    <x v="125"/>
    <s v="Karnataka"/>
    <x v="3"/>
    <x v="2"/>
    <x v="11"/>
    <n v="5"/>
    <n v="1739.02"/>
    <n v="0.18"/>
    <n v="7129.98"/>
    <s v="Credit Card"/>
    <x v="0"/>
    <x v="0"/>
    <x v="0"/>
    <n v="8695.1"/>
    <x v="4"/>
    <x v="5"/>
    <x v="0"/>
  </r>
  <r>
    <s v="ORD0729"/>
    <x v="54"/>
    <s v="Delhi"/>
    <x v="3"/>
    <x v="1"/>
    <x v="1"/>
    <n v="5"/>
    <n v="1630.04"/>
    <n v="0.09"/>
    <n v="7416.68"/>
    <s v="Credit Card"/>
    <x v="1"/>
    <x v="0"/>
    <x v="0"/>
    <n v="8150.2"/>
    <x v="6"/>
    <x v="4"/>
    <x v="0"/>
  </r>
  <r>
    <s v="ORD0730"/>
    <x v="51"/>
    <s v="Delhi"/>
    <x v="2"/>
    <x v="1"/>
    <x v="1"/>
    <n v="4"/>
    <n v="4936.08"/>
    <n v="0.03"/>
    <n v="19151.990000000002"/>
    <s v="UPI"/>
    <x v="1"/>
    <x v="2"/>
    <x v="0"/>
    <n v="19744.32"/>
    <x v="3"/>
    <x v="1"/>
    <x v="0"/>
  </r>
  <r>
    <s v="ORD0731"/>
    <x v="63"/>
    <s v="Maharashtra"/>
    <x v="1"/>
    <x v="1"/>
    <x v="1"/>
    <n v="1"/>
    <n v="2298.81"/>
    <n v="0.14000000000000001"/>
    <n v="1976.98"/>
    <s v="Credit Card"/>
    <x v="1"/>
    <x v="2"/>
    <x v="0"/>
    <n v="2298.81"/>
    <x v="6"/>
    <x v="2"/>
    <x v="0"/>
  </r>
  <r>
    <s v="ORD0732"/>
    <x v="14"/>
    <s v="Karnataka"/>
    <x v="3"/>
    <x v="3"/>
    <x v="12"/>
    <n v="5"/>
    <n v="3394.93"/>
    <n v="0.18"/>
    <n v="13919.21"/>
    <s v="UPI"/>
    <x v="2"/>
    <x v="0"/>
    <x v="0"/>
    <n v="16974.649999999998"/>
    <x v="2"/>
    <x v="5"/>
    <x v="0"/>
  </r>
  <r>
    <s v="ORD0733"/>
    <x v="150"/>
    <s v="Karnataka"/>
    <x v="0"/>
    <x v="1"/>
    <x v="10"/>
    <n v="2"/>
    <n v="3587.04"/>
    <n v="0.21"/>
    <n v="5667.52"/>
    <s v="Net Banking"/>
    <x v="0"/>
    <x v="2"/>
    <x v="0"/>
    <n v="7174.08"/>
    <x v="3"/>
    <x v="0"/>
    <x v="0"/>
  </r>
  <r>
    <s v="ORD0734"/>
    <x v="167"/>
    <s v="Delhi"/>
    <x v="1"/>
    <x v="3"/>
    <x v="15"/>
    <n v="3"/>
    <n v="3416.43"/>
    <n v="0.1"/>
    <n v="9224.36"/>
    <s v="Net Banking"/>
    <x v="0"/>
    <x v="0"/>
    <x v="1"/>
    <n v="10249.289999999999"/>
    <x v="1"/>
    <x v="6"/>
    <x v="0"/>
  </r>
  <r>
    <s v="ORD0735"/>
    <x v="42"/>
    <s v="Tamil Nadu"/>
    <x v="3"/>
    <x v="1"/>
    <x v="14"/>
    <n v="4"/>
    <n v="3685.41"/>
    <n v="0.1"/>
    <n v="13267.48"/>
    <s v="Net Banking"/>
    <x v="1"/>
    <x v="2"/>
    <x v="0"/>
    <n v="14741.64"/>
    <x v="3"/>
    <x v="5"/>
    <x v="0"/>
  </r>
  <r>
    <s v="ORD0736"/>
    <x v="9"/>
    <s v="Delhi"/>
    <x v="3"/>
    <x v="2"/>
    <x v="5"/>
    <n v="1"/>
    <n v="3502.91"/>
    <n v="0.11"/>
    <n v="3117.59"/>
    <s v="COD"/>
    <x v="1"/>
    <x v="2"/>
    <x v="1"/>
    <n v="3502.91"/>
    <x v="0"/>
    <x v="0"/>
    <x v="0"/>
  </r>
  <r>
    <s v="ORD0737"/>
    <x v="99"/>
    <s v="Gujarat"/>
    <x v="3"/>
    <x v="4"/>
    <x v="19"/>
    <n v="1"/>
    <n v="1910.97"/>
    <n v="7.0000000000000007E-2"/>
    <n v="1777.2"/>
    <s v="Net Banking"/>
    <x v="0"/>
    <x v="0"/>
    <x v="0"/>
    <n v="1910.97"/>
    <x v="0"/>
    <x v="0"/>
    <x v="0"/>
  </r>
  <r>
    <s v="ORD0738"/>
    <x v="147"/>
    <s v="Karnataka"/>
    <x v="1"/>
    <x v="4"/>
    <x v="17"/>
    <n v="1"/>
    <n v="3976.9"/>
    <n v="0.04"/>
    <n v="3817.82"/>
    <s v="UPI"/>
    <x v="2"/>
    <x v="0"/>
    <x v="0"/>
    <n v="3976.9"/>
    <x v="1"/>
    <x v="3"/>
    <x v="0"/>
  </r>
  <r>
    <s v="ORD0739"/>
    <x v="79"/>
    <s v="Delhi"/>
    <x v="0"/>
    <x v="4"/>
    <x v="17"/>
    <n v="4"/>
    <n v="110.22"/>
    <n v="0.14000000000000001"/>
    <n v="379.16"/>
    <s v="Debit Card"/>
    <x v="1"/>
    <x v="2"/>
    <x v="0"/>
    <n v="440.88"/>
    <x v="0"/>
    <x v="2"/>
    <x v="1"/>
  </r>
  <r>
    <s v="ORD0740"/>
    <x v="181"/>
    <s v="Gujarat"/>
    <x v="3"/>
    <x v="1"/>
    <x v="1"/>
    <n v="4"/>
    <n v="2428.61"/>
    <n v="0.18"/>
    <n v="7965.84"/>
    <s v="Net Banking"/>
    <x v="2"/>
    <x v="0"/>
    <x v="3"/>
    <n v="9714.44"/>
    <x v="1"/>
    <x v="0"/>
    <x v="0"/>
  </r>
  <r>
    <s v="ORD0741"/>
    <x v="92"/>
    <s v="Tamil Nadu"/>
    <x v="1"/>
    <x v="1"/>
    <x v="14"/>
    <n v="3"/>
    <n v="537.64"/>
    <n v="0.16"/>
    <n v="1354.85"/>
    <s v="Net Banking"/>
    <x v="0"/>
    <x v="0"/>
    <x v="0"/>
    <n v="1612.92"/>
    <x v="0"/>
    <x v="4"/>
    <x v="0"/>
  </r>
  <r>
    <s v="ORD0742"/>
    <x v="172"/>
    <s v="Gujarat"/>
    <x v="0"/>
    <x v="2"/>
    <x v="6"/>
    <n v="4"/>
    <n v="3705.97"/>
    <n v="0.16"/>
    <n v="12452.06"/>
    <s v="Credit Card"/>
    <x v="1"/>
    <x v="2"/>
    <x v="0"/>
    <n v="14823.88"/>
    <x v="6"/>
    <x v="5"/>
    <x v="0"/>
  </r>
  <r>
    <s v="ORD0743"/>
    <x v="157"/>
    <s v="Gujarat"/>
    <x v="3"/>
    <x v="4"/>
    <x v="19"/>
    <n v="5"/>
    <n v="2754.99"/>
    <n v="0.19"/>
    <n v="11157.71"/>
    <s v="Credit Card"/>
    <x v="0"/>
    <x v="0"/>
    <x v="3"/>
    <n v="13774.949999999999"/>
    <x v="4"/>
    <x v="5"/>
    <x v="0"/>
  </r>
  <r>
    <s v="ORD0744"/>
    <x v="138"/>
    <s v="Maharashtra"/>
    <x v="1"/>
    <x v="1"/>
    <x v="13"/>
    <n v="1"/>
    <n v="1447.32"/>
    <n v="0.05"/>
    <n v="1374.95"/>
    <s v="COD"/>
    <x v="0"/>
    <x v="0"/>
    <x v="0"/>
    <n v="1447.32"/>
    <x v="4"/>
    <x v="4"/>
    <x v="0"/>
  </r>
  <r>
    <s v="ORD0745"/>
    <x v="56"/>
    <s v="Tamil Nadu"/>
    <x v="3"/>
    <x v="1"/>
    <x v="1"/>
    <n v="4"/>
    <n v="4323.67"/>
    <n v="0.01"/>
    <n v="17121.73"/>
    <s v="COD"/>
    <x v="0"/>
    <x v="1"/>
    <x v="0"/>
    <n v="17294.68"/>
    <x v="1"/>
    <x v="3"/>
    <x v="0"/>
  </r>
  <r>
    <s v="ORD0746"/>
    <x v="119"/>
    <s v="Tamil Nadu"/>
    <x v="3"/>
    <x v="1"/>
    <x v="1"/>
    <n v="1"/>
    <n v="4900.95"/>
    <n v="0.14000000000000001"/>
    <n v="4214.82"/>
    <s v="UPI"/>
    <x v="0"/>
    <x v="1"/>
    <x v="0"/>
    <n v="4900.95"/>
    <x v="1"/>
    <x v="1"/>
    <x v="0"/>
  </r>
  <r>
    <s v="ORD0747"/>
    <x v="132"/>
    <s v="Karnataka"/>
    <x v="0"/>
    <x v="0"/>
    <x v="4"/>
    <n v="2"/>
    <n v="388.68"/>
    <n v="0.24"/>
    <n v="590.79"/>
    <s v="Net Banking"/>
    <x v="1"/>
    <x v="2"/>
    <x v="0"/>
    <n v="777.36"/>
    <x v="3"/>
    <x v="5"/>
    <x v="1"/>
  </r>
  <r>
    <s v="ORD0748"/>
    <x v="165"/>
    <s v="Maharashtra"/>
    <x v="0"/>
    <x v="4"/>
    <x v="18"/>
    <n v="4"/>
    <n v="4475.75"/>
    <n v="0.06"/>
    <n v="16828.82"/>
    <s v="UPI"/>
    <x v="0"/>
    <x v="2"/>
    <x v="0"/>
    <n v="17903"/>
    <x v="5"/>
    <x v="2"/>
    <x v="0"/>
  </r>
  <r>
    <s v="ORD0749"/>
    <x v="73"/>
    <s v="Tamil Nadu"/>
    <x v="1"/>
    <x v="1"/>
    <x v="10"/>
    <n v="4"/>
    <n v="4751.8500000000004"/>
    <n v="7.0000000000000007E-2"/>
    <n v="17676.88"/>
    <s v="COD"/>
    <x v="1"/>
    <x v="1"/>
    <x v="0"/>
    <n v="19007.400000000001"/>
    <x v="0"/>
    <x v="2"/>
    <x v="0"/>
  </r>
  <r>
    <s v="ORD0750"/>
    <x v="101"/>
    <s v="Maharashtra"/>
    <x v="0"/>
    <x v="0"/>
    <x v="3"/>
    <n v="2"/>
    <n v="4577.3"/>
    <n v="0"/>
    <n v="9154.6"/>
    <s v="Net Banking"/>
    <x v="1"/>
    <x v="0"/>
    <x v="0"/>
    <n v="9154.6"/>
    <x v="5"/>
    <x v="5"/>
    <x v="0"/>
  </r>
  <r>
    <s v="ORD0751"/>
    <x v="154"/>
    <s v="Karnataka"/>
    <x v="3"/>
    <x v="1"/>
    <x v="10"/>
    <n v="4"/>
    <n v="511.15"/>
    <n v="0.16"/>
    <n v="1717.46"/>
    <s v="COD"/>
    <x v="2"/>
    <x v="2"/>
    <x v="0"/>
    <n v="2044.6"/>
    <x v="0"/>
    <x v="3"/>
    <x v="0"/>
  </r>
  <r>
    <s v="ORD0752"/>
    <x v="62"/>
    <s v="Gujarat"/>
    <x v="2"/>
    <x v="3"/>
    <x v="12"/>
    <n v="4"/>
    <n v="304.77999999999997"/>
    <n v="0.2"/>
    <n v="975.3"/>
    <s v="Net Banking"/>
    <x v="1"/>
    <x v="0"/>
    <x v="0"/>
    <n v="1219.1199999999999"/>
    <x v="1"/>
    <x v="4"/>
    <x v="1"/>
  </r>
  <r>
    <s v="ORD0753"/>
    <x v="45"/>
    <s v="Maharashtra"/>
    <x v="3"/>
    <x v="3"/>
    <x v="8"/>
    <n v="5"/>
    <n v="1329.36"/>
    <n v="0.17"/>
    <n v="5516.84"/>
    <s v="Net Banking"/>
    <x v="2"/>
    <x v="1"/>
    <x v="0"/>
    <n v="6646.7999999999993"/>
    <x v="0"/>
    <x v="4"/>
    <x v="0"/>
  </r>
  <r>
    <s v="ORD0754"/>
    <x v="94"/>
    <s v="Maharashtra"/>
    <x v="0"/>
    <x v="1"/>
    <x v="1"/>
    <n v="5"/>
    <n v="2859.1"/>
    <n v="0.08"/>
    <n v="13151.86"/>
    <s v="Debit Card"/>
    <x v="1"/>
    <x v="1"/>
    <x v="3"/>
    <n v="14295.5"/>
    <x v="4"/>
    <x v="0"/>
    <x v="0"/>
  </r>
  <r>
    <s v="ORD0755"/>
    <x v="83"/>
    <s v="Tamil Nadu"/>
    <x v="2"/>
    <x v="1"/>
    <x v="1"/>
    <n v="5"/>
    <n v="4791.34"/>
    <n v="0.08"/>
    <n v="22040.16"/>
    <s v="Debit Card"/>
    <x v="1"/>
    <x v="0"/>
    <x v="0"/>
    <n v="23956.7"/>
    <x v="5"/>
    <x v="5"/>
    <x v="0"/>
  </r>
  <r>
    <s v="ORD0756"/>
    <x v="113"/>
    <s v="Delhi"/>
    <x v="3"/>
    <x v="2"/>
    <x v="6"/>
    <n v="2"/>
    <n v="2353.02"/>
    <n v="0.15"/>
    <n v="4000.13"/>
    <s v="UPI"/>
    <x v="2"/>
    <x v="2"/>
    <x v="0"/>
    <n v="4706.04"/>
    <x v="5"/>
    <x v="4"/>
    <x v="0"/>
  </r>
  <r>
    <s v="ORD0757"/>
    <x v="143"/>
    <s v="Maharashtra"/>
    <x v="1"/>
    <x v="0"/>
    <x v="3"/>
    <n v="2"/>
    <n v="2124.5"/>
    <n v="0.22"/>
    <n v="3314.22"/>
    <s v="Credit Card"/>
    <x v="1"/>
    <x v="0"/>
    <x v="3"/>
    <n v="4249"/>
    <x v="4"/>
    <x v="5"/>
    <x v="0"/>
  </r>
  <r>
    <s v="ORD0758"/>
    <x v="143"/>
    <s v="Maharashtra"/>
    <x v="2"/>
    <x v="1"/>
    <x v="13"/>
    <n v="4"/>
    <n v="3394"/>
    <n v="0.09"/>
    <n v="12354.16"/>
    <s v="COD"/>
    <x v="0"/>
    <x v="1"/>
    <x v="0"/>
    <n v="13576"/>
    <x v="4"/>
    <x v="5"/>
    <x v="0"/>
  </r>
  <r>
    <s v="ORD0759"/>
    <x v="9"/>
    <s v="Tamil Nadu"/>
    <x v="2"/>
    <x v="0"/>
    <x v="0"/>
    <n v="4"/>
    <n v="145.88"/>
    <n v="0.19"/>
    <n v="472.65"/>
    <s v="UPI"/>
    <x v="0"/>
    <x v="1"/>
    <x v="0"/>
    <n v="583.52"/>
    <x v="0"/>
    <x v="0"/>
    <x v="1"/>
  </r>
  <r>
    <s v="ORD0760"/>
    <x v="39"/>
    <s v="Delhi"/>
    <x v="3"/>
    <x v="1"/>
    <x v="1"/>
    <n v="3"/>
    <n v="280.3"/>
    <n v="0.12"/>
    <n v="739.99"/>
    <s v="Debit Card"/>
    <x v="2"/>
    <x v="0"/>
    <x v="0"/>
    <n v="840.90000000000009"/>
    <x v="5"/>
    <x v="2"/>
    <x v="1"/>
  </r>
  <r>
    <s v="ORD0761"/>
    <x v="149"/>
    <s v="Karnataka"/>
    <x v="3"/>
    <x v="2"/>
    <x v="7"/>
    <n v="4"/>
    <n v="935.34"/>
    <n v="0.05"/>
    <n v="3554.29"/>
    <s v="COD"/>
    <x v="1"/>
    <x v="0"/>
    <x v="0"/>
    <n v="3741.36"/>
    <x v="4"/>
    <x v="4"/>
    <x v="0"/>
  </r>
  <r>
    <s v="ORD0762"/>
    <x v="153"/>
    <s v="Delhi"/>
    <x v="3"/>
    <x v="3"/>
    <x v="8"/>
    <n v="2"/>
    <n v="4416.92"/>
    <n v="0.18"/>
    <n v="7243.75"/>
    <s v="UPI"/>
    <x v="1"/>
    <x v="1"/>
    <x v="3"/>
    <n v="8833.84"/>
    <x v="1"/>
    <x v="4"/>
    <x v="0"/>
  </r>
  <r>
    <s v="ORD0763"/>
    <x v="177"/>
    <s v="Gujarat"/>
    <x v="2"/>
    <x v="0"/>
    <x v="2"/>
    <n v="4"/>
    <n v="3240.73"/>
    <n v="0.24"/>
    <n v="9851.82"/>
    <s v="Net Banking"/>
    <x v="0"/>
    <x v="2"/>
    <x v="0"/>
    <n v="12962.92"/>
    <x v="1"/>
    <x v="3"/>
    <x v="0"/>
  </r>
  <r>
    <s v="ORD0764"/>
    <x v="102"/>
    <s v="Maharashtra"/>
    <x v="3"/>
    <x v="2"/>
    <x v="6"/>
    <n v="4"/>
    <n v="1871.21"/>
    <n v="0.19"/>
    <n v="6062.72"/>
    <s v="COD"/>
    <x v="2"/>
    <x v="0"/>
    <x v="0"/>
    <n v="7484.84"/>
    <x v="5"/>
    <x v="3"/>
    <x v="0"/>
  </r>
  <r>
    <s v="ORD0765"/>
    <x v="177"/>
    <s v="Karnataka"/>
    <x v="3"/>
    <x v="2"/>
    <x v="5"/>
    <n v="2"/>
    <n v="1740.06"/>
    <n v="0.22"/>
    <n v="2714.49"/>
    <s v="Credit Card"/>
    <x v="2"/>
    <x v="2"/>
    <x v="2"/>
    <n v="3480.12"/>
    <x v="1"/>
    <x v="3"/>
    <x v="0"/>
  </r>
  <r>
    <s v="ORD0766"/>
    <x v="135"/>
    <s v="Delhi"/>
    <x v="0"/>
    <x v="2"/>
    <x v="7"/>
    <n v="3"/>
    <n v="1622.95"/>
    <n v="0.16"/>
    <n v="4089.83"/>
    <s v="Debit Card"/>
    <x v="0"/>
    <x v="2"/>
    <x v="0"/>
    <n v="4868.8500000000004"/>
    <x v="6"/>
    <x v="0"/>
    <x v="0"/>
  </r>
  <r>
    <s v="ORD0767"/>
    <x v="139"/>
    <s v="Karnataka"/>
    <x v="2"/>
    <x v="0"/>
    <x v="2"/>
    <n v="4"/>
    <n v="1267.96"/>
    <n v="0.09"/>
    <n v="4615.37"/>
    <s v="Debit Card"/>
    <x v="0"/>
    <x v="2"/>
    <x v="0"/>
    <n v="5071.84"/>
    <x v="2"/>
    <x v="2"/>
    <x v="0"/>
  </r>
  <r>
    <s v="ORD0768"/>
    <x v="94"/>
    <s v="Gujarat"/>
    <x v="0"/>
    <x v="3"/>
    <x v="8"/>
    <n v="1"/>
    <n v="3164.21"/>
    <n v="0.14000000000000001"/>
    <n v="2721.22"/>
    <s v="COD"/>
    <x v="2"/>
    <x v="2"/>
    <x v="1"/>
    <n v="3164.21"/>
    <x v="4"/>
    <x v="0"/>
    <x v="0"/>
  </r>
  <r>
    <s v="ORD0769"/>
    <x v="12"/>
    <s v="Maharashtra"/>
    <x v="0"/>
    <x v="2"/>
    <x v="6"/>
    <n v="4"/>
    <n v="368.47"/>
    <n v="0.15"/>
    <n v="1252.8"/>
    <s v="Debit Card"/>
    <x v="0"/>
    <x v="1"/>
    <x v="0"/>
    <n v="1473.88"/>
    <x v="6"/>
    <x v="1"/>
    <x v="0"/>
  </r>
  <r>
    <s v="ORD0770"/>
    <x v="165"/>
    <s v="Karnataka"/>
    <x v="0"/>
    <x v="0"/>
    <x v="0"/>
    <n v="1"/>
    <n v="3124.78"/>
    <n v="0.1"/>
    <n v="2812.3"/>
    <s v="Net Banking"/>
    <x v="2"/>
    <x v="0"/>
    <x v="0"/>
    <n v="3124.78"/>
    <x v="5"/>
    <x v="2"/>
    <x v="0"/>
  </r>
  <r>
    <s v="ORD0771"/>
    <x v="144"/>
    <s v="Gujarat"/>
    <x v="1"/>
    <x v="2"/>
    <x v="5"/>
    <n v="3"/>
    <n v="3289.51"/>
    <n v="0.17"/>
    <n v="8190.88"/>
    <s v="COD"/>
    <x v="0"/>
    <x v="2"/>
    <x v="0"/>
    <n v="9868.5300000000007"/>
    <x v="6"/>
    <x v="4"/>
    <x v="0"/>
  </r>
  <r>
    <s v="ORD0772"/>
    <x v="65"/>
    <s v="Maharashtra"/>
    <x v="3"/>
    <x v="1"/>
    <x v="10"/>
    <n v="5"/>
    <n v="3595.17"/>
    <n v="0.15"/>
    <n v="15279.47"/>
    <s v="Credit Card"/>
    <x v="0"/>
    <x v="2"/>
    <x v="0"/>
    <n v="17975.849999999999"/>
    <x v="6"/>
    <x v="0"/>
    <x v="0"/>
  </r>
  <r>
    <s v="ORD0773"/>
    <x v="57"/>
    <s v="Tamil Nadu"/>
    <x v="0"/>
    <x v="4"/>
    <x v="17"/>
    <n v="5"/>
    <n v="2278.66"/>
    <n v="0.06"/>
    <n v="10709.7"/>
    <s v="Net Banking"/>
    <x v="1"/>
    <x v="2"/>
    <x v="0"/>
    <n v="11393.3"/>
    <x v="3"/>
    <x v="0"/>
    <x v="0"/>
  </r>
  <r>
    <s v="ORD0774"/>
    <x v="58"/>
    <s v="Gujarat"/>
    <x v="1"/>
    <x v="1"/>
    <x v="14"/>
    <n v="5"/>
    <n v="4437.59"/>
    <n v="0.19"/>
    <n v="17972.240000000002"/>
    <s v="UPI"/>
    <x v="2"/>
    <x v="2"/>
    <x v="0"/>
    <n v="22187.95"/>
    <x v="4"/>
    <x v="0"/>
    <x v="0"/>
  </r>
  <r>
    <s v="ORD0775"/>
    <x v="41"/>
    <s v="Karnataka"/>
    <x v="0"/>
    <x v="4"/>
    <x v="17"/>
    <n v="5"/>
    <n v="3322.62"/>
    <n v="0.04"/>
    <n v="15948.58"/>
    <s v="Credit Card"/>
    <x v="1"/>
    <x v="2"/>
    <x v="0"/>
    <n v="16613.099999999999"/>
    <x v="6"/>
    <x v="5"/>
    <x v="0"/>
  </r>
  <r>
    <s v="ORD0776"/>
    <x v="17"/>
    <s v="Delhi"/>
    <x v="2"/>
    <x v="3"/>
    <x v="12"/>
    <n v="2"/>
    <n v="3372.51"/>
    <n v="0.17"/>
    <n v="5598.37"/>
    <s v="Credit Card"/>
    <x v="2"/>
    <x v="1"/>
    <x v="1"/>
    <n v="6745.02"/>
    <x v="2"/>
    <x v="1"/>
    <x v="0"/>
  </r>
  <r>
    <s v="ORD0777"/>
    <x v="136"/>
    <s v="Gujarat"/>
    <x v="1"/>
    <x v="1"/>
    <x v="1"/>
    <n v="3"/>
    <n v="895.17"/>
    <n v="0.11"/>
    <n v="2390.1"/>
    <s v="UPI"/>
    <x v="2"/>
    <x v="2"/>
    <x v="0"/>
    <n v="2685.5099999999998"/>
    <x v="2"/>
    <x v="3"/>
    <x v="0"/>
  </r>
  <r>
    <s v="ORD0778"/>
    <x v="99"/>
    <s v="Delhi"/>
    <x v="1"/>
    <x v="0"/>
    <x v="4"/>
    <n v="2"/>
    <n v="1271.19"/>
    <n v="0.18"/>
    <n v="2084.75"/>
    <s v="Net Banking"/>
    <x v="1"/>
    <x v="1"/>
    <x v="0"/>
    <n v="2542.38"/>
    <x v="0"/>
    <x v="0"/>
    <x v="0"/>
  </r>
  <r>
    <s v="ORD0779"/>
    <x v="19"/>
    <s v="Karnataka"/>
    <x v="1"/>
    <x v="3"/>
    <x v="8"/>
    <n v="3"/>
    <n v="247.09"/>
    <n v="0.03"/>
    <n v="719.03"/>
    <s v="Credit Card"/>
    <x v="0"/>
    <x v="1"/>
    <x v="0"/>
    <n v="741.27"/>
    <x v="3"/>
    <x v="2"/>
    <x v="1"/>
  </r>
  <r>
    <s v="ORD0780"/>
    <x v="74"/>
    <s v="Maharashtra"/>
    <x v="3"/>
    <x v="1"/>
    <x v="1"/>
    <n v="2"/>
    <n v="1492.09"/>
    <n v="0.05"/>
    <n v="2834.97"/>
    <s v="Credit Card"/>
    <x v="0"/>
    <x v="1"/>
    <x v="0"/>
    <n v="2984.18"/>
    <x v="2"/>
    <x v="0"/>
    <x v="0"/>
  </r>
  <r>
    <s v="ORD0781"/>
    <x v="142"/>
    <s v="Delhi"/>
    <x v="3"/>
    <x v="1"/>
    <x v="10"/>
    <n v="2"/>
    <n v="4230.12"/>
    <n v="0.23"/>
    <n v="6514.38"/>
    <s v="Debit Card"/>
    <x v="0"/>
    <x v="2"/>
    <x v="0"/>
    <n v="8460.24"/>
    <x v="2"/>
    <x v="5"/>
    <x v="0"/>
  </r>
  <r>
    <s v="ORD0782"/>
    <x v="6"/>
    <s v="Delhi"/>
    <x v="1"/>
    <x v="0"/>
    <x v="2"/>
    <n v="2"/>
    <n v="1911.24"/>
    <n v="0.09"/>
    <n v="3478.46"/>
    <s v="UPI"/>
    <x v="2"/>
    <x v="2"/>
    <x v="1"/>
    <n v="3822.48"/>
    <x v="4"/>
    <x v="2"/>
    <x v="0"/>
  </r>
  <r>
    <s v="ORD0783"/>
    <x v="33"/>
    <s v="Delhi"/>
    <x v="1"/>
    <x v="0"/>
    <x v="0"/>
    <n v="2"/>
    <n v="2709.52"/>
    <n v="0.17"/>
    <n v="4497.8"/>
    <s v="Debit Card"/>
    <x v="0"/>
    <x v="1"/>
    <x v="2"/>
    <n v="5419.04"/>
    <x v="6"/>
    <x v="3"/>
    <x v="0"/>
  </r>
  <r>
    <s v="ORD0784"/>
    <x v="23"/>
    <s v="Gujarat"/>
    <x v="0"/>
    <x v="3"/>
    <x v="8"/>
    <n v="5"/>
    <n v="1541.5"/>
    <n v="0.04"/>
    <n v="7399.2"/>
    <s v="COD"/>
    <x v="0"/>
    <x v="2"/>
    <x v="0"/>
    <n v="7707.5"/>
    <x v="3"/>
    <x v="2"/>
    <x v="0"/>
  </r>
  <r>
    <s v="ORD0785"/>
    <x v="176"/>
    <s v="Gujarat"/>
    <x v="0"/>
    <x v="4"/>
    <x v="16"/>
    <n v="2"/>
    <n v="3663.76"/>
    <n v="0.2"/>
    <n v="5862.02"/>
    <s v="COD"/>
    <x v="2"/>
    <x v="0"/>
    <x v="0"/>
    <n v="7327.52"/>
    <x v="1"/>
    <x v="1"/>
    <x v="0"/>
  </r>
  <r>
    <s v="ORD0786"/>
    <x v="2"/>
    <s v="Tamil Nadu"/>
    <x v="1"/>
    <x v="2"/>
    <x v="6"/>
    <n v="2"/>
    <n v="1676.93"/>
    <n v="0.09"/>
    <n v="3052.01"/>
    <s v="COD"/>
    <x v="2"/>
    <x v="0"/>
    <x v="0"/>
    <n v="3353.86"/>
    <x v="2"/>
    <x v="1"/>
    <x v="0"/>
  </r>
  <r>
    <s v="ORD0787"/>
    <x v="47"/>
    <s v="Karnataka"/>
    <x v="1"/>
    <x v="2"/>
    <x v="5"/>
    <n v="5"/>
    <n v="3283.71"/>
    <n v="0.05"/>
    <n v="15597.62"/>
    <s v="COD"/>
    <x v="2"/>
    <x v="2"/>
    <x v="1"/>
    <n v="16418.55"/>
    <x v="4"/>
    <x v="1"/>
    <x v="0"/>
  </r>
  <r>
    <s v="ORD0788"/>
    <x v="5"/>
    <s v="Karnataka"/>
    <x v="0"/>
    <x v="2"/>
    <x v="11"/>
    <n v="5"/>
    <n v="870.33"/>
    <n v="0.21"/>
    <n v="3437.8"/>
    <s v="Net Banking"/>
    <x v="2"/>
    <x v="1"/>
    <x v="0"/>
    <n v="4351.6500000000005"/>
    <x v="0"/>
    <x v="2"/>
    <x v="0"/>
  </r>
  <r>
    <s v="ORD0789"/>
    <x v="137"/>
    <s v="Tamil Nadu"/>
    <x v="2"/>
    <x v="0"/>
    <x v="2"/>
    <n v="2"/>
    <n v="2961.41"/>
    <n v="0.12"/>
    <n v="5212.08"/>
    <s v="COD"/>
    <x v="2"/>
    <x v="0"/>
    <x v="0"/>
    <n v="5922.82"/>
    <x v="4"/>
    <x v="4"/>
    <x v="0"/>
  </r>
  <r>
    <s v="ORD0790"/>
    <x v="78"/>
    <s v="Tamil Nadu"/>
    <x v="3"/>
    <x v="2"/>
    <x v="5"/>
    <n v="3"/>
    <n v="1437.8"/>
    <n v="0.01"/>
    <n v="4270.2700000000004"/>
    <s v="UPI"/>
    <x v="2"/>
    <x v="1"/>
    <x v="0"/>
    <n v="4313.3999999999996"/>
    <x v="5"/>
    <x v="0"/>
    <x v="0"/>
  </r>
  <r>
    <s v="ORD0791"/>
    <x v="166"/>
    <s v="Maharashtra"/>
    <x v="3"/>
    <x v="0"/>
    <x v="2"/>
    <n v="5"/>
    <n v="2778.59"/>
    <n v="0.02"/>
    <n v="13615.09"/>
    <s v="UPI"/>
    <x v="1"/>
    <x v="1"/>
    <x v="0"/>
    <n v="13892.95"/>
    <x v="2"/>
    <x v="3"/>
    <x v="0"/>
  </r>
  <r>
    <s v="ORD0792"/>
    <x v="85"/>
    <s v="Maharashtra"/>
    <x v="2"/>
    <x v="0"/>
    <x v="2"/>
    <n v="3"/>
    <n v="1063.57"/>
    <n v="0.08"/>
    <n v="2935.45"/>
    <s v="COD"/>
    <x v="0"/>
    <x v="1"/>
    <x v="0"/>
    <n v="3190.71"/>
    <x v="6"/>
    <x v="3"/>
    <x v="0"/>
  </r>
  <r>
    <s v="ORD0793"/>
    <x v="160"/>
    <s v="Gujarat"/>
    <x v="1"/>
    <x v="1"/>
    <x v="10"/>
    <n v="3"/>
    <n v="1481.04"/>
    <n v="0.09"/>
    <n v="4043.24"/>
    <s v="UPI"/>
    <x v="0"/>
    <x v="1"/>
    <x v="3"/>
    <n v="4443.12"/>
    <x v="1"/>
    <x v="1"/>
    <x v="0"/>
  </r>
  <r>
    <s v="ORD0794"/>
    <x v="69"/>
    <s v="Gujarat"/>
    <x v="3"/>
    <x v="0"/>
    <x v="3"/>
    <n v="2"/>
    <n v="1211.94"/>
    <n v="0.19"/>
    <n v="1963.34"/>
    <s v="Debit Card"/>
    <x v="2"/>
    <x v="1"/>
    <x v="0"/>
    <n v="2423.88"/>
    <x v="2"/>
    <x v="4"/>
    <x v="0"/>
  </r>
  <r>
    <s v="ORD0795"/>
    <x v="178"/>
    <s v="Tamil Nadu"/>
    <x v="1"/>
    <x v="1"/>
    <x v="14"/>
    <n v="3"/>
    <n v="4244.43"/>
    <n v="0.11"/>
    <n v="11332.63"/>
    <s v="UPI"/>
    <x v="0"/>
    <x v="0"/>
    <x v="0"/>
    <n v="12733.29"/>
    <x v="3"/>
    <x v="5"/>
    <x v="0"/>
  </r>
  <r>
    <s v="ORD0796"/>
    <x v="168"/>
    <s v="Karnataka"/>
    <x v="2"/>
    <x v="2"/>
    <x v="7"/>
    <n v="2"/>
    <n v="1597.3"/>
    <n v="0.18"/>
    <n v="2619.5700000000002"/>
    <s v="Debit Card"/>
    <x v="1"/>
    <x v="1"/>
    <x v="0"/>
    <n v="3194.6"/>
    <x v="2"/>
    <x v="3"/>
    <x v="0"/>
  </r>
  <r>
    <s v="ORD0797"/>
    <x v="57"/>
    <s v="Tamil Nadu"/>
    <x v="3"/>
    <x v="2"/>
    <x v="5"/>
    <n v="3"/>
    <n v="2976.08"/>
    <n v="0.14000000000000001"/>
    <n v="7678.29"/>
    <s v="COD"/>
    <x v="2"/>
    <x v="2"/>
    <x v="0"/>
    <n v="8928.24"/>
    <x v="3"/>
    <x v="0"/>
    <x v="0"/>
  </r>
  <r>
    <s v="ORD0798"/>
    <x v="152"/>
    <s v="Tamil Nadu"/>
    <x v="2"/>
    <x v="4"/>
    <x v="18"/>
    <n v="1"/>
    <n v="2719"/>
    <n v="0.05"/>
    <n v="2583.0500000000002"/>
    <s v="Debit Card"/>
    <x v="2"/>
    <x v="2"/>
    <x v="0"/>
    <n v="2719"/>
    <x v="5"/>
    <x v="4"/>
    <x v="0"/>
  </r>
  <r>
    <s v="ORD0799"/>
    <x v="63"/>
    <s v="Maharashtra"/>
    <x v="1"/>
    <x v="2"/>
    <x v="6"/>
    <n v="5"/>
    <n v="970.42"/>
    <n v="0.21"/>
    <n v="3833.16"/>
    <s v="Debit Card"/>
    <x v="0"/>
    <x v="0"/>
    <x v="0"/>
    <n v="4852.0999999999995"/>
    <x v="6"/>
    <x v="2"/>
    <x v="0"/>
  </r>
  <r>
    <s v="ORD0800"/>
    <x v="24"/>
    <s v="Tamil Nadu"/>
    <x v="0"/>
    <x v="3"/>
    <x v="8"/>
    <n v="2"/>
    <n v="1526.42"/>
    <n v="0.13"/>
    <n v="2655.97"/>
    <s v="UPI"/>
    <x v="0"/>
    <x v="1"/>
    <x v="0"/>
    <n v="3052.84"/>
    <x v="5"/>
    <x v="0"/>
    <x v="0"/>
  </r>
  <r>
    <s v="ORD0801"/>
    <x v="35"/>
    <s v="Karnataka"/>
    <x v="1"/>
    <x v="0"/>
    <x v="4"/>
    <n v="2"/>
    <n v="4949.0200000000004"/>
    <n v="0.03"/>
    <n v="9601.1"/>
    <s v="Net Banking"/>
    <x v="2"/>
    <x v="1"/>
    <x v="0"/>
    <n v="9898.0400000000009"/>
    <x v="6"/>
    <x v="0"/>
    <x v="0"/>
  </r>
  <r>
    <s v="ORD0802"/>
    <x v="112"/>
    <s v="Delhi"/>
    <x v="2"/>
    <x v="2"/>
    <x v="11"/>
    <n v="4"/>
    <n v="4107.6899999999996"/>
    <n v="0.17"/>
    <n v="13637.53"/>
    <s v="Debit Card"/>
    <x v="2"/>
    <x v="2"/>
    <x v="0"/>
    <n v="16430.759999999998"/>
    <x v="2"/>
    <x v="5"/>
    <x v="0"/>
  </r>
  <r>
    <s v="ORD0803"/>
    <x v="104"/>
    <s v="Karnataka"/>
    <x v="3"/>
    <x v="1"/>
    <x v="14"/>
    <n v="2"/>
    <n v="2284.08"/>
    <n v="0.21"/>
    <n v="3608.85"/>
    <s v="Debit Card"/>
    <x v="0"/>
    <x v="0"/>
    <x v="0"/>
    <n v="4568.16"/>
    <x v="2"/>
    <x v="4"/>
    <x v="0"/>
  </r>
  <r>
    <s v="ORD0804"/>
    <x v="89"/>
    <s v="Tamil Nadu"/>
    <x v="2"/>
    <x v="1"/>
    <x v="14"/>
    <n v="1"/>
    <n v="3712.72"/>
    <n v="7.0000000000000007E-2"/>
    <n v="3452.83"/>
    <s v="Net Banking"/>
    <x v="1"/>
    <x v="1"/>
    <x v="0"/>
    <n v="3712.72"/>
    <x v="1"/>
    <x v="5"/>
    <x v="0"/>
  </r>
  <r>
    <s v="ORD0805"/>
    <x v="5"/>
    <s v="Gujarat"/>
    <x v="1"/>
    <x v="4"/>
    <x v="18"/>
    <n v="2"/>
    <n v="979.93"/>
    <n v="0.15"/>
    <n v="1665.88"/>
    <s v="Debit Card"/>
    <x v="2"/>
    <x v="1"/>
    <x v="0"/>
    <n v="1959.86"/>
    <x v="0"/>
    <x v="2"/>
    <x v="0"/>
  </r>
  <r>
    <s v="ORD0806"/>
    <x v="176"/>
    <s v="Tamil Nadu"/>
    <x v="0"/>
    <x v="3"/>
    <x v="8"/>
    <n v="2"/>
    <n v="1441.5"/>
    <n v="0.16"/>
    <n v="2421.7199999999998"/>
    <s v="Credit Card"/>
    <x v="0"/>
    <x v="1"/>
    <x v="0"/>
    <n v="2883"/>
    <x v="1"/>
    <x v="1"/>
    <x v="0"/>
  </r>
  <r>
    <s v="ORD0807"/>
    <x v="94"/>
    <s v="Tamil Nadu"/>
    <x v="1"/>
    <x v="3"/>
    <x v="15"/>
    <n v="3"/>
    <n v="475.01"/>
    <n v="0.03"/>
    <n v="1382.28"/>
    <s v="COD"/>
    <x v="0"/>
    <x v="1"/>
    <x v="0"/>
    <n v="1425.03"/>
    <x v="4"/>
    <x v="0"/>
    <x v="0"/>
  </r>
  <r>
    <s v="ORD0808"/>
    <x v="82"/>
    <s v="Gujarat"/>
    <x v="1"/>
    <x v="4"/>
    <x v="16"/>
    <n v="1"/>
    <n v="458.66"/>
    <n v="0.17"/>
    <n v="380.69"/>
    <s v="Credit Card"/>
    <x v="2"/>
    <x v="0"/>
    <x v="0"/>
    <n v="458.66"/>
    <x v="1"/>
    <x v="0"/>
    <x v="1"/>
  </r>
  <r>
    <s v="ORD0809"/>
    <x v="31"/>
    <s v="Tamil Nadu"/>
    <x v="1"/>
    <x v="2"/>
    <x v="11"/>
    <n v="3"/>
    <n v="661.95"/>
    <n v="0.23"/>
    <n v="1529.1"/>
    <s v="Credit Card"/>
    <x v="0"/>
    <x v="1"/>
    <x v="0"/>
    <n v="1985.8500000000001"/>
    <x v="4"/>
    <x v="1"/>
    <x v="0"/>
  </r>
  <r>
    <s v="ORD0810"/>
    <x v="10"/>
    <s v="Gujarat"/>
    <x v="3"/>
    <x v="0"/>
    <x v="0"/>
    <n v="4"/>
    <n v="787.25"/>
    <n v="0.21"/>
    <n v="2487.71"/>
    <s v="Debit Card"/>
    <x v="1"/>
    <x v="2"/>
    <x v="3"/>
    <n v="3149"/>
    <x v="0"/>
    <x v="3"/>
    <x v="0"/>
  </r>
  <r>
    <s v="ORD0811"/>
    <x v="99"/>
    <s v="Delhi"/>
    <x v="0"/>
    <x v="1"/>
    <x v="13"/>
    <n v="5"/>
    <n v="3733.09"/>
    <n v="0.04"/>
    <n v="17918.830000000002"/>
    <s v="UPI"/>
    <x v="0"/>
    <x v="0"/>
    <x v="0"/>
    <n v="18665.45"/>
    <x v="0"/>
    <x v="0"/>
    <x v="0"/>
  </r>
  <r>
    <s v="ORD0812"/>
    <x v="60"/>
    <s v="Karnataka"/>
    <x v="0"/>
    <x v="3"/>
    <x v="15"/>
    <n v="1"/>
    <n v="4474.17"/>
    <n v="0.13"/>
    <n v="3892.53"/>
    <s v="Debit Card"/>
    <x v="0"/>
    <x v="1"/>
    <x v="3"/>
    <n v="4474.17"/>
    <x v="5"/>
    <x v="3"/>
    <x v="0"/>
  </r>
  <r>
    <s v="ORD0813"/>
    <x v="85"/>
    <s v="Tamil Nadu"/>
    <x v="3"/>
    <x v="1"/>
    <x v="13"/>
    <n v="1"/>
    <n v="3031.21"/>
    <n v="0.01"/>
    <n v="3000.9"/>
    <s v="UPI"/>
    <x v="2"/>
    <x v="1"/>
    <x v="1"/>
    <n v="3031.21"/>
    <x v="6"/>
    <x v="3"/>
    <x v="0"/>
  </r>
  <r>
    <s v="ORD0814"/>
    <x v="59"/>
    <s v="Delhi"/>
    <x v="0"/>
    <x v="4"/>
    <x v="16"/>
    <n v="4"/>
    <n v="236.93"/>
    <n v="0"/>
    <n v="947.72"/>
    <s v="Credit Card"/>
    <x v="0"/>
    <x v="2"/>
    <x v="0"/>
    <n v="947.72"/>
    <x v="3"/>
    <x v="3"/>
    <x v="1"/>
  </r>
  <r>
    <s v="ORD0815"/>
    <x v="123"/>
    <s v="Delhi"/>
    <x v="3"/>
    <x v="0"/>
    <x v="4"/>
    <n v="5"/>
    <n v="627.65"/>
    <n v="0.08"/>
    <n v="2887.19"/>
    <s v="Credit Card"/>
    <x v="2"/>
    <x v="0"/>
    <x v="0"/>
    <n v="3138.25"/>
    <x v="5"/>
    <x v="1"/>
    <x v="0"/>
  </r>
  <r>
    <s v="ORD0816"/>
    <x v="127"/>
    <s v="Tamil Nadu"/>
    <x v="1"/>
    <x v="1"/>
    <x v="14"/>
    <n v="2"/>
    <n v="618.84"/>
    <n v="0.08"/>
    <n v="1138.67"/>
    <s v="Credit Card"/>
    <x v="0"/>
    <x v="2"/>
    <x v="0"/>
    <n v="1237.68"/>
    <x v="2"/>
    <x v="3"/>
    <x v="0"/>
  </r>
  <r>
    <s v="ORD0817"/>
    <x v="36"/>
    <s v="Delhi"/>
    <x v="2"/>
    <x v="0"/>
    <x v="3"/>
    <n v="1"/>
    <n v="3324.01"/>
    <n v="7.0000000000000007E-2"/>
    <n v="3091.33"/>
    <s v="Net Banking"/>
    <x v="0"/>
    <x v="0"/>
    <x v="0"/>
    <n v="3324.01"/>
    <x v="0"/>
    <x v="5"/>
    <x v="0"/>
  </r>
  <r>
    <s v="ORD0818"/>
    <x v="18"/>
    <s v="Karnataka"/>
    <x v="3"/>
    <x v="3"/>
    <x v="15"/>
    <n v="1"/>
    <n v="3591.4"/>
    <n v="0.2"/>
    <n v="2873.12"/>
    <s v="COD"/>
    <x v="2"/>
    <x v="0"/>
    <x v="0"/>
    <n v="3591.4"/>
    <x v="1"/>
    <x v="2"/>
    <x v="0"/>
  </r>
  <r>
    <s v="ORD0819"/>
    <x v="122"/>
    <s v="Tamil Nadu"/>
    <x v="1"/>
    <x v="0"/>
    <x v="2"/>
    <n v="2"/>
    <n v="3213.23"/>
    <n v="0.22"/>
    <n v="5012.6400000000003"/>
    <s v="Debit Card"/>
    <x v="2"/>
    <x v="1"/>
    <x v="0"/>
    <n v="6426.46"/>
    <x v="5"/>
    <x v="2"/>
    <x v="0"/>
  </r>
  <r>
    <s v="ORD0820"/>
    <x v="33"/>
    <s v="Tamil Nadu"/>
    <x v="3"/>
    <x v="0"/>
    <x v="3"/>
    <n v="2"/>
    <n v="2566.7600000000002"/>
    <n v="0.18"/>
    <n v="4209.49"/>
    <s v="COD"/>
    <x v="1"/>
    <x v="2"/>
    <x v="0"/>
    <n v="5133.5200000000004"/>
    <x v="6"/>
    <x v="3"/>
    <x v="0"/>
  </r>
  <r>
    <s v="ORD0821"/>
    <x v="35"/>
    <s v="Delhi"/>
    <x v="2"/>
    <x v="0"/>
    <x v="2"/>
    <n v="5"/>
    <n v="489.01"/>
    <n v="0.03"/>
    <n v="2371.6999999999998"/>
    <s v="Net Banking"/>
    <x v="0"/>
    <x v="1"/>
    <x v="0"/>
    <n v="2445.0500000000002"/>
    <x v="6"/>
    <x v="0"/>
    <x v="0"/>
  </r>
  <r>
    <s v="ORD0822"/>
    <x v="144"/>
    <s v="Maharashtra"/>
    <x v="3"/>
    <x v="2"/>
    <x v="11"/>
    <n v="5"/>
    <n v="4943.8999999999996"/>
    <n v="0.11"/>
    <n v="22000.35"/>
    <s v="Debit Card"/>
    <x v="1"/>
    <x v="1"/>
    <x v="0"/>
    <n v="24719.5"/>
    <x v="6"/>
    <x v="4"/>
    <x v="0"/>
  </r>
  <r>
    <s v="ORD0823"/>
    <x v="113"/>
    <s v="Karnataka"/>
    <x v="3"/>
    <x v="0"/>
    <x v="3"/>
    <n v="3"/>
    <n v="1779.37"/>
    <n v="0.05"/>
    <n v="5071.2"/>
    <s v="Credit Card"/>
    <x v="0"/>
    <x v="2"/>
    <x v="3"/>
    <n v="5338.11"/>
    <x v="5"/>
    <x v="4"/>
    <x v="0"/>
  </r>
  <r>
    <s v="ORD0824"/>
    <x v="107"/>
    <s v="Gujarat"/>
    <x v="0"/>
    <x v="3"/>
    <x v="15"/>
    <n v="4"/>
    <n v="3185.93"/>
    <n v="0.02"/>
    <n v="12488.85"/>
    <s v="UPI"/>
    <x v="0"/>
    <x v="1"/>
    <x v="2"/>
    <n v="12743.72"/>
    <x v="6"/>
    <x v="1"/>
    <x v="0"/>
  </r>
  <r>
    <s v="ORD0825"/>
    <x v="22"/>
    <s v="Delhi"/>
    <x v="3"/>
    <x v="0"/>
    <x v="4"/>
    <n v="2"/>
    <n v="3003.89"/>
    <n v="0.21"/>
    <n v="4746.1499999999996"/>
    <s v="Debit Card"/>
    <x v="0"/>
    <x v="2"/>
    <x v="0"/>
    <n v="6007.78"/>
    <x v="3"/>
    <x v="4"/>
    <x v="0"/>
  </r>
  <r>
    <s v="ORD0826"/>
    <x v="115"/>
    <s v="Karnataka"/>
    <x v="2"/>
    <x v="2"/>
    <x v="5"/>
    <n v="2"/>
    <n v="1300.1300000000001"/>
    <n v="0.04"/>
    <n v="2496.25"/>
    <s v="Debit Card"/>
    <x v="1"/>
    <x v="2"/>
    <x v="0"/>
    <n v="2600.2600000000002"/>
    <x v="5"/>
    <x v="2"/>
    <x v="0"/>
  </r>
  <r>
    <s v="ORD0827"/>
    <x v="128"/>
    <s v="Karnataka"/>
    <x v="1"/>
    <x v="2"/>
    <x v="11"/>
    <n v="3"/>
    <n v="2051.4"/>
    <n v="0.04"/>
    <n v="5908.03"/>
    <s v="Net Banking"/>
    <x v="0"/>
    <x v="1"/>
    <x v="0"/>
    <n v="6154.2000000000007"/>
    <x v="3"/>
    <x v="3"/>
    <x v="0"/>
  </r>
  <r>
    <s v="ORD0828"/>
    <x v="44"/>
    <s v="Tamil Nadu"/>
    <x v="3"/>
    <x v="2"/>
    <x v="11"/>
    <n v="4"/>
    <n v="4284.8100000000004"/>
    <n v="0.19"/>
    <n v="13882.78"/>
    <s v="Credit Card"/>
    <x v="2"/>
    <x v="1"/>
    <x v="0"/>
    <n v="17139.240000000002"/>
    <x v="3"/>
    <x v="3"/>
    <x v="0"/>
  </r>
  <r>
    <s v="ORD0829"/>
    <x v="145"/>
    <s v="Tamil Nadu"/>
    <x v="0"/>
    <x v="3"/>
    <x v="9"/>
    <n v="4"/>
    <n v="1487.81"/>
    <n v="0.14000000000000001"/>
    <n v="5118.07"/>
    <s v="Net Banking"/>
    <x v="2"/>
    <x v="1"/>
    <x v="0"/>
    <n v="5951.24"/>
    <x v="6"/>
    <x v="1"/>
    <x v="0"/>
  </r>
  <r>
    <s v="ORD0830"/>
    <x v="69"/>
    <s v="Delhi"/>
    <x v="1"/>
    <x v="2"/>
    <x v="11"/>
    <n v="1"/>
    <n v="4322.1099999999997"/>
    <n v="0.18"/>
    <n v="3544.13"/>
    <s v="Debit Card"/>
    <x v="0"/>
    <x v="1"/>
    <x v="0"/>
    <n v="4322.1099999999997"/>
    <x v="2"/>
    <x v="4"/>
    <x v="0"/>
  </r>
  <r>
    <s v="ORD0831"/>
    <x v="151"/>
    <s v="Karnataka"/>
    <x v="0"/>
    <x v="2"/>
    <x v="5"/>
    <n v="3"/>
    <n v="3241.14"/>
    <n v="0.15"/>
    <n v="8264.91"/>
    <s v="Net Banking"/>
    <x v="2"/>
    <x v="1"/>
    <x v="2"/>
    <n v="9723.42"/>
    <x v="2"/>
    <x v="1"/>
    <x v="0"/>
  </r>
  <r>
    <s v="ORD0832"/>
    <x v="158"/>
    <s v="Gujarat"/>
    <x v="2"/>
    <x v="0"/>
    <x v="3"/>
    <n v="4"/>
    <n v="4789.7700000000004"/>
    <n v="0.19"/>
    <n v="15518.85"/>
    <s v="Debit Card"/>
    <x v="0"/>
    <x v="0"/>
    <x v="0"/>
    <n v="19159.080000000002"/>
    <x v="4"/>
    <x v="3"/>
    <x v="0"/>
  </r>
  <r>
    <s v="ORD0833"/>
    <x v="113"/>
    <s v="Maharashtra"/>
    <x v="0"/>
    <x v="2"/>
    <x v="6"/>
    <n v="2"/>
    <n v="1287.53"/>
    <n v="0.01"/>
    <n v="2549.31"/>
    <s v="Net Banking"/>
    <x v="2"/>
    <x v="1"/>
    <x v="0"/>
    <n v="2575.06"/>
    <x v="5"/>
    <x v="4"/>
    <x v="0"/>
  </r>
  <r>
    <s v="ORD0834"/>
    <x v="150"/>
    <s v="Gujarat"/>
    <x v="3"/>
    <x v="3"/>
    <x v="9"/>
    <n v="2"/>
    <n v="1346.01"/>
    <n v="0.15"/>
    <n v="2288.2199999999998"/>
    <s v="Net Banking"/>
    <x v="1"/>
    <x v="0"/>
    <x v="0"/>
    <n v="2692.02"/>
    <x v="3"/>
    <x v="0"/>
    <x v="0"/>
  </r>
  <r>
    <s v="ORD0835"/>
    <x v="80"/>
    <s v="Tamil Nadu"/>
    <x v="1"/>
    <x v="0"/>
    <x v="3"/>
    <n v="5"/>
    <n v="4558.75"/>
    <n v="0.22"/>
    <n v="17779.12"/>
    <s v="COD"/>
    <x v="0"/>
    <x v="2"/>
    <x v="0"/>
    <n v="22793.75"/>
    <x v="0"/>
    <x v="4"/>
    <x v="0"/>
  </r>
  <r>
    <s v="ORD0836"/>
    <x v="22"/>
    <s v="Gujarat"/>
    <x v="0"/>
    <x v="4"/>
    <x v="18"/>
    <n v="4"/>
    <n v="3787.07"/>
    <n v="0.23"/>
    <n v="11664.18"/>
    <s v="UPI"/>
    <x v="1"/>
    <x v="2"/>
    <x v="0"/>
    <n v="15148.28"/>
    <x v="3"/>
    <x v="4"/>
    <x v="0"/>
  </r>
  <r>
    <s v="ORD0837"/>
    <x v="111"/>
    <s v="Karnataka"/>
    <x v="1"/>
    <x v="4"/>
    <x v="16"/>
    <n v="4"/>
    <n v="3525.14"/>
    <n v="0"/>
    <n v="14100.56"/>
    <s v="Debit Card"/>
    <x v="1"/>
    <x v="2"/>
    <x v="0"/>
    <n v="14100.56"/>
    <x v="3"/>
    <x v="4"/>
    <x v="0"/>
  </r>
  <r>
    <s v="ORD0838"/>
    <x v="88"/>
    <s v="Gujarat"/>
    <x v="3"/>
    <x v="0"/>
    <x v="3"/>
    <n v="3"/>
    <n v="3691.91"/>
    <n v="0.04"/>
    <n v="10632.7"/>
    <s v="Net Banking"/>
    <x v="1"/>
    <x v="1"/>
    <x v="0"/>
    <n v="11075.73"/>
    <x v="0"/>
    <x v="5"/>
    <x v="0"/>
  </r>
  <r>
    <s v="ORD0839"/>
    <x v="106"/>
    <s v="Delhi"/>
    <x v="0"/>
    <x v="3"/>
    <x v="15"/>
    <n v="4"/>
    <n v="2878.75"/>
    <n v="0.05"/>
    <n v="10939.25"/>
    <s v="COD"/>
    <x v="0"/>
    <x v="2"/>
    <x v="0"/>
    <n v="11515"/>
    <x v="5"/>
    <x v="0"/>
    <x v="0"/>
  </r>
  <r>
    <s v="ORD0840"/>
    <x v="10"/>
    <s v="Tamil Nadu"/>
    <x v="2"/>
    <x v="3"/>
    <x v="9"/>
    <n v="5"/>
    <n v="635.05999999999995"/>
    <n v="0.16"/>
    <n v="2667.25"/>
    <s v="Net Banking"/>
    <x v="1"/>
    <x v="2"/>
    <x v="0"/>
    <n v="3175.2999999999997"/>
    <x v="0"/>
    <x v="3"/>
    <x v="0"/>
  </r>
  <r>
    <s v="ORD0841"/>
    <x v="143"/>
    <s v="Maharashtra"/>
    <x v="0"/>
    <x v="0"/>
    <x v="2"/>
    <n v="5"/>
    <n v="1250.42"/>
    <n v="0.12"/>
    <n v="5501.85"/>
    <s v="UPI"/>
    <x v="0"/>
    <x v="2"/>
    <x v="0"/>
    <n v="6252.1"/>
    <x v="4"/>
    <x v="5"/>
    <x v="0"/>
  </r>
  <r>
    <s v="ORD0842"/>
    <x v="78"/>
    <s v="Maharashtra"/>
    <x v="1"/>
    <x v="0"/>
    <x v="0"/>
    <n v="1"/>
    <n v="1940.76"/>
    <n v="0.13"/>
    <n v="1688.46"/>
    <s v="Debit Card"/>
    <x v="1"/>
    <x v="1"/>
    <x v="0"/>
    <n v="1940.76"/>
    <x v="5"/>
    <x v="0"/>
    <x v="0"/>
  </r>
  <r>
    <s v="ORD0843"/>
    <x v="136"/>
    <s v="Karnataka"/>
    <x v="1"/>
    <x v="4"/>
    <x v="18"/>
    <n v="3"/>
    <n v="4997.28"/>
    <n v="0.2"/>
    <n v="11993.47"/>
    <s v="UPI"/>
    <x v="1"/>
    <x v="1"/>
    <x v="0"/>
    <n v="14991.84"/>
    <x v="2"/>
    <x v="3"/>
    <x v="0"/>
  </r>
  <r>
    <s v="ORD0844"/>
    <x v="24"/>
    <s v="Karnataka"/>
    <x v="0"/>
    <x v="0"/>
    <x v="2"/>
    <n v="4"/>
    <n v="4365.6499999999996"/>
    <n v="0.1"/>
    <n v="15716.34"/>
    <s v="Credit Card"/>
    <x v="0"/>
    <x v="2"/>
    <x v="0"/>
    <n v="17462.599999999999"/>
    <x v="5"/>
    <x v="0"/>
    <x v="0"/>
  </r>
  <r>
    <s v="ORD0845"/>
    <x v="10"/>
    <s v="Delhi"/>
    <x v="1"/>
    <x v="1"/>
    <x v="1"/>
    <n v="5"/>
    <n v="3462.31"/>
    <n v="0.22"/>
    <n v="13503.01"/>
    <s v="UPI"/>
    <x v="2"/>
    <x v="0"/>
    <x v="0"/>
    <n v="17311.55"/>
    <x v="0"/>
    <x v="3"/>
    <x v="0"/>
  </r>
  <r>
    <s v="ORD0846"/>
    <x v="20"/>
    <s v="Maharashtra"/>
    <x v="1"/>
    <x v="0"/>
    <x v="2"/>
    <n v="3"/>
    <n v="3421.85"/>
    <n v="0.06"/>
    <n v="9649.6200000000008"/>
    <s v="UPI"/>
    <x v="0"/>
    <x v="1"/>
    <x v="0"/>
    <n v="10265.549999999999"/>
    <x v="1"/>
    <x v="4"/>
    <x v="0"/>
  </r>
  <r>
    <s v="ORD0847"/>
    <x v="36"/>
    <s v="Tamil Nadu"/>
    <x v="3"/>
    <x v="0"/>
    <x v="2"/>
    <n v="1"/>
    <n v="3697.96"/>
    <n v="7.0000000000000007E-2"/>
    <n v="3439.1"/>
    <s v="Net Banking"/>
    <x v="1"/>
    <x v="2"/>
    <x v="1"/>
    <n v="3697.96"/>
    <x v="0"/>
    <x v="5"/>
    <x v="0"/>
  </r>
  <r>
    <s v="ORD0848"/>
    <x v="56"/>
    <s v="Delhi"/>
    <x v="3"/>
    <x v="1"/>
    <x v="13"/>
    <n v="3"/>
    <n v="4178.54"/>
    <n v="0.25"/>
    <n v="9401.7199999999993"/>
    <s v="Net Banking"/>
    <x v="0"/>
    <x v="1"/>
    <x v="1"/>
    <n v="12535.619999999999"/>
    <x v="1"/>
    <x v="3"/>
    <x v="0"/>
  </r>
  <r>
    <s v="ORD0849"/>
    <x v="174"/>
    <s v="Gujarat"/>
    <x v="0"/>
    <x v="0"/>
    <x v="3"/>
    <n v="2"/>
    <n v="935.12"/>
    <n v="0.24"/>
    <n v="1421.38"/>
    <s v="Debit Card"/>
    <x v="0"/>
    <x v="0"/>
    <x v="0"/>
    <n v="1870.24"/>
    <x v="4"/>
    <x v="3"/>
    <x v="0"/>
  </r>
  <r>
    <s v="ORD0850"/>
    <x v="138"/>
    <s v="Karnataka"/>
    <x v="0"/>
    <x v="0"/>
    <x v="4"/>
    <n v="2"/>
    <n v="3623.96"/>
    <n v="0.17"/>
    <n v="6015.77"/>
    <s v="Net Banking"/>
    <x v="2"/>
    <x v="0"/>
    <x v="0"/>
    <n v="7247.92"/>
    <x v="4"/>
    <x v="4"/>
    <x v="0"/>
  </r>
  <r>
    <s v="ORD0851"/>
    <x v="161"/>
    <s v="Maharashtra"/>
    <x v="2"/>
    <x v="1"/>
    <x v="14"/>
    <n v="5"/>
    <n v="3855.05"/>
    <n v="0.15"/>
    <n v="16383.96"/>
    <s v="UPI"/>
    <x v="0"/>
    <x v="0"/>
    <x v="0"/>
    <n v="19275.25"/>
    <x v="6"/>
    <x v="5"/>
    <x v="0"/>
  </r>
  <r>
    <s v="ORD0852"/>
    <x v="102"/>
    <s v="Delhi"/>
    <x v="3"/>
    <x v="2"/>
    <x v="5"/>
    <n v="1"/>
    <n v="1525.78"/>
    <n v="0.03"/>
    <n v="1480.01"/>
    <s v="Debit Card"/>
    <x v="2"/>
    <x v="1"/>
    <x v="0"/>
    <n v="1525.78"/>
    <x v="5"/>
    <x v="3"/>
    <x v="0"/>
  </r>
  <r>
    <s v="ORD0853"/>
    <x v="38"/>
    <s v="Delhi"/>
    <x v="3"/>
    <x v="0"/>
    <x v="2"/>
    <n v="5"/>
    <n v="3710.9"/>
    <n v="0.08"/>
    <n v="17070.14"/>
    <s v="UPI"/>
    <x v="2"/>
    <x v="0"/>
    <x v="3"/>
    <n v="18554.5"/>
    <x v="6"/>
    <x v="2"/>
    <x v="0"/>
  </r>
  <r>
    <s v="ORD0854"/>
    <x v="97"/>
    <s v="Karnataka"/>
    <x v="1"/>
    <x v="2"/>
    <x v="6"/>
    <n v="5"/>
    <n v="2994.8"/>
    <n v="0.03"/>
    <n v="14524.78"/>
    <s v="Debit Card"/>
    <x v="1"/>
    <x v="2"/>
    <x v="0"/>
    <n v="14974"/>
    <x v="2"/>
    <x v="0"/>
    <x v="0"/>
  </r>
  <r>
    <s v="ORD0855"/>
    <x v="60"/>
    <s v="Tamil Nadu"/>
    <x v="0"/>
    <x v="4"/>
    <x v="16"/>
    <n v="5"/>
    <n v="1488.62"/>
    <n v="0.19"/>
    <n v="6028.91"/>
    <s v="Net Banking"/>
    <x v="0"/>
    <x v="0"/>
    <x v="0"/>
    <n v="7443.0999999999995"/>
    <x v="5"/>
    <x v="3"/>
    <x v="0"/>
  </r>
  <r>
    <s v="ORD0856"/>
    <x v="137"/>
    <s v="Karnataka"/>
    <x v="0"/>
    <x v="4"/>
    <x v="19"/>
    <n v="2"/>
    <n v="2525.63"/>
    <n v="0.18"/>
    <n v="4142.03"/>
    <s v="COD"/>
    <x v="2"/>
    <x v="1"/>
    <x v="2"/>
    <n v="5051.26"/>
    <x v="4"/>
    <x v="4"/>
    <x v="0"/>
  </r>
  <r>
    <s v="ORD0857"/>
    <x v="27"/>
    <s v="Delhi"/>
    <x v="1"/>
    <x v="4"/>
    <x v="16"/>
    <n v="1"/>
    <n v="4623.47"/>
    <n v="0.19"/>
    <n v="3745.01"/>
    <s v="Debit Card"/>
    <x v="1"/>
    <x v="1"/>
    <x v="0"/>
    <n v="4623.47"/>
    <x v="3"/>
    <x v="5"/>
    <x v="0"/>
  </r>
  <r>
    <s v="ORD0858"/>
    <x v="171"/>
    <s v="Gujarat"/>
    <x v="1"/>
    <x v="3"/>
    <x v="8"/>
    <n v="4"/>
    <n v="3421.7"/>
    <n v="0.25"/>
    <n v="10265.1"/>
    <s v="Net Banking"/>
    <x v="2"/>
    <x v="1"/>
    <x v="0"/>
    <n v="13686.8"/>
    <x v="4"/>
    <x v="2"/>
    <x v="0"/>
  </r>
  <r>
    <s v="ORD0859"/>
    <x v="99"/>
    <s v="Delhi"/>
    <x v="0"/>
    <x v="4"/>
    <x v="17"/>
    <n v="1"/>
    <n v="741.41"/>
    <n v="0.19"/>
    <n v="600.54"/>
    <s v="COD"/>
    <x v="2"/>
    <x v="0"/>
    <x v="3"/>
    <n v="741.41"/>
    <x v="0"/>
    <x v="0"/>
    <x v="1"/>
  </r>
  <r>
    <s v="ORD0860"/>
    <x v="115"/>
    <s v="Delhi"/>
    <x v="3"/>
    <x v="4"/>
    <x v="18"/>
    <n v="4"/>
    <n v="3510.18"/>
    <n v="7.0000000000000007E-2"/>
    <n v="13057.87"/>
    <s v="COD"/>
    <x v="0"/>
    <x v="2"/>
    <x v="0"/>
    <n v="14040.72"/>
    <x v="5"/>
    <x v="2"/>
    <x v="0"/>
  </r>
  <r>
    <s v="ORD0861"/>
    <x v="84"/>
    <s v="Karnataka"/>
    <x v="3"/>
    <x v="3"/>
    <x v="8"/>
    <n v="2"/>
    <n v="1945.12"/>
    <n v="0.25"/>
    <n v="2917.68"/>
    <s v="COD"/>
    <x v="0"/>
    <x v="0"/>
    <x v="1"/>
    <n v="3890.24"/>
    <x v="6"/>
    <x v="3"/>
    <x v="0"/>
  </r>
  <r>
    <s v="ORD0862"/>
    <x v="70"/>
    <s v="Tamil Nadu"/>
    <x v="1"/>
    <x v="0"/>
    <x v="2"/>
    <n v="1"/>
    <n v="4903.3599999999997"/>
    <n v="0.16"/>
    <n v="4118.82"/>
    <s v="Debit Card"/>
    <x v="0"/>
    <x v="0"/>
    <x v="2"/>
    <n v="4903.3599999999997"/>
    <x v="2"/>
    <x v="0"/>
    <x v="0"/>
  </r>
  <r>
    <s v="ORD0863"/>
    <x v="4"/>
    <s v="Maharashtra"/>
    <x v="1"/>
    <x v="2"/>
    <x v="11"/>
    <n v="4"/>
    <n v="2494.27"/>
    <n v="0.17"/>
    <n v="8280.98"/>
    <s v="Credit Card"/>
    <x v="0"/>
    <x v="2"/>
    <x v="3"/>
    <n v="9977.08"/>
    <x v="2"/>
    <x v="2"/>
    <x v="0"/>
  </r>
  <r>
    <s v="ORD0864"/>
    <x v="40"/>
    <s v="Tamil Nadu"/>
    <x v="0"/>
    <x v="0"/>
    <x v="3"/>
    <n v="4"/>
    <n v="1899.88"/>
    <n v="0.03"/>
    <n v="7371.53"/>
    <s v="UPI"/>
    <x v="1"/>
    <x v="2"/>
    <x v="0"/>
    <n v="7599.52"/>
    <x v="4"/>
    <x v="0"/>
    <x v="0"/>
  </r>
  <r>
    <s v="ORD0865"/>
    <x v="127"/>
    <s v="Maharashtra"/>
    <x v="3"/>
    <x v="1"/>
    <x v="10"/>
    <n v="5"/>
    <n v="2449.54"/>
    <n v="0.17"/>
    <n v="10165.59"/>
    <s v="COD"/>
    <x v="1"/>
    <x v="2"/>
    <x v="0"/>
    <n v="12247.7"/>
    <x v="2"/>
    <x v="3"/>
    <x v="0"/>
  </r>
  <r>
    <s v="ORD0866"/>
    <x v="170"/>
    <s v="Gujarat"/>
    <x v="3"/>
    <x v="2"/>
    <x v="6"/>
    <n v="3"/>
    <n v="411.14"/>
    <n v="0.23"/>
    <n v="949.73"/>
    <s v="Debit Card"/>
    <x v="0"/>
    <x v="0"/>
    <x v="0"/>
    <n v="1233.42"/>
    <x v="3"/>
    <x v="4"/>
    <x v="1"/>
  </r>
  <r>
    <s v="ORD0867"/>
    <x v="129"/>
    <s v="Gujarat"/>
    <x v="0"/>
    <x v="0"/>
    <x v="3"/>
    <n v="4"/>
    <n v="413.27"/>
    <n v="0.21"/>
    <n v="1305.93"/>
    <s v="COD"/>
    <x v="1"/>
    <x v="0"/>
    <x v="3"/>
    <n v="1653.08"/>
    <x v="3"/>
    <x v="4"/>
    <x v="0"/>
  </r>
  <r>
    <s v="ORD0868"/>
    <x v="109"/>
    <s v="Delhi"/>
    <x v="0"/>
    <x v="3"/>
    <x v="8"/>
    <n v="2"/>
    <n v="126.09"/>
    <n v="0.11"/>
    <n v="224.44"/>
    <s v="COD"/>
    <x v="1"/>
    <x v="1"/>
    <x v="0"/>
    <n v="252.18"/>
    <x v="6"/>
    <x v="0"/>
    <x v="1"/>
  </r>
  <r>
    <s v="ORD0869"/>
    <x v="133"/>
    <s v="Delhi"/>
    <x v="2"/>
    <x v="1"/>
    <x v="10"/>
    <n v="3"/>
    <n v="4272.1099999999997"/>
    <n v="0.01"/>
    <n v="12688.17"/>
    <s v="Credit Card"/>
    <x v="1"/>
    <x v="2"/>
    <x v="0"/>
    <n v="12816.329999999998"/>
    <x v="2"/>
    <x v="2"/>
    <x v="0"/>
  </r>
  <r>
    <s v="ORD0870"/>
    <x v="4"/>
    <s v="Tamil Nadu"/>
    <x v="1"/>
    <x v="1"/>
    <x v="10"/>
    <n v="3"/>
    <n v="326.20999999999998"/>
    <n v="0.24"/>
    <n v="743.76"/>
    <s v="Credit Card"/>
    <x v="0"/>
    <x v="1"/>
    <x v="0"/>
    <n v="978.62999999999988"/>
    <x v="2"/>
    <x v="2"/>
    <x v="1"/>
  </r>
  <r>
    <s v="ORD0871"/>
    <x v="143"/>
    <s v="Gujarat"/>
    <x v="0"/>
    <x v="2"/>
    <x v="6"/>
    <n v="5"/>
    <n v="2601.89"/>
    <n v="0.17"/>
    <n v="10797.84"/>
    <s v="UPI"/>
    <x v="1"/>
    <x v="0"/>
    <x v="0"/>
    <n v="13009.449999999999"/>
    <x v="4"/>
    <x v="5"/>
    <x v="0"/>
  </r>
  <r>
    <s v="ORD0872"/>
    <x v="53"/>
    <s v="Karnataka"/>
    <x v="3"/>
    <x v="3"/>
    <x v="12"/>
    <n v="5"/>
    <n v="2805.15"/>
    <n v="0.15"/>
    <n v="11921.89"/>
    <s v="Debit Card"/>
    <x v="0"/>
    <x v="1"/>
    <x v="0"/>
    <n v="14025.75"/>
    <x v="4"/>
    <x v="1"/>
    <x v="0"/>
  </r>
  <r>
    <s v="ORD0873"/>
    <x v="141"/>
    <s v="Gujarat"/>
    <x v="0"/>
    <x v="2"/>
    <x v="7"/>
    <n v="4"/>
    <n v="3283.87"/>
    <n v="0.04"/>
    <n v="12610.06"/>
    <s v="UPI"/>
    <x v="2"/>
    <x v="1"/>
    <x v="1"/>
    <n v="13135.48"/>
    <x v="0"/>
    <x v="0"/>
    <x v="0"/>
  </r>
  <r>
    <s v="ORD0874"/>
    <x v="165"/>
    <s v="Gujarat"/>
    <x v="2"/>
    <x v="2"/>
    <x v="11"/>
    <n v="3"/>
    <n v="4977.26"/>
    <n v="0.17"/>
    <n v="12393.38"/>
    <s v="Debit Card"/>
    <x v="0"/>
    <x v="2"/>
    <x v="0"/>
    <n v="14931.78"/>
    <x v="5"/>
    <x v="2"/>
    <x v="0"/>
  </r>
  <r>
    <s v="ORD0875"/>
    <x v="19"/>
    <s v="Tamil Nadu"/>
    <x v="0"/>
    <x v="1"/>
    <x v="10"/>
    <n v="4"/>
    <n v="1956.82"/>
    <n v="0.24"/>
    <n v="5948.73"/>
    <s v="Debit Card"/>
    <x v="2"/>
    <x v="2"/>
    <x v="0"/>
    <n v="7827.28"/>
    <x v="3"/>
    <x v="2"/>
    <x v="0"/>
  </r>
  <r>
    <s v="ORD0876"/>
    <x v="81"/>
    <s v="Gujarat"/>
    <x v="2"/>
    <x v="1"/>
    <x v="13"/>
    <n v="3"/>
    <n v="3236.87"/>
    <n v="0.09"/>
    <n v="8836.66"/>
    <s v="Net Banking"/>
    <x v="0"/>
    <x v="1"/>
    <x v="0"/>
    <n v="9710.61"/>
    <x v="3"/>
    <x v="2"/>
    <x v="0"/>
  </r>
  <r>
    <s v="ORD0877"/>
    <x v="41"/>
    <s v="Maharashtra"/>
    <x v="3"/>
    <x v="3"/>
    <x v="9"/>
    <n v="2"/>
    <n v="1955.3"/>
    <n v="0.03"/>
    <n v="3793.28"/>
    <s v="Credit Card"/>
    <x v="2"/>
    <x v="2"/>
    <x v="0"/>
    <n v="3910.6"/>
    <x v="6"/>
    <x v="5"/>
    <x v="0"/>
  </r>
  <r>
    <s v="ORD0878"/>
    <x v="83"/>
    <s v="Maharashtra"/>
    <x v="0"/>
    <x v="4"/>
    <x v="18"/>
    <n v="5"/>
    <n v="4340.45"/>
    <n v="0.14000000000000001"/>
    <n v="18663.939999999999"/>
    <s v="COD"/>
    <x v="2"/>
    <x v="0"/>
    <x v="1"/>
    <n v="21702.25"/>
    <x v="5"/>
    <x v="5"/>
    <x v="0"/>
  </r>
  <r>
    <s v="ORD0879"/>
    <x v="10"/>
    <s v="Tamil Nadu"/>
    <x v="1"/>
    <x v="3"/>
    <x v="9"/>
    <n v="5"/>
    <n v="2803.19"/>
    <n v="0.22"/>
    <n v="10932.44"/>
    <s v="Debit Card"/>
    <x v="2"/>
    <x v="1"/>
    <x v="0"/>
    <n v="14015.95"/>
    <x v="0"/>
    <x v="3"/>
    <x v="0"/>
  </r>
  <r>
    <s v="ORD0880"/>
    <x v="50"/>
    <s v="Gujarat"/>
    <x v="0"/>
    <x v="4"/>
    <x v="19"/>
    <n v="2"/>
    <n v="799.08"/>
    <n v="0.14000000000000001"/>
    <n v="1374.42"/>
    <s v="Debit Card"/>
    <x v="1"/>
    <x v="1"/>
    <x v="1"/>
    <n v="1598.16"/>
    <x v="5"/>
    <x v="4"/>
    <x v="0"/>
  </r>
  <r>
    <s v="ORD0881"/>
    <x v="53"/>
    <s v="Gujarat"/>
    <x v="2"/>
    <x v="4"/>
    <x v="16"/>
    <n v="4"/>
    <n v="997.21"/>
    <n v="0.25"/>
    <n v="2991.63"/>
    <s v="Net Banking"/>
    <x v="1"/>
    <x v="1"/>
    <x v="0"/>
    <n v="3988.84"/>
    <x v="4"/>
    <x v="1"/>
    <x v="0"/>
  </r>
  <r>
    <s v="ORD0882"/>
    <x v="103"/>
    <s v="Karnataka"/>
    <x v="0"/>
    <x v="2"/>
    <x v="11"/>
    <n v="4"/>
    <n v="3875.83"/>
    <n v="0.21"/>
    <n v="12247.62"/>
    <s v="Credit Card"/>
    <x v="2"/>
    <x v="0"/>
    <x v="0"/>
    <n v="15503.32"/>
    <x v="0"/>
    <x v="1"/>
    <x v="0"/>
  </r>
  <r>
    <s v="ORD0883"/>
    <x v="108"/>
    <s v="Delhi"/>
    <x v="0"/>
    <x v="3"/>
    <x v="8"/>
    <n v="1"/>
    <n v="3742.71"/>
    <n v="0.14000000000000001"/>
    <n v="3218.73"/>
    <s v="COD"/>
    <x v="0"/>
    <x v="1"/>
    <x v="2"/>
    <n v="3742.71"/>
    <x v="4"/>
    <x v="2"/>
    <x v="0"/>
  </r>
  <r>
    <s v="ORD0884"/>
    <x v="66"/>
    <s v="Tamil Nadu"/>
    <x v="3"/>
    <x v="2"/>
    <x v="11"/>
    <n v="5"/>
    <n v="3519.62"/>
    <n v="0.1"/>
    <n v="15838.29"/>
    <s v="Net Banking"/>
    <x v="1"/>
    <x v="0"/>
    <x v="1"/>
    <n v="17598.099999999999"/>
    <x v="6"/>
    <x v="2"/>
    <x v="0"/>
  </r>
  <r>
    <s v="ORD0885"/>
    <x v="112"/>
    <s v="Gujarat"/>
    <x v="3"/>
    <x v="0"/>
    <x v="3"/>
    <n v="5"/>
    <n v="3451.98"/>
    <n v="0.01"/>
    <n v="17087.3"/>
    <s v="UPI"/>
    <x v="0"/>
    <x v="1"/>
    <x v="0"/>
    <n v="17259.900000000001"/>
    <x v="2"/>
    <x v="5"/>
    <x v="0"/>
  </r>
  <r>
    <s v="ORD0886"/>
    <x v="175"/>
    <s v="Delhi"/>
    <x v="1"/>
    <x v="1"/>
    <x v="10"/>
    <n v="2"/>
    <n v="2617.0500000000002"/>
    <n v="0.24"/>
    <n v="3977.92"/>
    <s v="Credit Card"/>
    <x v="2"/>
    <x v="1"/>
    <x v="0"/>
    <n v="5234.1000000000004"/>
    <x v="4"/>
    <x v="0"/>
    <x v="0"/>
  </r>
  <r>
    <s v="ORD0887"/>
    <x v="108"/>
    <s v="Karnataka"/>
    <x v="3"/>
    <x v="4"/>
    <x v="19"/>
    <n v="1"/>
    <n v="1521.32"/>
    <n v="0.12"/>
    <n v="1338.76"/>
    <s v="Debit Card"/>
    <x v="1"/>
    <x v="1"/>
    <x v="0"/>
    <n v="1521.32"/>
    <x v="4"/>
    <x v="2"/>
    <x v="0"/>
  </r>
  <r>
    <s v="ORD0888"/>
    <x v="146"/>
    <s v="Delhi"/>
    <x v="1"/>
    <x v="1"/>
    <x v="14"/>
    <n v="5"/>
    <n v="4146.0600000000004"/>
    <n v="0.01"/>
    <n v="20523"/>
    <s v="UPI"/>
    <x v="1"/>
    <x v="1"/>
    <x v="0"/>
    <n v="20730.300000000003"/>
    <x v="2"/>
    <x v="0"/>
    <x v="0"/>
  </r>
  <r>
    <s v="ORD0889"/>
    <x v="39"/>
    <s v="Karnataka"/>
    <x v="1"/>
    <x v="0"/>
    <x v="3"/>
    <n v="1"/>
    <n v="125.26"/>
    <n v="0.22"/>
    <n v="97.7"/>
    <s v="UPI"/>
    <x v="2"/>
    <x v="2"/>
    <x v="0"/>
    <n v="125.26"/>
    <x v="5"/>
    <x v="2"/>
    <x v="1"/>
  </r>
  <r>
    <s v="ORD0890"/>
    <x v="90"/>
    <s v="Tamil Nadu"/>
    <x v="1"/>
    <x v="0"/>
    <x v="3"/>
    <n v="5"/>
    <n v="2620.16"/>
    <n v="0.04"/>
    <n v="12576.77"/>
    <s v="Debit Card"/>
    <x v="0"/>
    <x v="2"/>
    <x v="0"/>
    <n v="13100.8"/>
    <x v="0"/>
    <x v="1"/>
    <x v="0"/>
  </r>
  <r>
    <s v="ORD0891"/>
    <x v="178"/>
    <s v="Tamil Nadu"/>
    <x v="2"/>
    <x v="4"/>
    <x v="16"/>
    <n v="3"/>
    <n v="1886.03"/>
    <n v="0.22"/>
    <n v="4413.3100000000004"/>
    <s v="Net Banking"/>
    <x v="2"/>
    <x v="0"/>
    <x v="0"/>
    <n v="5658.09"/>
    <x v="3"/>
    <x v="5"/>
    <x v="0"/>
  </r>
  <r>
    <s v="ORD0892"/>
    <x v="155"/>
    <s v="Delhi"/>
    <x v="3"/>
    <x v="2"/>
    <x v="5"/>
    <n v="4"/>
    <n v="128.47"/>
    <n v="0.22"/>
    <n v="400.83"/>
    <s v="Debit Card"/>
    <x v="2"/>
    <x v="0"/>
    <x v="0"/>
    <n v="513.88"/>
    <x v="6"/>
    <x v="5"/>
    <x v="1"/>
  </r>
  <r>
    <s v="ORD0893"/>
    <x v="148"/>
    <s v="Delhi"/>
    <x v="1"/>
    <x v="4"/>
    <x v="19"/>
    <n v="3"/>
    <n v="4514.8900000000003"/>
    <n v="0.04"/>
    <n v="13002.88"/>
    <s v="Net Banking"/>
    <x v="2"/>
    <x v="2"/>
    <x v="2"/>
    <n v="13544.670000000002"/>
    <x v="4"/>
    <x v="5"/>
    <x v="0"/>
  </r>
  <r>
    <s v="ORD0894"/>
    <x v="11"/>
    <s v="Tamil Nadu"/>
    <x v="1"/>
    <x v="4"/>
    <x v="19"/>
    <n v="4"/>
    <n v="4019.12"/>
    <n v="0.18"/>
    <n v="13182.71"/>
    <s v="Net Banking"/>
    <x v="1"/>
    <x v="1"/>
    <x v="0"/>
    <n v="16076.48"/>
    <x v="1"/>
    <x v="4"/>
    <x v="0"/>
  </r>
  <r>
    <s v="ORD0895"/>
    <x v="113"/>
    <s v="Maharashtra"/>
    <x v="3"/>
    <x v="2"/>
    <x v="11"/>
    <n v="2"/>
    <n v="862.16"/>
    <n v="0.13"/>
    <n v="1500.16"/>
    <s v="Credit Card"/>
    <x v="0"/>
    <x v="0"/>
    <x v="0"/>
    <n v="1724.32"/>
    <x v="5"/>
    <x v="4"/>
    <x v="0"/>
  </r>
  <r>
    <s v="ORD0896"/>
    <x v="178"/>
    <s v="Gujarat"/>
    <x v="3"/>
    <x v="4"/>
    <x v="18"/>
    <n v="4"/>
    <n v="1518.39"/>
    <n v="0.12"/>
    <n v="5344.73"/>
    <s v="Credit Card"/>
    <x v="2"/>
    <x v="1"/>
    <x v="0"/>
    <n v="6073.56"/>
    <x v="3"/>
    <x v="5"/>
    <x v="0"/>
  </r>
  <r>
    <s v="ORD0897"/>
    <x v="90"/>
    <s v="Delhi"/>
    <x v="3"/>
    <x v="1"/>
    <x v="10"/>
    <n v="3"/>
    <n v="4971.8599999999997"/>
    <n v="0.06"/>
    <n v="14020.65"/>
    <s v="UPI"/>
    <x v="0"/>
    <x v="1"/>
    <x v="0"/>
    <n v="14915.579999999998"/>
    <x v="0"/>
    <x v="1"/>
    <x v="0"/>
  </r>
  <r>
    <s v="ORD0898"/>
    <x v="73"/>
    <s v="Delhi"/>
    <x v="2"/>
    <x v="0"/>
    <x v="4"/>
    <n v="2"/>
    <n v="1223.98"/>
    <n v="0.03"/>
    <n v="2374.52"/>
    <s v="COD"/>
    <x v="1"/>
    <x v="2"/>
    <x v="2"/>
    <n v="2447.96"/>
    <x v="0"/>
    <x v="2"/>
    <x v="0"/>
  </r>
  <r>
    <s v="ORD0899"/>
    <x v="56"/>
    <s v="Maharashtra"/>
    <x v="2"/>
    <x v="3"/>
    <x v="15"/>
    <n v="1"/>
    <n v="4335.32"/>
    <n v="0.1"/>
    <n v="3901.79"/>
    <s v="COD"/>
    <x v="0"/>
    <x v="0"/>
    <x v="0"/>
    <n v="4335.32"/>
    <x v="1"/>
    <x v="3"/>
    <x v="0"/>
  </r>
  <r>
    <s v="ORD0900"/>
    <x v="14"/>
    <s v="Karnataka"/>
    <x v="0"/>
    <x v="3"/>
    <x v="12"/>
    <n v="1"/>
    <n v="2598.33"/>
    <n v="0.16"/>
    <n v="2182.6"/>
    <s v="Net Banking"/>
    <x v="2"/>
    <x v="1"/>
    <x v="0"/>
    <n v="2598.33"/>
    <x v="2"/>
    <x v="5"/>
    <x v="0"/>
  </r>
  <r>
    <s v="ORD0901"/>
    <x v="164"/>
    <s v="Tamil Nadu"/>
    <x v="2"/>
    <x v="4"/>
    <x v="17"/>
    <n v="1"/>
    <n v="990.58"/>
    <n v="0"/>
    <n v="990.58"/>
    <s v="Debit Card"/>
    <x v="2"/>
    <x v="0"/>
    <x v="0"/>
    <n v="990.58"/>
    <x v="0"/>
    <x v="5"/>
    <x v="1"/>
  </r>
  <r>
    <s v="ORD0902"/>
    <x v="147"/>
    <s v="Gujarat"/>
    <x v="2"/>
    <x v="2"/>
    <x v="6"/>
    <n v="2"/>
    <n v="1336.09"/>
    <n v="0.12"/>
    <n v="2351.52"/>
    <s v="Credit Card"/>
    <x v="2"/>
    <x v="1"/>
    <x v="0"/>
    <n v="2672.18"/>
    <x v="1"/>
    <x v="3"/>
    <x v="0"/>
  </r>
  <r>
    <s v="ORD0903"/>
    <x v="85"/>
    <s v="Karnataka"/>
    <x v="2"/>
    <x v="0"/>
    <x v="4"/>
    <n v="3"/>
    <n v="3740.37"/>
    <n v="0.15"/>
    <n v="9537.94"/>
    <s v="UPI"/>
    <x v="1"/>
    <x v="0"/>
    <x v="0"/>
    <n v="11221.11"/>
    <x v="6"/>
    <x v="3"/>
    <x v="0"/>
  </r>
  <r>
    <s v="ORD0904"/>
    <x v="100"/>
    <s v="Gujarat"/>
    <x v="0"/>
    <x v="4"/>
    <x v="16"/>
    <n v="1"/>
    <n v="739.38"/>
    <n v="0.19"/>
    <n v="598.9"/>
    <s v="Net Banking"/>
    <x v="0"/>
    <x v="2"/>
    <x v="0"/>
    <n v="739.38"/>
    <x v="4"/>
    <x v="4"/>
    <x v="1"/>
  </r>
  <r>
    <s v="ORD0905"/>
    <x v="35"/>
    <s v="Tamil Nadu"/>
    <x v="3"/>
    <x v="3"/>
    <x v="12"/>
    <n v="5"/>
    <n v="3133.15"/>
    <n v="0.08"/>
    <n v="14412.49"/>
    <s v="Credit Card"/>
    <x v="0"/>
    <x v="1"/>
    <x v="0"/>
    <n v="15665.75"/>
    <x v="6"/>
    <x v="0"/>
    <x v="0"/>
  </r>
  <r>
    <s v="ORD0906"/>
    <x v="130"/>
    <s v="Delhi"/>
    <x v="2"/>
    <x v="3"/>
    <x v="8"/>
    <n v="5"/>
    <n v="3586.86"/>
    <n v="0.22"/>
    <n v="13988.75"/>
    <s v="Debit Card"/>
    <x v="2"/>
    <x v="0"/>
    <x v="1"/>
    <n v="17934.3"/>
    <x v="3"/>
    <x v="1"/>
    <x v="0"/>
  </r>
  <r>
    <s v="ORD0907"/>
    <x v="68"/>
    <s v="Tamil Nadu"/>
    <x v="3"/>
    <x v="2"/>
    <x v="7"/>
    <n v="4"/>
    <n v="2666.44"/>
    <n v="0.24"/>
    <n v="8105.98"/>
    <s v="Credit Card"/>
    <x v="2"/>
    <x v="2"/>
    <x v="0"/>
    <n v="10665.76"/>
    <x v="0"/>
    <x v="3"/>
    <x v="0"/>
  </r>
  <r>
    <s v="ORD0908"/>
    <x v="59"/>
    <s v="Maharashtra"/>
    <x v="0"/>
    <x v="3"/>
    <x v="9"/>
    <n v="2"/>
    <n v="3729.5"/>
    <n v="0.1"/>
    <n v="6713.1"/>
    <s v="COD"/>
    <x v="0"/>
    <x v="0"/>
    <x v="0"/>
    <n v="7459"/>
    <x v="3"/>
    <x v="3"/>
    <x v="0"/>
  </r>
  <r>
    <s v="ORD0909"/>
    <x v="40"/>
    <s v="Gujarat"/>
    <x v="3"/>
    <x v="1"/>
    <x v="14"/>
    <n v="5"/>
    <n v="1430.32"/>
    <n v="0.05"/>
    <n v="6794.02"/>
    <s v="Net Banking"/>
    <x v="2"/>
    <x v="2"/>
    <x v="0"/>
    <n v="7151.5999999999995"/>
    <x v="4"/>
    <x v="0"/>
    <x v="0"/>
  </r>
  <r>
    <s v="ORD0910"/>
    <x v="152"/>
    <s v="Gujarat"/>
    <x v="0"/>
    <x v="0"/>
    <x v="3"/>
    <n v="3"/>
    <n v="4277.13"/>
    <n v="7.0000000000000007E-2"/>
    <n v="11933.19"/>
    <s v="COD"/>
    <x v="2"/>
    <x v="1"/>
    <x v="0"/>
    <n v="12831.39"/>
    <x v="5"/>
    <x v="4"/>
    <x v="0"/>
  </r>
  <r>
    <s v="ORD0911"/>
    <x v="42"/>
    <s v="Karnataka"/>
    <x v="2"/>
    <x v="0"/>
    <x v="4"/>
    <n v="2"/>
    <n v="4716.03"/>
    <n v="7.0000000000000007E-2"/>
    <n v="8771.82"/>
    <s v="Credit Card"/>
    <x v="1"/>
    <x v="2"/>
    <x v="1"/>
    <n v="9432.06"/>
    <x v="3"/>
    <x v="5"/>
    <x v="0"/>
  </r>
  <r>
    <s v="ORD0912"/>
    <x v="137"/>
    <s v="Delhi"/>
    <x v="2"/>
    <x v="0"/>
    <x v="4"/>
    <n v="1"/>
    <n v="3278.36"/>
    <n v="0.16"/>
    <n v="2753.82"/>
    <s v="COD"/>
    <x v="0"/>
    <x v="1"/>
    <x v="0"/>
    <n v="3278.36"/>
    <x v="4"/>
    <x v="4"/>
    <x v="0"/>
  </r>
  <r>
    <s v="ORD0913"/>
    <x v="31"/>
    <s v="Delhi"/>
    <x v="2"/>
    <x v="1"/>
    <x v="1"/>
    <n v="3"/>
    <n v="1690.71"/>
    <n v="0.01"/>
    <n v="5021.41"/>
    <s v="Net Banking"/>
    <x v="1"/>
    <x v="2"/>
    <x v="0"/>
    <n v="5072.13"/>
    <x v="4"/>
    <x v="1"/>
    <x v="0"/>
  </r>
  <r>
    <s v="ORD0914"/>
    <x v="72"/>
    <s v="Karnataka"/>
    <x v="2"/>
    <x v="4"/>
    <x v="16"/>
    <n v="5"/>
    <n v="621.57000000000005"/>
    <n v="0.19"/>
    <n v="2517.36"/>
    <s v="Credit Card"/>
    <x v="1"/>
    <x v="1"/>
    <x v="1"/>
    <n v="3107.8500000000004"/>
    <x v="0"/>
    <x v="5"/>
    <x v="0"/>
  </r>
  <r>
    <s v="ORD0915"/>
    <x v="125"/>
    <s v="Tamil Nadu"/>
    <x v="3"/>
    <x v="1"/>
    <x v="10"/>
    <n v="3"/>
    <n v="1099.2"/>
    <n v="0.16"/>
    <n v="2769.98"/>
    <s v="Debit Card"/>
    <x v="2"/>
    <x v="1"/>
    <x v="0"/>
    <n v="3297.6000000000004"/>
    <x v="4"/>
    <x v="5"/>
    <x v="0"/>
  </r>
  <r>
    <s v="ORD0916"/>
    <x v="106"/>
    <s v="Delhi"/>
    <x v="3"/>
    <x v="2"/>
    <x v="6"/>
    <n v="4"/>
    <n v="989.42"/>
    <n v="0.05"/>
    <n v="3759.8"/>
    <s v="Net Banking"/>
    <x v="0"/>
    <x v="2"/>
    <x v="0"/>
    <n v="3957.68"/>
    <x v="5"/>
    <x v="0"/>
    <x v="0"/>
  </r>
  <r>
    <s v="ORD0917"/>
    <x v="164"/>
    <s v="Maharashtra"/>
    <x v="0"/>
    <x v="3"/>
    <x v="9"/>
    <n v="2"/>
    <n v="4105.75"/>
    <n v="0.17"/>
    <n v="6815.55"/>
    <s v="UPI"/>
    <x v="0"/>
    <x v="2"/>
    <x v="0"/>
    <n v="8211.5"/>
    <x v="0"/>
    <x v="5"/>
    <x v="0"/>
  </r>
  <r>
    <s v="ORD0918"/>
    <x v="166"/>
    <s v="Tamil Nadu"/>
    <x v="0"/>
    <x v="2"/>
    <x v="11"/>
    <n v="5"/>
    <n v="772.73"/>
    <n v="0.19"/>
    <n v="3129.56"/>
    <s v="Net Banking"/>
    <x v="0"/>
    <x v="2"/>
    <x v="0"/>
    <n v="3863.65"/>
    <x v="2"/>
    <x v="3"/>
    <x v="0"/>
  </r>
  <r>
    <s v="ORD0919"/>
    <x v="10"/>
    <s v="Maharashtra"/>
    <x v="0"/>
    <x v="0"/>
    <x v="0"/>
    <n v="2"/>
    <n v="3873.58"/>
    <n v="7.0000000000000007E-2"/>
    <n v="7204.86"/>
    <s v="Credit Card"/>
    <x v="0"/>
    <x v="0"/>
    <x v="3"/>
    <n v="7747.16"/>
    <x v="0"/>
    <x v="3"/>
    <x v="0"/>
  </r>
  <r>
    <s v="ORD0920"/>
    <x v="162"/>
    <s v="Gujarat"/>
    <x v="1"/>
    <x v="0"/>
    <x v="0"/>
    <n v="1"/>
    <n v="1091.3800000000001"/>
    <n v="0.12"/>
    <n v="960.41"/>
    <s v="UPI"/>
    <x v="1"/>
    <x v="0"/>
    <x v="3"/>
    <n v="1091.3800000000001"/>
    <x v="4"/>
    <x v="3"/>
    <x v="1"/>
  </r>
  <r>
    <s v="ORD0921"/>
    <x v="14"/>
    <s v="Tamil Nadu"/>
    <x v="0"/>
    <x v="4"/>
    <x v="17"/>
    <n v="1"/>
    <n v="2763.28"/>
    <n v="7.0000000000000007E-2"/>
    <n v="2569.85"/>
    <s v="Debit Card"/>
    <x v="0"/>
    <x v="0"/>
    <x v="0"/>
    <n v="2763.28"/>
    <x v="2"/>
    <x v="5"/>
    <x v="0"/>
  </r>
  <r>
    <s v="ORD0922"/>
    <x v="50"/>
    <s v="Gujarat"/>
    <x v="3"/>
    <x v="0"/>
    <x v="0"/>
    <n v="5"/>
    <n v="4443.6400000000003"/>
    <n v="0.1"/>
    <n v="19996.38"/>
    <s v="UPI"/>
    <x v="0"/>
    <x v="2"/>
    <x v="0"/>
    <n v="22218.2"/>
    <x v="5"/>
    <x v="4"/>
    <x v="0"/>
  </r>
  <r>
    <s v="ORD0923"/>
    <x v="99"/>
    <s v="Delhi"/>
    <x v="0"/>
    <x v="2"/>
    <x v="5"/>
    <n v="3"/>
    <n v="1206.83"/>
    <n v="0.22"/>
    <n v="2823.98"/>
    <s v="UPI"/>
    <x v="1"/>
    <x v="1"/>
    <x v="0"/>
    <n v="3620.49"/>
    <x v="0"/>
    <x v="0"/>
    <x v="0"/>
  </r>
  <r>
    <s v="ORD0924"/>
    <x v="135"/>
    <s v="Maharashtra"/>
    <x v="0"/>
    <x v="0"/>
    <x v="4"/>
    <n v="1"/>
    <n v="3116.91"/>
    <n v="0.03"/>
    <n v="3023.4"/>
    <s v="UPI"/>
    <x v="2"/>
    <x v="2"/>
    <x v="0"/>
    <n v="3116.91"/>
    <x v="6"/>
    <x v="0"/>
    <x v="0"/>
  </r>
  <r>
    <s v="ORD0925"/>
    <x v="138"/>
    <s v="Gujarat"/>
    <x v="2"/>
    <x v="3"/>
    <x v="15"/>
    <n v="2"/>
    <n v="3429.22"/>
    <n v="0.04"/>
    <n v="6584.1"/>
    <s v="UPI"/>
    <x v="1"/>
    <x v="0"/>
    <x v="0"/>
    <n v="6858.44"/>
    <x v="4"/>
    <x v="4"/>
    <x v="0"/>
  </r>
  <r>
    <s v="ORD0926"/>
    <x v="158"/>
    <s v="Maharashtra"/>
    <x v="0"/>
    <x v="4"/>
    <x v="17"/>
    <n v="3"/>
    <n v="4671.12"/>
    <n v="0.2"/>
    <n v="11210.69"/>
    <s v="UPI"/>
    <x v="2"/>
    <x v="0"/>
    <x v="3"/>
    <n v="14013.36"/>
    <x v="4"/>
    <x v="3"/>
    <x v="0"/>
  </r>
  <r>
    <s v="ORD0927"/>
    <x v="45"/>
    <s v="Karnataka"/>
    <x v="0"/>
    <x v="3"/>
    <x v="12"/>
    <n v="4"/>
    <n v="3634.58"/>
    <n v="0.2"/>
    <n v="11630.66"/>
    <s v="Debit Card"/>
    <x v="2"/>
    <x v="1"/>
    <x v="0"/>
    <n v="14538.32"/>
    <x v="0"/>
    <x v="4"/>
    <x v="0"/>
  </r>
  <r>
    <s v="ORD0928"/>
    <x v="102"/>
    <s v="Delhi"/>
    <x v="1"/>
    <x v="2"/>
    <x v="6"/>
    <n v="2"/>
    <n v="991.17"/>
    <n v="0.1"/>
    <n v="1784.11"/>
    <s v="Credit Card"/>
    <x v="2"/>
    <x v="1"/>
    <x v="0"/>
    <n v="1982.34"/>
    <x v="5"/>
    <x v="3"/>
    <x v="0"/>
  </r>
  <r>
    <s v="ORD0929"/>
    <x v="18"/>
    <s v="Delhi"/>
    <x v="3"/>
    <x v="2"/>
    <x v="6"/>
    <n v="4"/>
    <n v="2791.76"/>
    <n v="0.13"/>
    <n v="9715.32"/>
    <s v="Debit Card"/>
    <x v="2"/>
    <x v="1"/>
    <x v="0"/>
    <n v="11167.04"/>
    <x v="1"/>
    <x v="2"/>
    <x v="0"/>
  </r>
  <r>
    <s v="ORD0930"/>
    <x v="129"/>
    <s v="Gujarat"/>
    <x v="3"/>
    <x v="1"/>
    <x v="14"/>
    <n v="2"/>
    <n v="3545.16"/>
    <n v="0.06"/>
    <n v="6664.9"/>
    <s v="COD"/>
    <x v="1"/>
    <x v="2"/>
    <x v="2"/>
    <n v="7090.32"/>
    <x v="3"/>
    <x v="4"/>
    <x v="0"/>
  </r>
  <r>
    <s v="ORD0931"/>
    <x v="18"/>
    <s v="Gujarat"/>
    <x v="2"/>
    <x v="0"/>
    <x v="2"/>
    <n v="1"/>
    <n v="391.93"/>
    <n v="0.09"/>
    <n v="356.66"/>
    <s v="Net Banking"/>
    <x v="0"/>
    <x v="2"/>
    <x v="0"/>
    <n v="391.93"/>
    <x v="1"/>
    <x v="2"/>
    <x v="1"/>
  </r>
  <r>
    <s v="ORD0932"/>
    <x v="81"/>
    <s v="Delhi"/>
    <x v="3"/>
    <x v="1"/>
    <x v="14"/>
    <n v="1"/>
    <n v="3760.28"/>
    <n v="0.03"/>
    <n v="3647.47"/>
    <s v="Debit Card"/>
    <x v="0"/>
    <x v="0"/>
    <x v="0"/>
    <n v="3760.28"/>
    <x v="3"/>
    <x v="2"/>
    <x v="0"/>
  </r>
  <r>
    <s v="ORD0933"/>
    <x v="118"/>
    <s v="Karnataka"/>
    <x v="3"/>
    <x v="0"/>
    <x v="3"/>
    <n v="1"/>
    <n v="3347.46"/>
    <n v="0.02"/>
    <n v="3280.51"/>
    <s v="Credit Card"/>
    <x v="1"/>
    <x v="0"/>
    <x v="0"/>
    <n v="3347.46"/>
    <x v="1"/>
    <x v="5"/>
    <x v="0"/>
  </r>
  <r>
    <s v="ORD0934"/>
    <x v="129"/>
    <s v="Maharashtra"/>
    <x v="3"/>
    <x v="4"/>
    <x v="16"/>
    <n v="1"/>
    <n v="2889"/>
    <n v="0.2"/>
    <n v="2311.1999999999998"/>
    <s v="Debit Card"/>
    <x v="0"/>
    <x v="2"/>
    <x v="0"/>
    <n v="2889"/>
    <x v="3"/>
    <x v="4"/>
    <x v="0"/>
  </r>
  <r>
    <s v="ORD0935"/>
    <x v="16"/>
    <s v="Tamil Nadu"/>
    <x v="2"/>
    <x v="3"/>
    <x v="9"/>
    <n v="3"/>
    <n v="2275.4699999999998"/>
    <n v="0.16"/>
    <n v="5734.18"/>
    <s v="Net Banking"/>
    <x v="1"/>
    <x v="2"/>
    <x v="0"/>
    <n v="6826.41"/>
    <x v="0"/>
    <x v="1"/>
    <x v="0"/>
  </r>
  <r>
    <s v="ORD0936"/>
    <x v="164"/>
    <s v="Gujarat"/>
    <x v="1"/>
    <x v="0"/>
    <x v="0"/>
    <n v="2"/>
    <n v="153.25"/>
    <n v="0.21"/>
    <n v="242.14"/>
    <s v="Debit Card"/>
    <x v="1"/>
    <x v="0"/>
    <x v="0"/>
    <n v="306.5"/>
    <x v="0"/>
    <x v="5"/>
    <x v="1"/>
  </r>
  <r>
    <s v="ORD0937"/>
    <x v="41"/>
    <s v="Delhi"/>
    <x v="3"/>
    <x v="4"/>
    <x v="17"/>
    <n v="3"/>
    <n v="4868.3"/>
    <n v="0.13"/>
    <n v="12706.26"/>
    <s v="Net Banking"/>
    <x v="0"/>
    <x v="2"/>
    <x v="0"/>
    <n v="14604.900000000001"/>
    <x v="6"/>
    <x v="5"/>
    <x v="0"/>
  </r>
  <r>
    <s v="ORD0938"/>
    <x v="150"/>
    <s v="Tamil Nadu"/>
    <x v="1"/>
    <x v="0"/>
    <x v="4"/>
    <n v="5"/>
    <n v="3064.91"/>
    <n v="0.02"/>
    <n v="15018.06"/>
    <s v="Debit Card"/>
    <x v="1"/>
    <x v="0"/>
    <x v="0"/>
    <n v="15324.55"/>
    <x v="3"/>
    <x v="0"/>
    <x v="0"/>
  </r>
  <r>
    <s v="ORD0939"/>
    <x v="9"/>
    <s v="Delhi"/>
    <x v="2"/>
    <x v="2"/>
    <x v="5"/>
    <n v="4"/>
    <n v="1054.18"/>
    <n v="0.03"/>
    <n v="4090.22"/>
    <s v="Credit Card"/>
    <x v="2"/>
    <x v="2"/>
    <x v="0"/>
    <n v="4216.72"/>
    <x v="0"/>
    <x v="0"/>
    <x v="0"/>
  </r>
  <r>
    <s v="ORD0940"/>
    <x v="177"/>
    <s v="Delhi"/>
    <x v="2"/>
    <x v="4"/>
    <x v="19"/>
    <n v="5"/>
    <n v="621.67999999999995"/>
    <n v="0.05"/>
    <n v="2952.98"/>
    <s v="UPI"/>
    <x v="0"/>
    <x v="2"/>
    <x v="0"/>
    <n v="3108.3999999999996"/>
    <x v="1"/>
    <x v="3"/>
    <x v="0"/>
  </r>
  <r>
    <s v="ORD0941"/>
    <x v="157"/>
    <s v="Delhi"/>
    <x v="0"/>
    <x v="3"/>
    <x v="8"/>
    <n v="5"/>
    <n v="2867.5"/>
    <n v="0.14000000000000001"/>
    <n v="12330.25"/>
    <s v="UPI"/>
    <x v="0"/>
    <x v="1"/>
    <x v="0"/>
    <n v="14337.5"/>
    <x v="4"/>
    <x v="5"/>
    <x v="0"/>
  </r>
  <r>
    <s v="ORD0942"/>
    <x v="120"/>
    <s v="Maharashtra"/>
    <x v="2"/>
    <x v="0"/>
    <x v="2"/>
    <n v="4"/>
    <n v="2551.06"/>
    <n v="0.08"/>
    <n v="9387.9"/>
    <s v="UPI"/>
    <x v="2"/>
    <x v="1"/>
    <x v="2"/>
    <n v="10204.24"/>
    <x v="1"/>
    <x v="0"/>
    <x v="0"/>
  </r>
  <r>
    <s v="ORD0943"/>
    <x v="139"/>
    <s v="Tamil Nadu"/>
    <x v="1"/>
    <x v="0"/>
    <x v="2"/>
    <n v="5"/>
    <n v="4056.72"/>
    <n v="0.04"/>
    <n v="19472.259999999998"/>
    <s v="COD"/>
    <x v="0"/>
    <x v="0"/>
    <x v="0"/>
    <n v="20283.599999999999"/>
    <x v="2"/>
    <x v="2"/>
    <x v="0"/>
  </r>
  <r>
    <s v="ORD0944"/>
    <x v="84"/>
    <s v="Delhi"/>
    <x v="3"/>
    <x v="0"/>
    <x v="2"/>
    <n v="4"/>
    <n v="485.89"/>
    <n v="0.16"/>
    <n v="1632.59"/>
    <s v="Debit Card"/>
    <x v="1"/>
    <x v="0"/>
    <x v="1"/>
    <n v="1943.56"/>
    <x v="6"/>
    <x v="3"/>
    <x v="0"/>
  </r>
  <r>
    <s v="ORD0945"/>
    <x v="113"/>
    <s v="Gujarat"/>
    <x v="1"/>
    <x v="3"/>
    <x v="12"/>
    <n v="5"/>
    <n v="3291.84"/>
    <n v="0.23"/>
    <n v="12673.58"/>
    <s v="COD"/>
    <x v="1"/>
    <x v="1"/>
    <x v="3"/>
    <n v="16459.2"/>
    <x v="5"/>
    <x v="4"/>
    <x v="0"/>
  </r>
  <r>
    <s v="ORD0946"/>
    <x v="128"/>
    <s v="Karnataka"/>
    <x v="3"/>
    <x v="4"/>
    <x v="17"/>
    <n v="1"/>
    <n v="4464.33"/>
    <n v="0.19"/>
    <n v="3616.11"/>
    <s v="COD"/>
    <x v="2"/>
    <x v="1"/>
    <x v="0"/>
    <n v="4464.33"/>
    <x v="3"/>
    <x v="3"/>
    <x v="0"/>
  </r>
  <r>
    <s v="ORD0947"/>
    <x v="51"/>
    <s v="Delhi"/>
    <x v="0"/>
    <x v="1"/>
    <x v="13"/>
    <n v="4"/>
    <n v="577.29"/>
    <n v="0"/>
    <n v="2309.16"/>
    <s v="COD"/>
    <x v="1"/>
    <x v="1"/>
    <x v="0"/>
    <n v="2309.16"/>
    <x v="3"/>
    <x v="1"/>
    <x v="0"/>
  </r>
  <r>
    <s v="ORD0948"/>
    <x v="58"/>
    <s v="Delhi"/>
    <x v="0"/>
    <x v="2"/>
    <x v="6"/>
    <n v="1"/>
    <n v="1472.57"/>
    <n v="0.09"/>
    <n v="1340.04"/>
    <s v="UPI"/>
    <x v="0"/>
    <x v="2"/>
    <x v="0"/>
    <n v="1472.57"/>
    <x v="4"/>
    <x v="0"/>
    <x v="0"/>
  </r>
  <r>
    <s v="ORD0949"/>
    <x v="80"/>
    <s v="Tamil Nadu"/>
    <x v="0"/>
    <x v="2"/>
    <x v="6"/>
    <n v="2"/>
    <n v="4705.16"/>
    <n v="0.24"/>
    <n v="7151.84"/>
    <s v="UPI"/>
    <x v="2"/>
    <x v="1"/>
    <x v="0"/>
    <n v="9410.32"/>
    <x v="0"/>
    <x v="4"/>
    <x v="0"/>
  </r>
  <r>
    <s v="ORD0950"/>
    <x v="16"/>
    <s v="Tamil Nadu"/>
    <x v="2"/>
    <x v="4"/>
    <x v="18"/>
    <n v="2"/>
    <n v="2260.06"/>
    <n v="0.13"/>
    <n v="3932.5"/>
    <s v="COD"/>
    <x v="1"/>
    <x v="0"/>
    <x v="0"/>
    <n v="4520.12"/>
    <x v="0"/>
    <x v="1"/>
    <x v="0"/>
  </r>
  <r>
    <s v="ORD0951"/>
    <x v="174"/>
    <s v="Karnataka"/>
    <x v="0"/>
    <x v="2"/>
    <x v="5"/>
    <n v="1"/>
    <n v="3731.11"/>
    <n v="0.06"/>
    <n v="3507.24"/>
    <s v="Credit Card"/>
    <x v="1"/>
    <x v="0"/>
    <x v="0"/>
    <n v="3731.11"/>
    <x v="4"/>
    <x v="3"/>
    <x v="0"/>
  </r>
  <r>
    <s v="ORD0952"/>
    <x v="96"/>
    <s v="Tamil Nadu"/>
    <x v="0"/>
    <x v="0"/>
    <x v="2"/>
    <n v="4"/>
    <n v="4283.76"/>
    <n v="0.06"/>
    <n v="16106.94"/>
    <s v="Debit Card"/>
    <x v="1"/>
    <x v="1"/>
    <x v="0"/>
    <n v="17135.04"/>
    <x v="5"/>
    <x v="5"/>
    <x v="0"/>
  </r>
  <r>
    <s v="ORD0953"/>
    <x v="13"/>
    <s v="Maharashtra"/>
    <x v="3"/>
    <x v="2"/>
    <x v="5"/>
    <n v="1"/>
    <n v="4595.5600000000004"/>
    <n v="0.23"/>
    <n v="3538.58"/>
    <s v="Credit Card"/>
    <x v="0"/>
    <x v="1"/>
    <x v="0"/>
    <n v="4595.5600000000004"/>
    <x v="6"/>
    <x v="4"/>
    <x v="0"/>
  </r>
  <r>
    <s v="ORD0954"/>
    <x v="98"/>
    <s v="Karnataka"/>
    <x v="1"/>
    <x v="0"/>
    <x v="2"/>
    <n v="2"/>
    <n v="3541.23"/>
    <n v="0.12"/>
    <n v="6232.56"/>
    <s v="COD"/>
    <x v="2"/>
    <x v="1"/>
    <x v="0"/>
    <n v="7082.46"/>
    <x v="2"/>
    <x v="4"/>
    <x v="0"/>
  </r>
  <r>
    <s v="ORD0955"/>
    <x v="65"/>
    <s v="Delhi"/>
    <x v="0"/>
    <x v="3"/>
    <x v="15"/>
    <n v="5"/>
    <n v="253.48"/>
    <n v="0.15"/>
    <n v="1077.29"/>
    <s v="Debit Card"/>
    <x v="2"/>
    <x v="1"/>
    <x v="1"/>
    <n v="1267.3999999999999"/>
    <x v="6"/>
    <x v="0"/>
    <x v="0"/>
  </r>
  <r>
    <s v="ORD0956"/>
    <x v="16"/>
    <s v="Tamil Nadu"/>
    <x v="1"/>
    <x v="4"/>
    <x v="18"/>
    <n v="2"/>
    <n v="4353.3"/>
    <n v="0.24"/>
    <n v="6617.02"/>
    <s v="Debit Card"/>
    <x v="0"/>
    <x v="0"/>
    <x v="0"/>
    <n v="8706.6"/>
    <x v="0"/>
    <x v="1"/>
    <x v="0"/>
  </r>
  <r>
    <s v="ORD0957"/>
    <x v="12"/>
    <s v="Delhi"/>
    <x v="1"/>
    <x v="3"/>
    <x v="8"/>
    <n v="4"/>
    <n v="500.37"/>
    <n v="0.22"/>
    <n v="1561.15"/>
    <s v="Credit Card"/>
    <x v="2"/>
    <x v="1"/>
    <x v="0"/>
    <n v="2001.48"/>
    <x v="6"/>
    <x v="1"/>
    <x v="0"/>
  </r>
  <r>
    <s v="ORD0958"/>
    <x v="0"/>
    <s v="Maharashtra"/>
    <x v="2"/>
    <x v="4"/>
    <x v="16"/>
    <n v="3"/>
    <n v="4820.49"/>
    <n v="7.0000000000000007E-2"/>
    <n v="13449.17"/>
    <s v="Credit Card"/>
    <x v="2"/>
    <x v="2"/>
    <x v="1"/>
    <n v="14461.47"/>
    <x v="0"/>
    <x v="0"/>
    <x v="0"/>
  </r>
  <r>
    <s v="ORD0959"/>
    <x v="101"/>
    <s v="Gujarat"/>
    <x v="0"/>
    <x v="2"/>
    <x v="5"/>
    <n v="4"/>
    <n v="1837.99"/>
    <n v="0.17"/>
    <n v="6102.13"/>
    <s v="Debit Card"/>
    <x v="1"/>
    <x v="1"/>
    <x v="0"/>
    <n v="7351.96"/>
    <x v="5"/>
    <x v="5"/>
    <x v="0"/>
  </r>
  <r>
    <s v="ORD0960"/>
    <x v="103"/>
    <s v="Maharashtra"/>
    <x v="2"/>
    <x v="1"/>
    <x v="10"/>
    <n v="2"/>
    <n v="1686.29"/>
    <n v="0.25"/>
    <n v="2529.4299999999998"/>
    <s v="COD"/>
    <x v="1"/>
    <x v="0"/>
    <x v="0"/>
    <n v="3372.58"/>
    <x v="0"/>
    <x v="1"/>
    <x v="0"/>
  </r>
  <r>
    <s v="ORD0961"/>
    <x v="30"/>
    <s v="Tamil Nadu"/>
    <x v="3"/>
    <x v="2"/>
    <x v="11"/>
    <n v="4"/>
    <n v="1387.73"/>
    <n v="0.18"/>
    <n v="4551.75"/>
    <s v="UPI"/>
    <x v="0"/>
    <x v="1"/>
    <x v="0"/>
    <n v="5550.92"/>
    <x v="1"/>
    <x v="3"/>
    <x v="0"/>
  </r>
  <r>
    <s v="ORD0962"/>
    <x v="49"/>
    <s v="Maharashtra"/>
    <x v="1"/>
    <x v="1"/>
    <x v="13"/>
    <n v="2"/>
    <n v="2158.86"/>
    <n v="0.14000000000000001"/>
    <n v="3713.24"/>
    <s v="Debit Card"/>
    <x v="1"/>
    <x v="2"/>
    <x v="0"/>
    <n v="4317.72"/>
    <x v="0"/>
    <x v="4"/>
    <x v="0"/>
  </r>
  <r>
    <s v="ORD0963"/>
    <x v="159"/>
    <s v="Gujarat"/>
    <x v="0"/>
    <x v="3"/>
    <x v="12"/>
    <n v="3"/>
    <n v="179.34"/>
    <n v="0.22"/>
    <n v="419.66"/>
    <s v="Credit Card"/>
    <x v="2"/>
    <x v="0"/>
    <x v="0"/>
    <n v="538.02"/>
    <x v="1"/>
    <x v="2"/>
    <x v="1"/>
  </r>
  <r>
    <s v="ORD0964"/>
    <x v="107"/>
    <s v="Tamil Nadu"/>
    <x v="0"/>
    <x v="2"/>
    <x v="5"/>
    <n v="5"/>
    <n v="2186.66"/>
    <n v="0.24"/>
    <n v="8309.31"/>
    <s v="UPI"/>
    <x v="2"/>
    <x v="1"/>
    <x v="1"/>
    <n v="10933.3"/>
    <x v="6"/>
    <x v="1"/>
    <x v="0"/>
  </r>
  <r>
    <s v="ORD0965"/>
    <x v="171"/>
    <s v="Karnataka"/>
    <x v="1"/>
    <x v="2"/>
    <x v="5"/>
    <n v="5"/>
    <n v="897.02"/>
    <n v="0.11"/>
    <n v="3991.74"/>
    <s v="Debit Card"/>
    <x v="1"/>
    <x v="1"/>
    <x v="0"/>
    <n v="4485.1000000000004"/>
    <x v="4"/>
    <x v="2"/>
    <x v="0"/>
  </r>
  <r>
    <s v="ORD0966"/>
    <x v="42"/>
    <s v="Maharashtra"/>
    <x v="0"/>
    <x v="1"/>
    <x v="13"/>
    <n v="1"/>
    <n v="3119.68"/>
    <n v="0.1"/>
    <n v="2807.71"/>
    <s v="Credit Card"/>
    <x v="0"/>
    <x v="1"/>
    <x v="0"/>
    <n v="3119.68"/>
    <x v="3"/>
    <x v="5"/>
    <x v="0"/>
  </r>
  <r>
    <s v="ORD0967"/>
    <x v="179"/>
    <s v="Karnataka"/>
    <x v="3"/>
    <x v="1"/>
    <x v="13"/>
    <n v="2"/>
    <n v="3906.71"/>
    <n v="0.14000000000000001"/>
    <n v="6719.54"/>
    <s v="Net Banking"/>
    <x v="0"/>
    <x v="2"/>
    <x v="1"/>
    <n v="7813.42"/>
    <x v="1"/>
    <x v="5"/>
    <x v="0"/>
  </r>
  <r>
    <s v="ORD0968"/>
    <x v="39"/>
    <s v="Tamil Nadu"/>
    <x v="2"/>
    <x v="0"/>
    <x v="2"/>
    <n v="4"/>
    <n v="137.27000000000001"/>
    <n v="0.09"/>
    <n v="499.66"/>
    <s v="Net Banking"/>
    <x v="1"/>
    <x v="2"/>
    <x v="0"/>
    <n v="549.08000000000004"/>
    <x v="5"/>
    <x v="2"/>
    <x v="1"/>
  </r>
  <r>
    <s v="ORD0969"/>
    <x v="69"/>
    <s v="Tamil Nadu"/>
    <x v="2"/>
    <x v="4"/>
    <x v="17"/>
    <n v="4"/>
    <n v="260.11"/>
    <n v="0.01"/>
    <n v="1030.04"/>
    <s v="Debit Card"/>
    <x v="0"/>
    <x v="1"/>
    <x v="0"/>
    <n v="1040.44"/>
    <x v="2"/>
    <x v="4"/>
    <x v="0"/>
  </r>
  <r>
    <s v="ORD0970"/>
    <x v="179"/>
    <s v="Delhi"/>
    <x v="1"/>
    <x v="1"/>
    <x v="14"/>
    <n v="2"/>
    <n v="3119.71"/>
    <n v="0.1"/>
    <n v="5615.48"/>
    <s v="COD"/>
    <x v="2"/>
    <x v="2"/>
    <x v="0"/>
    <n v="6239.42"/>
    <x v="1"/>
    <x v="5"/>
    <x v="0"/>
  </r>
  <r>
    <s v="ORD0971"/>
    <x v="41"/>
    <s v="Tamil Nadu"/>
    <x v="0"/>
    <x v="2"/>
    <x v="11"/>
    <n v="2"/>
    <n v="2243.27"/>
    <n v="0.02"/>
    <n v="4396.8100000000004"/>
    <s v="UPI"/>
    <x v="1"/>
    <x v="2"/>
    <x v="0"/>
    <n v="4486.54"/>
    <x v="6"/>
    <x v="5"/>
    <x v="0"/>
  </r>
  <r>
    <s v="ORD0972"/>
    <x v="32"/>
    <s v="Gujarat"/>
    <x v="3"/>
    <x v="2"/>
    <x v="6"/>
    <n v="2"/>
    <n v="556.95000000000005"/>
    <n v="0.01"/>
    <n v="1102.76"/>
    <s v="Debit Card"/>
    <x v="2"/>
    <x v="2"/>
    <x v="0"/>
    <n v="1113.9000000000001"/>
    <x v="1"/>
    <x v="0"/>
    <x v="0"/>
  </r>
  <r>
    <s v="ORD0973"/>
    <x v="93"/>
    <s v="Gujarat"/>
    <x v="3"/>
    <x v="1"/>
    <x v="13"/>
    <n v="2"/>
    <n v="4918.7299999999996"/>
    <n v="0.16"/>
    <n v="8263.4699999999993"/>
    <s v="Net Banking"/>
    <x v="0"/>
    <x v="1"/>
    <x v="0"/>
    <n v="9837.4599999999991"/>
    <x v="6"/>
    <x v="3"/>
    <x v="0"/>
  </r>
  <r>
    <s v="ORD0974"/>
    <x v="42"/>
    <s v="Delhi"/>
    <x v="0"/>
    <x v="3"/>
    <x v="9"/>
    <n v="4"/>
    <n v="3874.92"/>
    <n v="0.16"/>
    <n v="13019.73"/>
    <s v="COD"/>
    <x v="0"/>
    <x v="1"/>
    <x v="1"/>
    <n v="15499.68"/>
    <x v="3"/>
    <x v="5"/>
    <x v="0"/>
  </r>
  <r>
    <s v="ORD0975"/>
    <x v="28"/>
    <s v="Maharashtra"/>
    <x v="0"/>
    <x v="0"/>
    <x v="0"/>
    <n v="1"/>
    <n v="624.67999999999995"/>
    <n v="7.0000000000000007E-2"/>
    <n v="580.95000000000005"/>
    <s v="Net Banking"/>
    <x v="1"/>
    <x v="2"/>
    <x v="0"/>
    <n v="624.67999999999995"/>
    <x v="0"/>
    <x v="2"/>
    <x v="1"/>
  </r>
  <r>
    <s v="ORD0976"/>
    <x v="106"/>
    <s v="Tamil Nadu"/>
    <x v="0"/>
    <x v="4"/>
    <x v="16"/>
    <n v="1"/>
    <n v="2127.35"/>
    <n v="0.12"/>
    <n v="1872.07"/>
    <s v="Credit Card"/>
    <x v="2"/>
    <x v="0"/>
    <x v="0"/>
    <n v="2127.35"/>
    <x v="5"/>
    <x v="0"/>
    <x v="0"/>
  </r>
  <r>
    <s v="ORD0977"/>
    <x v="56"/>
    <s v="Karnataka"/>
    <x v="0"/>
    <x v="2"/>
    <x v="5"/>
    <n v="2"/>
    <n v="1563.9"/>
    <n v="0.23"/>
    <n v="2408.41"/>
    <s v="Net Banking"/>
    <x v="0"/>
    <x v="0"/>
    <x v="0"/>
    <n v="3127.8"/>
    <x v="1"/>
    <x v="3"/>
    <x v="0"/>
  </r>
  <r>
    <s v="ORD0978"/>
    <x v="14"/>
    <s v="Tamil Nadu"/>
    <x v="0"/>
    <x v="4"/>
    <x v="17"/>
    <n v="5"/>
    <n v="124.57"/>
    <n v="0.13"/>
    <n v="541.88"/>
    <s v="COD"/>
    <x v="1"/>
    <x v="1"/>
    <x v="0"/>
    <n v="622.84999999999991"/>
    <x v="2"/>
    <x v="5"/>
    <x v="1"/>
  </r>
  <r>
    <s v="ORD0979"/>
    <x v="115"/>
    <s v="Gujarat"/>
    <x v="0"/>
    <x v="0"/>
    <x v="0"/>
    <n v="2"/>
    <n v="4347.68"/>
    <n v="0.03"/>
    <n v="8434.5"/>
    <s v="COD"/>
    <x v="0"/>
    <x v="2"/>
    <x v="0"/>
    <n v="8695.36"/>
    <x v="5"/>
    <x v="2"/>
    <x v="0"/>
  </r>
  <r>
    <s v="ORD0980"/>
    <x v="162"/>
    <s v="Delhi"/>
    <x v="2"/>
    <x v="3"/>
    <x v="8"/>
    <n v="4"/>
    <n v="1076.26"/>
    <n v="0.02"/>
    <n v="4218.9399999999996"/>
    <s v="UPI"/>
    <x v="2"/>
    <x v="0"/>
    <x v="0"/>
    <n v="4305.04"/>
    <x v="4"/>
    <x v="3"/>
    <x v="0"/>
  </r>
  <r>
    <s v="ORD0981"/>
    <x v="53"/>
    <s v="Gujarat"/>
    <x v="2"/>
    <x v="2"/>
    <x v="5"/>
    <n v="3"/>
    <n v="947.5"/>
    <n v="0.17"/>
    <n v="2359.2800000000002"/>
    <s v="Net Banking"/>
    <x v="0"/>
    <x v="0"/>
    <x v="2"/>
    <n v="2842.5"/>
    <x v="4"/>
    <x v="1"/>
    <x v="0"/>
  </r>
  <r>
    <s v="ORD0982"/>
    <x v="153"/>
    <s v="Delhi"/>
    <x v="2"/>
    <x v="0"/>
    <x v="2"/>
    <n v="4"/>
    <n v="2224.0100000000002"/>
    <n v="0.11"/>
    <n v="7917.48"/>
    <s v="Debit Card"/>
    <x v="1"/>
    <x v="0"/>
    <x v="3"/>
    <n v="8896.0400000000009"/>
    <x v="1"/>
    <x v="4"/>
    <x v="0"/>
  </r>
  <r>
    <s v="ORD0983"/>
    <x v="130"/>
    <s v="Gujarat"/>
    <x v="0"/>
    <x v="1"/>
    <x v="13"/>
    <n v="2"/>
    <n v="2879"/>
    <n v="0.09"/>
    <n v="5239.78"/>
    <s v="Net Banking"/>
    <x v="2"/>
    <x v="0"/>
    <x v="0"/>
    <n v="5758"/>
    <x v="3"/>
    <x v="1"/>
    <x v="0"/>
  </r>
  <r>
    <s v="ORD0984"/>
    <x v="99"/>
    <s v="Gujarat"/>
    <x v="2"/>
    <x v="0"/>
    <x v="2"/>
    <n v="5"/>
    <n v="4150.76"/>
    <n v="0.16"/>
    <n v="17433.189999999999"/>
    <s v="Net Banking"/>
    <x v="2"/>
    <x v="0"/>
    <x v="0"/>
    <n v="20753.800000000003"/>
    <x v="0"/>
    <x v="0"/>
    <x v="0"/>
  </r>
  <r>
    <s v="ORD0985"/>
    <x v="50"/>
    <s v="Karnataka"/>
    <x v="2"/>
    <x v="0"/>
    <x v="4"/>
    <n v="3"/>
    <n v="1302.06"/>
    <n v="0.05"/>
    <n v="3710.87"/>
    <s v="Net Banking"/>
    <x v="0"/>
    <x v="1"/>
    <x v="0"/>
    <n v="3906.18"/>
    <x v="5"/>
    <x v="4"/>
    <x v="0"/>
  </r>
  <r>
    <s v="ORD0986"/>
    <x v="86"/>
    <s v="Maharashtra"/>
    <x v="2"/>
    <x v="4"/>
    <x v="19"/>
    <n v="1"/>
    <n v="3612.33"/>
    <n v="0.05"/>
    <n v="3431.71"/>
    <s v="UPI"/>
    <x v="1"/>
    <x v="0"/>
    <x v="1"/>
    <n v="3612.33"/>
    <x v="3"/>
    <x v="1"/>
    <x v="0"/>
  </r>
  <r>
    <s v="ORD0987"/>
    <x v="173"/>
    <s v="Tamil Nadu"/>
    <x v="0"/>
    <x v="1"/>
    <x v="13"/>
    <n v="2"/>
    <n v="2683.59"/>
    <n v="0.03"/>
    <n v="5206.16"/>
    <s v="UPI"/>
    <x v="1"/>
    <x v="1"/>
    <x v="0"/>
    <n v="5367.18"/>
    <x v="2"/>
    <x v="5"/>
    <x v="0"/>
  </r>
  <r>
    <s v="ORD0988"/>
    <x v="6"/>
    <s v="Karnataka"/>
    <x v="2"/>
    <x v="2"/>
    <x v="5"/>
    <n v="2"/>
    <n v="343.33"/>
    <n v="0.12"/>
    <n v="604.26"/>
    <s v="UPI"/>
    <x v="0"/>
    <x v="2"/>
    <x v="0"/>
    <n v="686.66"/>
    <x v="4"/>
    <x v="2"/>
    <x v="1"/>
  </r>
  <r>
    <s v="ORD0989"/>
    <x v="25"/>
    <s v="Delhi"/>
    <x v="0"/>
    <x v="0"/>
    <x v="3"/>
    <n v="5"/>
    <n v="1976"/>
    <n v="0.14000000000000001"/>
    <n v="8496.7999999999993"/>
    <s v="COD"/>
    <x v="2"/>
    <x v="1"/>
    <x v="0"/>
    <n v="9880"/>
    <x v="1"/>
    <x v="0"/>
    <x v="0"/>
  </r>
  <r>
    <s v="ORD0990"/>
    <x v="64"/>
    <s v="Tamil Nadu"/>
    <x v="0"/>
    <x v="1"/>
    <x v="13"/>
    <n v="4"/>
    <n v="281.33999999999997"/>
    <n v="0.13"/>
    <n v="979.06"/>
    <s v="UPI"/>
    <x v="0"/>
    <x v="0"/>
    <x v="0"/>
    <n v="1125.3599999999999"/>
    <x v="5"/>
    <x v="1"/>
    <x v="1"/>
  </r>
  <r>
    <s v="ORD0991"/>
    <x v="127"/>
    <s v="Tamil Nadu"/>
    <x v="0"/>
    <x v="0"/>
    <x v="0"/>
    <n v="3"/>
    <n v="1445.9"/>
    <n v="0.19"/>
    <n v="3513.54"/>
    <s v="Credit Card"/>
    <x v="2"/>
    <x v="1"/>
    <x v="0"/>
    <n v="4337.7000000000007"/>
    <x v="2"/>
    <x v="3"/>
    <x v="0"/>
  </r>
  <r>
    <s v="ORD0992"/>
    <x v="25"/>
    <s v="Gujarat"/>
    <x v="0"/>
    <x v="4"/>
    <x v="18"/>
    <n v="3"/>
    <n v="3512.64"/>
    <n v="0.11"/>
    <n v="9378.75"/>
    <s v="Credit Card"/>
    <x v="2"/>
    <x v="0"/>
    <x v="3"/>
    <n v="10537.92"/>
    <x v="1"/>
    <x v="0"/>
    <x v="0"/>
  </r>
  <r>
    <s v="ORD0993"/>
    <x v="169"/>
    <s v="Maharashtra"/>
    <x v="1"/>
    <x v="1"/>
    <x v="13"/>
    <n v="1"/>
    <n v="779.8"/>
    <n v="0.25"/>
    <n v="584.85"/>
    <s v="Debit Card"/>
    <x v="0"/>
    <x v="0"/>
    <x v="0"/>
    <n v="779.8"/>
    <x v="1"/>
    <x v="1"/>
    <x v="1"/>
  </r>
  <r>
    <s v="ORD0994"/>
    <x v="106"/>
    <s v="Karnataka"/>
    <x v="0"/>
    <x v="0"/>
    <x v="4"/>
    <n v="1"/>
    <n v="1372.47"/>
    <n v="0.2"/>
    <n v="1097.98"/>
    <s v="COD"/>
    <x v="0"/>
    <x v="2"/>
    <x v="1"/>
    <n v="1372.47"/>
    <x v="5"/>
    <x v="0"/>
    <x v="0"/>
  </r>
  <r>
    <s v="ORD0995"/>
    <x v="15"/>
    <s v="Karnataka"/>
    <x v="1"/>
    <x v="0"/>
    <x v="2"/>
    <n v="3"/>
    <n v="3523.46"/>
    <n v="0.23"/>
    <n v="8139.19"/>
    <s v="COD"/>
    <x v="2"/>
    <x v="0"/>
    <x v="0"/>
    <n v="10570.380000000001"/>
    <x v="5"/>
    <x v="1"/>
    <x v="0"/>
  </r>
  <r>
    <s v="ORD0996"/>
    <x v="115"/>
    <s v="Gujarat"/>
    <x v="1"/>
    <x v="4"/>
    <x v="16"/>
    <n v="4"/>
    <n v="3374.35"/>
    <n v="0.13"/>
    <n v="11742.74"/>
    <s v="Net Banking"/>
    <x v="1"/>
    <x v="2"/>
    <x v="0"/>
    <n v="13497.4"/>
    <x v="5"/>
    <x v="2"/>
    <x v="0"/>
  </r>
  <r>
    <s v="ORD0997"/>
    <x v="23"/>
    <s v="Tamil Nadu"/>
    <x v="3"/>
    <x v="4"/>
    <x v="17"/>
    <n v="3"/>
    <n v="3854.39"/>
    <n v="0.18"/>
    <n v="9481.7999999999993"/>
    <s v="Debit Card"/>
    <x v="0"/>
    <x v="1"/>
    <x v="0"/>
    <n v="11563.17"/>
    <x v="3"/>
    <x v="2"/>
    <x v="0"/>
  </r>
  <r>
    <s v="ORD0998"/>
    <x v="162"/>
    <s v="Maharashtra"/>
    <x v="3"/>
    <x v="3"/>
    <x v="8"/>
    <n v="2"/>
    <n v="164.33"/>
    <n v="0.05"/>
    <n v="312.23"/>
    <s v="Net Banking"/>
    <x v="0"/>
    <x v="1"/>
    <x v="0"/>
    <n v="328.66"/>
    <x v="4"/>
    <x v="3"/>
    <x v="1"/>
  </r>
  <r>
    <s v="ORD0999"/>
    <x v="130"/>
    <s v="Gujarat"/>
    <x v="3"/>
    <x v="4"/>
    <x v="16"/>
    <n v="3"/>
    <n v="3826.39"/>
    <n v="0.08"/>
    <n v="10560.84"/>
    <s v="COD"/>
    <x v="1"/>
    <x v="1"/>
    <x v="3"/>
    <n v="11479.17"/>
    <x v="3"/>
    <x v="1"/>
    <x v="0"/>
  </r>
  <r>
    <s v="ORD1000"/>
    <x v="58"/>
    <s v="Delhi"/>
    <x v="3"/>
    <x v="0"/>
    <x v="4"/>
    <n v="4"/>
    <n v="4352.51"/>
    <n v="0.13"/>
    <n v="15146.73"/>
    <s v="UPI"/>
    <x v="2"/>
    <x v="1"/>
    <x v="0"/>
    <n v="17410.04"/>
    <x v="4"/>
    <x v="0"/>
    <x v="0"/>
  </r>
  <r>
    <s v="ORD1001"/>
    <x v="108"/>
    <s v="Karnataka"/>
    <x v="0"/>
    <x v="2"/>
    <x v="11"/>
    <n v="1"/>
    <n v="821.72"/>
    <n v="0.22"/>
    <n v="640.94000000000005"/>
    <s v="COD"/>
    <x v="1"/>
    <x v="0"/>
    <x v="0"/>
    <n v="821.72"/>
    <x v="4"/>
    <x v="2"/>
    <x v="1"/>
  </r>
  <r>
    <s v="ORD1002"/>
    <x v="133"/>
    <s v="Karnataka"/>
    <x v="0"/>
    <x v="2"/>
    <x v="11"/>
    <n v="5"/>
    <n v="2317.94"/>
    <n v="7.0000000000000007E-2"/>
    <n v="10778.42"/>
    <s v="Credit Card"/>
    <x v="2"/>
    <x v="0"/>
    <x v="0"/>
    <n v="11589.7"/>
    <x v="2"/>
    <x v="2"/>
    <x v="0"/>
  </r>
  <r>
    <s v="ORD1003"/>
    <x v="51"/>
    <s v="Tamil Nadu"/>
    <x v="0"/>
    <x v="3"/>
    <x v="12"/>
    <n v="5"/>
    <n v="1735.32"/>
    <n v="0.11"/>
    <n v="7722.17"/>
    <s v="COD"/>
    <x v="2"/>
    <x v="1"/>
    <x v="0"/>
    <n v="8676.6"/>
    <x v="3"/>
    <x v="1"/>
    <x v="0"/>
  </r>
  <r>
    <s v="ORD1004"/>
    <x v="153"/>
    <s v="Delhi"/>
    <x v="1"/>
    <x v="2"/>
    <x v="5"/>
    <n v="4"/>
    <n v="965.56"/>
    <n v="7.0000000000000007E-2"/>
    <n v="3591.88"/>
    <s v="UPI"/>
    <x v="0"/>
    <x v="0"/>
    <x v="0"/>
    <n v="3862.24"/>
    <x v="1"/>
    <x v="4"/>
    <x v="0"/>
  </r>
  <r>
    <s v="ORD1005"/>
    <x v="150"/>
    <s v="Delhi"/>
    <x v="3"/>
    <x v="0"/>
    <x v="0"/>
    <n v="1"/>
    <n v="360.38"/>
    <n v="0.01"/>
    <n v="356.78"/>
    <s v="Credit Card"/>
    <x v="0"/>
    <x v="1"/>
    <x v="0"/>
    <n v="360.38"/>
    <x v="3"/>
    <x v="0"/>
    <x v="1"/>
  </r>
  <r>
    <s v="ORD1006"/>
    <x v="117"/>
    <s v="Delhi"/>
    <x v="2"/>
    <x v="0"/>
    <x v="2"/>
    <n v="4"/>
    <n v="2020.35"/>
    <n v="0.03"/>
    <n v="7838.96"/>
    <s v="COD"/>
    <x v="1"/>
    <x v="0"/>
    <x v="0"/>
    <n v="8081.4"/>
    <x v="4"/>
    <x v="1"/>
    <x v="0"/>
  </r>
  <r>
    <s v="ORD1007"/>
    <x v="98"/>
    <s v="Karnataka"/>
    <x v="1"/>
    <x v="3"/>
    <x v="12"/>
    <n v="5"/>
    <n v="1511.1"/>
    <n v="0"/>
    <n v="7555.5"/>
    <s v="UPI"/>
    <x v="1"/>
    <x v="2"/>
    <x v="0"/>
    <n v="7555.5"/>
    <x v="2"/>
    <x v="4"/>
    <x v="0"/>
  </r>
  <r>
    <s v="ORD1008"/>
    <x v="18"/>
    <s v="Karnataka"/>
    <x v="1"/>
    <x v="3"/>
    <x v="12"/>
    <n v="2"/>
    <n v="1727.56"/>
    <n v="0.11"/>
    <n v="3075.06"/>
    <s v="Credit Card"/>
    <x v="0"/>
    <x v="2"/>
    <x v="0"/>
    <n v="3455.12"/>
    <x v="1"/>
    <x v="2"/>
    <x v="0"/>
  </r>
  <r>
    <s v="ORD1009"/>
    <x v="113"/>
    <s v="Karnataka"/>
    <x v="0"/>
    <x v="0"/>
    <x v="4"/>
    <n v="1"/>
    <n v="3010.63"/>
    <n v="0.24"/>
    <n v="2288.08"/>
    <s v="Credit Card"/>
    <x v="0"/>
    <x v="0"/>
    <x v="0"/>
    <n v="3010.63"/>
    <x v="5"/>
    <x v="4"/>
    <x v="0"/>
  </r>
  <r>
    <s v="ORD1010"/>
    <x v="35"/>
    <s v="Maharashtra"/>
    <x v="3"/>
    <x v="3"/>
    <x v="15"/>
    <n v="5"/>
    <n v="3432.23"/>
    <n v="7.0000000000000007E-2"/>
    <n v="15959.87"/>
    <s v="Credit Card"/>
    <x v="0"/>
    <x v="2"/>
    <x v="3"/>
    <n v="17161.150000000001"/>
    <x v="6"/>
    <x v="0"/>
    <x v="0"/>
  </r>
  <r>
    <s v="ORD1011"/>
    <x v="180"/>
    <s v="Karnataka"/>
    <x v="1"/>
    <x v="0"/>
    <x v="0"/>
    <n v="4"/>
    <n v="3700.59"/>
    <n v="0.25"/>
    <n v="11101.77"/>
    <s v="UPI"/>
    <x v="2"/>
    <x v="1"/>
    <x v="0"/>
    <n v="14802.36"/>
    <x v="1"/>
    <x v="2"/>
    <x v="0"/>
  </r>
  <r>
    <s v="ORD1012"/>
    <x v="40"/>
    <s v="Karnataka"/>
    <x v="1"/>
    <x v="2"/>
    <x v="7"/>
    <n v="3"/>
    <n v="4467.72"/>
    <n v="0.19"/>
    <n v="10856.56"/>
    <s v="UPI"/>
    <x v="1"/>
    <x v="0"/>
    <x v="0"/>
    <n v="13403.16"/>
    <x v="4"/>
    <x v="0"/>
    <x v="0"/>
  </r>
  <r>
    <s v="ORD1013"/>
    <x v="71"/>
    <s v="Delhi"/>
    <x v="1"/>
    <x v="1"/>
    <x v="13"/>
    <n v="2"/>
    <n v="1850.25"/>
    <n v="0.01"/>
    <n v="3663.49"/>
    <s v="Net Banking"/>
    <x v="0"/>
    <x v="0"/>
    <x v="0"/>
    <n v="3700.5"/>
    <x v="4"/>
    <x v="5"/>
    <x v="0"/>
  </r>
  <r>
    <s v="ORD1014"/>
    <x v="139"/>
    <s v="Tamil Nadu"/>
    <x v="3"/>
    <x v="0"/>
    <x v="4"/>
    <n v="5"/>
    <n v="4506.18"/>
    <n v="0.11"/>
    <n v="20052.5"/>
    <s v="Credit Card"/>
    <x v="2"/>
    <x v="0"/>
    <x v="0"/>
    <n v="22530.9"/>
    <x v="2"/>
    <x v="2"/>
    <x v="0"/>
  </r>
  <r>
    <s v="ORD1015"/>
    <x v="45"/>
    <s v="Tamil Nadu"/>
    <x v="2"/>
    <x v="4"/>
    <x v="17"/>
    <n v="3"/>
    <n v="1615.68"/>
    <n v="0.01"/>
    <n v="4798.57"/>
    <s v="COD"/>
    <x v="2"/>
    <x v="0"/>
    <x v="3"/>
    <n v="4847.04"/>
    <x v="0"/>
    <x v="4"/>
    <x v="0"/>
  </r>
  <r>
    <s v="ORD1016"/>
    <x v="45"/>
    <s v="Tamil Nadu"/>
    <x v="3"/>
    <x v="0"/>
    <x v="3"/>
    <n v="3"/>
    <n v="639.92999999999995"/>
    <n v="0"/>
    <n v="1919.79"/>
    <s v="COD"/>
    <x v="2"/>
    <x v="0"/>
    <x v="0"/>
    <n v="1919.79"/>
    <x v="0"/>
    <x v="4"/>
    <x v="0"/>
  </r>
  <r>
    <s v="ORD1017"/>
    <x v="99"/>
    <s v="Gujarat"/>
    <x v="0"/>
    <x v="3"/>
    <x v="9"/>
    <n v="2"/>
    <n v="1587.86"/>
    <n v="7.0000000000000007E-2"/>
    <n v="2953.42"/>
    <s v="COD"/>
    <x v="1"/>
    <x v="1"/>
    <x v="0"/>
    <n v="3175.72"/>
    <x v="0"/>
    <x v="0"/>
    <x v="0"/>
  </r>
  <r>
    <s v="ORD1018"/>
    <x v="24"/>
    <s v="Gujarat"/>
    <x v="0"/>
    <x v="3"/>
    <x v="9"/>
    <n v="4"/>
    <n v="1598.53"/>
    <n v="0.11"/>
    <n v="5690.77"/>
    <s v="Credit Card"/>
    <x v="0"/>
    <x v="0"/>
    <x v="0"/>
    <n v="6394.12"/>
    <x v="5"/>
    <x v="0"/>
    <x v="0"/>
  </r>
  <r>
    <s v="ORD1019"/>
    <x v="117"/>
    <s v="Karnataka"/>
    <x v="3"/>
    <x v="3"/>
    <x v="9"/>
    <n v="5"/>
    <n v="859.68"/>
    <n v="0.02"/>
    <n v="4212.43"/>
    <s v="COD"/>
    <x v="1"/>
    <x v="1"/>
    <x v="2"/>
    <n v="4298.3999999999996"/>
    <x v="4"/>
    <x v="1"/>
    <x v="0"/>
  </r>
  <r>
    <s v="ORD1020"/>
    <x v="127"/>
    <s v="Gujarat"/>
    <x v="1"/>
    <x v="3"/>
    <x v="15"/>
    <n v="2"/>
    <n v="257.47000000000003"/>
    <n v="0.23"/>
    <n v="396.5"/>
    <s v="Credit Card"/>
    <x v="2"/>
    <x v="2"/>
    <x v="0"/>
    <n v="514.94000000000005"/>
    <x v="2"/>
    <x v="3"/>
    <x v="1"/>
  </r>
  <r>
    <s v="ORD1021"/>
    <x v="87"/>
    <s v="Karnataka"/>
    <x v="3"/>
    <x v="0"/>
    <x v="2"/>
    <n v="2"/>
    <n v="2863.15"/>
    <n v="0.17"/>
    <n v="4752.83"/>
    <s v="COD"/>
    <x v="2"/>
    <x v="1"/>
    <x v="0"/>
    <n v="5726.3"/>
    <x v="0"/>
    <x v="3"/>
    <x v="0"/>
  </r>
  <r>
    <s v="ORD1022"/>
    <x v="34"/>
    <s v="Delhi"/>
    <x v="1"/>
    <x v="3"/>
    <x v="9"/>
    <n v="2"/>
    <n v="1575.21"/>
    <n v="0.02"/>
    <n v="3087.41"/>
    <s v="Net Banking"/>
    <x v="1"/>
    <x v="0"/>
    <x v="0"/>
    <n v="3150.42"/>
    <x v="3"/>
    <x v="2"/>
    <x v="0"/>
  </r>
  <r>
    <s v="ORD1023"/>
    <x v="142"/>
    <s v="Maharashtra"/>
    <x v="2"/>
    <x v="2"/>
    <x v="5"/>
    <n v="4"/>
    <n v="3501.25"/>
    <n v="0.13"/>
    <n v="12184.35"/>
    <s v="Debit Card"/>
    <x v="1"/>
    <x v="0"/>
    <x v="0"/>
    <n v="14005"/>
    <x v="2"/>
    <x v="5"/>
    <x v="0"/>
  </r>
  <r>
    <s v="ORD1024"/>
    <x v="123"/>
    <s v="Tamil Nadu"/>
    <x v="0"/>
    <x v="2"/>
    <x v="5"/>
    <n v="1"/>
    <n v="4571.54"/>
    <n v="0.01"/>
    <n v="4525.82"/>
    <s v="Net Banking"/>
    <x v="2"/>
    <x v="1"/>
    <x v="3"/>
    <n v="4571.54"/>
    <x v="5"/>
    <x v="1"/>
    <x v="0"/>
  </r>
  <r>
    <s v="ORD1025"/>
    <x v="62"/>
    <s v="Delhi"/>
    <x v="2"/>
    <x v="1"/>
    <x v="1"/>
    <n v="3"/>
    <n v="723.65"/>
    <n v="0.14000000000000001"/>
    <n v="1867.02"/>
    <s v="COD"/>
    <x v="1"/>
    <x v="0"/>
    <x v="0"/>
    <n v="2170.9499999999998"/>
    <x v="1"/>
    <x v="4"/>
    <x v="0"/>
  </r>
  <r>
    <s v="ORD1026"/>
    <x v="2"/>
    <s v="Tamil Nadu"/>
    <x v="2"/>
    <x v="2"/>
    <x v="11"/>
    <n v="5"/>
    <n v="2355.08"/>
    <n v="0.01"/>
    <n v="11657.65"/>
    <s v="Credit Card"/>
    <x v="2"/>
    <x v="2"/>
    <x v="3"/>
    <n v="11775.4"/>
    <x v="2"/>
    <x v="1"/>
    <x v="0"/>
  </r>
  <r>
    <s v="ORD1027"/>
    <x v="131"/>
    <s v="Gujarat"/>
    <x v="0"/>
    <x v="0"/>
    <x v="2"/>
    <n v="5"/>
    <n v="2459.19"/>
    <n v="0.08"/>
    <n v="11312.27"/>
    <s v="Credit Card"/>
    <x v="2"/>
    <x v="2"/>
    <x v="0"/>
    <n v="12295.95"/>
    <x v="0"/>
    <x v="6"/>
    <x v="0"/>
  </r>
  <r>
    <s v="ORD1028"/>
    <x v="142"/>
    <s v="Delhi"/>
    <x v="3"/>
    <x v="1"/>
    <x v="13"/>
    <n v="5"/>
    <n v="3728.08"/>
    <n v="0.12"/>
    <n v="16403.55"/>
    <s v="COD"/>
    <x v="0"/>
    <x v="2"/>
    <x v="0"/>
    <n v="18640.400000000001"/>
    <x v="2"/>
    <x v="5"/>
    <x v="0"/>
  </r>
  <r>
    <s v="ORD1029"/>
    <x v="152"/>
    <s v="Tamil Nadu"/>
    <x v="0"/>
    <x v="4"/>
    <x v="19"/>
    <n v="2"/>
    <n v="662.07"/>
    <n v="0"/>
    <n v="1324.14"/>
    <s v="COD"/>
    <x v="1"/>
    <x v="0"/>
    <x v="0"/>
    <n v="1324.14"/>
    <x v="5"/>
    <x v="4"/>
    <x v="0"/>
  </r>
  <r>
    <s v="ORD1030"/>
    <x v="9"/>
    <s v="Maharashtra"/>
    <x v="2"/>
    <x v="3"/>
    <x v="12"/>
    <n v="5"/>
    <n v="2274.6999999999998"/>
    <n v="0.01"/>
    <n v="11259.76"/>
    <s v="Net Banking"/>
    <x v="0"/>
    <x v="2"/>
    <x v="0"/>
    <n v="11373.5"/>
    <x v="0"/>
    <x v="0"/>
    <x v="0"/>
  </r>
  <r>
    <s v="ORD1031"/>
    <x v="174"/>
    <s v="Gujarat"/>
    <x v="3"/>
    <x v="3"/>
    <x v="12"/>
    <n v="4"/>
    <n v="4310.6400000000003"/>
    <n v="0.15"/>
    <n v="14656.18"/>
    <s v="UPI"/>
    <x v="1"/>
    <x v="1"/>
    <x v="0"/>
    <n v="17242.560000000001"/>
    <x v="4"/>
    <x v="3"/>
    <x v="0"/>
  </r>
  <r>
    <s v="ORD1032"/>
    <x v="126"/>
    <s v="Delhi"/>
    <x v="0"/>
    <x v="3"/>
    <x v="12"/>
    <n v="5"/>
    <n v="1081.72"/>
    <n v="0.12"/>
    <n v="4759.57"/>
    <s v="Debit Card"/>
    <x v="1"/>
    <x v="1"/>
    <x v="2"/>
    <n v="5408.6"/>
    <x v="6"/>
    <x v="5"/>
    <x v="0"/>
  </r>
  <r>
    <s v="ORD1033"/>
    <x v="89"/>
    <s v="Karnataka"/>
    <x v="0"/>
    <x v="2"/>
    <x v="6"/>
    <n v="1"/>
    <n v="2373.42"/>
    <n v="0.2"/>
    <n v="1898.74"/>
    <s v="Net Banking"/>
    <x v="2"/>
    <x v="2"/>
    <x v="0"/>
    <n v="2373.42"/>
    <x v="1"/>
    <x v="5"/>
    <x v="0"/>
  </r>
  <r>
    <s v="ORD1034"/>
    <x v="167"/>
    <s v="Maharashtra"/>
    <x v="1"/>
    <x v="0"/>
    <x v="3"/>
    <n v="1"/>
    <n v="3261.03"/>
    <n v="0.22"/>
    <n v="2543.6"/>
    <s v="COD"/>
    <x v="2"/>
    <x v="0"/>
    <x v="0"/>
    <n v="3261.03"/>
    <x v="1"/>
    <x v="6"/>
    <x v="0"/>
  </r>
  <r>
    <s v="ORD1035"/>
    <x v="141"/>
    <s v="Tamil Nadu"/>
    <x v="3"/>
    <x v="4"/>
    <x v="16"/>
    <n v="1"/>
    <n v="4910.59"/>
    <n v="0.09"/>
    <n v="4468.6400000000003"/>
    <s v="Net Banking"/>
    <x v="2"/>
    <x v="0"/>
    <x v="0"/>
    <n v="4910.59"/>
    <x v="0"/>
    <x v="0"/>
    <x v="0"/>
  </r>
  <r>
    <s v="ORD1036"/>
    <x v="23"/>
    <s v="Gujarat"/>
    <x v="1"/>
    <x v="1"/>
    <x v="14"/>
    <n v="2"/>
    <n v="1824.15"/>
    <n v="0.18"/>
    <n v="2991.61"/>
    <s v="Credit Card"/>
    <x v="0"/>
    <x v="1"/>
    <x v="0"/>
    <n v="3648.3"/>
    <x v="3"/>
    <x v="2"/>
    <x v="0"/>
  </r>
  <r>
    <s v="ORD1037"/>
    <x v="160"/>
    <s v="Karnataka"/>
    <x v="3"/>
    <x v="3"/>
    <x v="9"/>
    <n v="4"/>
    <n v="1944.96"/>
    <n v="0.12"/>
    <n v="6846.26"/>
    <s v="Net Banking"/>
    <x v="0"/>
    <x v="0"/>
    <x v="0"/>
    <n v="7779.84"/>
    <x v="1"/>
    <x v="1"/>
    <x v="0"/>
  </r>
  <r>
    <s v="ORD1038"/>
    <x v="13"/>
    <s v="Delhi"/>
    <x v="0"/>
    <x v="1"/>
    <x v="1"/>
    <n v="5"/>
    <n v="1805.67"/>
    <n v="0.15"/>
    <n v="7674.1"/>
    <s v="UPI"/>
    <x v="1"/>
    <x v="1"/>
    <x v="0"/>
    <n v="9028.35"/>
    <x v="6"/>
    <x v="4"/>
    <x v="0"/>
  </r>
  <r>
    <s v="ORD1039"/>
    <x v="175"/>
    <s v="Maharashtra"/>
    <x v="3"/>
    <x v="3"/>
    <x v="12"/>
    <n v="4"/>
    <n v="1685.93"/>
    <n v="0.06"/>
    <n v="6339.1"/>
    <s v="Credit Card"/>
    <x v="2"/>
    <x v="0"/>
    <x v="0"/>
    <n v="6743.72"/>
    <x v="4"/>
    <x v="0"/>
    <x v="0"/>
  </r>
  <r>
    <s v="ORD1040"/>
    <x v="56"/>
    <s v="Tamil Nadu"/>
    <x v="0"/>
    <x v="3"/>
    <x v="15"/>
    <n v="5"/>
    <n v="1327.37"/>
    <n v="0.01"/>
    <n v="6570.48"/>
    <s v="Credit Card"/>
    <x v="0"/>
    <x v="0"/>
    <x v="0"/>
    <n v="6636.8499999999995"/>
    <x v="1"/>
    <x v="3"/>
    <x v="0"/>
  </r>
  <r>
    <s v="ORD1041"/>
    <x v="109"/>
    <s v="Delhi"/>
    <x v="3"/>
    <x v="4"/>
    <x v="19"/>
    <n v="4"/>
    <n v="1950.38"/>
    <n v="0.25"/>
    <n v="5851.14"/>
    <s v="UPI"/>
    <x v="0"/>
    <x v="0"/>
    <x v="0"/>
    <n v="7801.52"/>
    <x v="6"/>
    <x v="0"/>
    <x v="0"/>
  </r>
  <r>
    <s v="ORD1042"/>
    <x v="5"/>
    <s v="Karnataka"/>
    <x v="0"/>
    <x v="2"/>
    <x v="5"/>
    <n v="2"/>
    <n v="2226.91"/>
    <n v="0.13"/>
    <n v="3874.82"/>
    <s v="Debit Card"/>
    <x v="0"/>
    <x v="2"/>
    <x v="0"/>
    <n v="4453.82"/>
    <x v="0"/>
    <x v="2"/>
    <x v="0"/>
  </r>
  <r>
    <s v="ORD1043"/>
    <x v="8"/>
    <s v="Maharashtra"/>
    <x v="2"/>
    <x v="0"/>
    <x v="4"/>
    <n v="3"/>
    <n v="3894.49"/>
    <n v="0.14000000000000001"/>
    <n v="10047.780000000001"/>
    <s v="Debit Card"/>
    <x v="0"/>
    <x v="2"/>
    <x v="0"/>
    <n v="11683.47"/>
    <x v="0"/>
    <x v="1"/>
    <x v="0"/>
  </r>
  <r>
    <s v="ORD1044"/>
    <x v="35"/>
    <s v="Delhi"/>
    <x v="3"/>
    <x v="1"/>
    <x v="14"/>
    <n v="4"/>
    <n v="2554.17"/>
    <n v="0.09"/>
    <n v="9297.18"/>
    <s v="Debit Card"/>
    <x v="1"/>
    <x v="0"/>
    <x v="3"/>
    <n v="10216.68"/>
    <x v="6"/>
    <x v="0"/>
    <x v="0"/>
  </r>
  <r>
    <s v="ORD1045"/>
    <x v="67"/>
    <s v="Tamil Nadu"/>
    <x v="0"/>
    <x v="2"/>
    <x v="5"/>
    <n v="1"/>
    <n v="723.24"/>
    <n v="0.13"/>
    <n v="629.22"/>
    <s v="Credit Card"/>
    <x v="1"/>
    <x v="2"/>
    <x v="0"/>
    <n v="723.24"/>
    <x v="3"/>
    <x v="3"/>
    <x v="1"/>
  </r>
  <r>
    <s v="ORD1046"/>
    <x v="172"/>
    <s v="Maharashtra"/>
    <x v="2"/>
    <x v="0"/>
    <x v="2"/>
    <n v="3"/>
    <n v="2013.09"/>
    <n v="0.09"/>
    <n v="5495.74"/>
    <s v="Debit Card"/>
    <x v="2"/>
    <x v="2"/>
    <x v="0"/>
    <n v="6039.2699999999995"/>
    <x v="6"/>
    <x v="5"/>
    <x v="0"/>
  </r>
  <r>
    <s v="ORD1047"/>
    <x v="166"/>
    <s v="Gujarat"/>
    <x v="0"/>
    <x v="1"/>
    <x v="10"/>
    <n v="3"/>
    <n v="2056.1799999999998"/>
    <n v="0.01"/>
    <n v="6106.85"/>
    <s v="COD"/>
    <x v="1"/>
    <x v="0"/>
    <x v="0"/>
    <n v="6168.5399999999991"/>
    <x v="2"/>
    <x v="3"/>
    <x v="0"/>
  </r>
  <r>
    <s v="ORD1048"/>
    <x v="76"/>
    <s v="Maharashtra"/>
    <x v="3"/>
    <x v="4"/>
    <x v="19"/>
    <n v="3"/>
    <n v="1082.51"/>
    <n v="0.22"/>
    <n v="2533.0700000000002"/>
    <s v="UPI"/>
    <x v="2"/>
    <x v="2"/>
    <x v="0"/>
    <n v="3247.5299999999997"/>
    <x v="5"/>
    <x v="0"/>
    <x v="0"/>
  </r>
  <r>
    <s v="ORD1049"/>
    <x v="21"/>
    <s v="Delhi"/>
    <x v="2"/>
    <x v="4"/>
    <x v="19"/>
    <n v="5"/>
    <n v="4531.1899999999996"/>
    <n v="0.18"/>
    <n v="18577.88"/>
    <s v="Net Banking"/>
    <x v="0"/>
    <x v="2"/>
    <x v="2"/>
    <n v="22655.949999999997"/>
    <x v="2"/>
    <x v="4"/>
    <x v="0"/>
  </r>
  <r>
    <s v="ORD1050"/>
    <x v="33"/>
    <s v="Gujarat"/>
    <x v="3"/>
    <x v="2"/>
    <x v="7"/>
    <n v="3"/>
    <n v="3644.32"/>
    <n v="0.03"/>
    <n v="10604.97"/>
    <s v="Net Banking"/>
    <x v="0"/>
    <x v="1"/>
    <x v="0"/>
    <n v="10932.960000000001"/>
    <x v="6"/>
    <x v="3"/>
    <x v="0"/>
  </r>
  <r>
    <s v="ORD1051"/>
    <x v="145"/>
    <s v="Karnataka"/>
    <x v="1"/>
    <x v="2"/>
    <x v="5"/>
    <n v="1"/>
    <n v="229.13"/>
    <n v="0.2"/>
    <n v="183.3"/>
    <s v="Debit Card"/>
    <x v="0"/>
    <x v="2"/>
    <x v="0"/>
    <n v="229.13"/>
    <x v="6"/>
    <x v="1"/>
    <x v="1"/>
  </r>
  <r>
    <s v="ORD1052"/>
    <x v="177"/>
    <s v="Maharashtra"/>
    <x v="0"/>
    <x v="0"/>
    <x v="3"/>
    <n v="2"/>
    <n v="2205.62"/>
    <n v="0.11"/>
    <n v="3926"/>
    <s v="Net Banking"/>
    <x v="2"/>
    <x v="2"/>
    <x v="0"/>
    <n v="4411.24"/>
    <x v="1"/>
    <x v="3"/>
    <x v="0"/>
  </r>
  <r>
    <s v="ORD1053"/>
    <x v="98"/>
    <s v="Karnataka"/>
    <x v="0"/>
    <x v="1"/>
    <x v="1"/>
    <n v="4"/>
    <n v="4598.54"/>
    <n v="0.06"/>
    <n v="17290.509999999998"/>
    <s v="Debit Card"/>
    <x v="2"/>
    <x v="2"/>
    <x v="0"/>
    <n v="18394.16"/>
    <x v="2"/>
    <x v="4"/>
    <x v="0"/>
  </r>
  <r>
    <s v="ORD1054"/>
    <x v="127"/>
    <s v="Maharashtra"/>
    <x v="0"/>
    <x v="1"/>
    <x v="13"/>
    <n v="1"/>
    <n v="377.61"/>
    <n v="0.11"/>
    <n v="336.07"/>
    <s v="Debit Card"/>
    <x v="0"/>
    <x v="1"/>
    <x v="0"/>
    <n v="377.61"/>
    <x v="2"/>
    <x v="3"/>
    <x v="1"/>
  </r>
  <r>
    <s v="ORD1055"/>
    <x v="169"/>
    <s v="Karnataka"/>
    <x v="0"/>
    <x v="1"/>
    <x v="10"/>
    <n v="4"/>
    <n v="2445.64"/>
    <n v="0.03"/>
    <n v="9489.08"/>
    <s v="Debit Card"/>
    <x v="1"/>
    <x v="2"/>
    <x v="0"/>
    <n v="9782.56"/>
    <x v="1"/>
    <x v="1"/>
    <x v="0"/>
  </r>
  <r>
    <s v="ORD1056"/>
    <x v="173"/>
    <s v="Tamil Nadu"/>
    <x v="2"/>
    <x v="1"/>
    <x v="10"/>
    <n v="4"/>
    <n v="3594.36"/>
    <n v="0.24"/>
    <n v="10926.85"/>
    <s v="UPI"/>
    <x v="0"/>
    <x v="0"/>
    <x v="1"/>
    <n v="14377.44"/>
    <x v="2"/>
    <x v="5"/>
    <x v="0"/>
  </r>
  <r>
    <s v="ORD1057"/>
    <x v="80"/>
    <s v="Karnataka"/>
    <x v="1"/>
    <x v="3"/>
    <x v="9"/>
    <n v="1"/>
    <n v="364.59"/>
    <n v="0.23"/>
    <n v="280.73"/>
    <s v="COD"/>
    <x v="1"/>
    <x v="0"/>
    <x v="0"/>
    <n v="364.59"/>
    <x v="0"/>
    <x v="4"/>
    <x v="1"/>
  </r>
  <r>
    <s v="ORD1058"/>
    <x v="101"/>
    <s v="Gujarat"/>
    <x v="0"/>
    <x v="3"/>
    <x v="12"/>
    <n v="5"/>
    <n v="1132.77"/>
    <n v="0.09"/>
    <n v="5154.1000000000004"/>
    <s v="Debit Card"/>
    <x v="2"/>
    <x v="2"/>
    <x v="2"/>
    <n v="5663.85"/>
    <x v="5"/>
    <x v="5"/>
    <x v="0"/>
  </r>
  <r>
    <s v="ORD1059"/>
    <x v="65"/>
    <s v="Maharashtra"/>
    <x v="0"/>
    <x v="2"/>
    <x v="5"/>
    <n v="1"/>
    <n v="1424.46"/>
    <n v="0.15"/>
    <n v="1210.79"/>
    <s v="Credit Card"/>
    <x v="2"/>
    <x v="1"/>
    <x v="0"/>
    <n v="1424.46"/>
    <x v="6"/>
    <x v="0"/>
    <x v="0"/>
  </r>
  <r>
    <s v="ORD1060"/>
    <x v="71"/>
    <s v="Tamil Nadu"/>
    <x v="3"/>
    <x v="1"/>
    <x v="14"/>
    <n v="4"/>
    <n v="2275.6999999999998"/>
    <n v="0.06"/>
    <n v="8556.6299999999992"/>
    <s v="Credit Card"/>
    <x v="2"/>
    <x v="1"/>
    <x v="0"/>
    <n v="9102.7999999999993"/>
    <x v="4"/>
    <x v="5"/>
    <x v="0"/>
  </r>
  <r>
    <s v="ORD1061"/>
    <x v="64"/>
    <s v="Karnataka"/>
    <x v="2"/>
    <x v="1"/>
    <x v="13"/>
    <n v="3"/>
    <n v="4692.3999999999996"/>
    <n v="0.23"/>
    <n v="10839.44"/>
    <s v="Credit Card"/>
    <x v="1"/>
    <x v="1"/>
    <x v="3"/>
    <n v="14077.199999999999"/>
    <x v="5"/>
    <x v="1"/>
    <x v="0"/>
  </r>
  <r>
    <s v="ORD1062"/>
    <x v="20"/>
    <s v="Maharashtra"/>
    <x v="0"/>
    <x v="1"/>
    <x v="10"/>
    <n v="5"/>
    <n v="2226.9699999999998"/>
    <n v="0.11"/>
    <n v="9910.02"/>
    <s v="UPI"/>
    <x v="1"/>
    <x v="0"/>
    <x v="3"/>
    <n v="11134.849999999999"/>
    <x v="1"/>
    <x v="4"/>
    <x v="0"/>
  </r>
  <r>
    <s v="ORD1063"/>
    <x v="77"/>
    <s v="Karnataka"/>
    <x v="2"/>
    <x v="1"/>
    <x v="14"/>
    <n v="4"/>
    <n v="2905.75"/>
    <n v="0.14000000000000001"/>
    <n v="9995.7800000000007"/>
    <s v="COD"/>
    <x v="2"/>
    <x v="0"/>
    <x v="0"/>
    <n v="11623"/>
    <x v="5"/>
    <x v="0"/>
    <x v="0"/>
  </r>
  <r>
    <s v="ORD1064"/>
    <x v="37"/>
    <s v="Delhi"/>
    <x v="3"/>
    <x v="2"/>
    <x v="5"/>
    <n v="3"/>
    <n v="4017.99"/>
    <n v="0.24"/>
    <n v="9161.02"/>
    <s v="Debit Card"/>
    <x v="0"/>
    <x v="2"/>
    <x v="3"/>
    <n v="12053.97"/>
    <x v="3"/>
    <x v="5"/>
    <x v="0"/>
  </r>
  <r>
    <s v="ORD1065"/>
    <x v="116"/>
    <s v="Gujarat"/>
    <x v="0"/>
    <x v="4"/>
    <x v="17"/>
    <n v="5"/>
    <n v="1443.92"/>
    <n v="7.0000000000000007E-2"/>
    <n v="6714.23"/>
    <s v="Net Banking"/>
    <x v="0"/>
    <x v="1"/>
    <x v="0"/>
    <n v="7219.6"/>
    <x v="6"/>
    <x v="1"/>
    <x v="0"/>
  </r>
  <r>
    <s v="ORD1066"/>
    <x v="44"/>
    <s v="Karnataka"/>
    <x v="2"/>
    <x v="1"/>
    <x v="1"/>
    <n v="4"/>
    <n v="184.61"/>
    <n v="0"/>
    <n v="738.44"/>
    <s v="Debit Card"/>
    <x v="2"/>
    <x v="2"/>
    <x v="0"/>
    <n v="738.44"/>
    <x v="3"/>
    <x v="3"/>
    <x v="1"/>
  </r>
  <r>
    <s v="ORD1067"/>
    <x v="14"/>
    <s v="Tamil Nadu"/>
    <x v="0"/>
    <x v="1"/>
    <x v="10"/>
    <n v="1"/>
    <n v="1454.58"/>
    <n v="0.15"/>
    <n v="1236.3900000000001"/>
    <s v="Credit Card"/>
    <x v="1"/>
    <x v="1"/>
    <x v="0"/>
    <n v="1454.58"/>
    <x v="2"/>
    <x v="5"/>
    <x v="0"/>
  </r>
  <r>
    <s v="ORD1068"/>
    <x v="87"/>
    <s v="Karnataka"/>
    <x v="0"/>
    <x v="4"/>
    <x v="17"/>
    <n v="2"/>
    <n v="3188.66"/>
    <n v="0.04"/>
    <n v="6122.23"/>
    <s v="Net Banking"/>
    <x v="0"/>
    <x v="0"/>
    <x v="0"/>
    <n v="6377.32"/>
    <x v="0"/>
    <x v="3"/>
    <x v="0"/>
  </r>
  <r>
    <s v="ORD1069"/>
    <x v="104"/>
    <s v="Gujarat"/>
    <x v="2"/>
    <x v="0"/>
    <x v="4"/>
    <n v="3"/>
    <n v="305.58"/>
    <n v="0.18"/>
    <n v="751.73"/>
    <s v="Net Banking"/>
    <x v="1"/>
    <x v="2"/>
    <x v="2"/>
    <n v="916.74"/>
    <x v="2"/>
    <x v="4"/>
    <x v="1"/>
  </r>
  <r>
    <s v="ORD1070"/>
    <x v="123"/>
    <s v="Gujarat"/>
    <x v="0"/>
    <x v="0"/>
    <x v="2"/>
    <n v="2"/>
    <n v="1813.68"/>
    <n v="0.02"/>
    <n v="3554.81"/>
    <s v="Credit Card"/>
    <x v="1"/>
    <x v="1"/>
    <x v="0"/>
    <n v="3627.36"/>
    <x v="5"/>
    <x v="1"/>
    <x v="0"/>
  </r>
  <r>
    <s v="ORD1071"/>
    <x v="118"/>
    <s v="Karnataka"/>
    <x v="3"/>
    <x v="3"/>
    <x v="12"/>
    <n v="4"/>
    <n v="449.83"/>
    <n v="0.11"/>
    <n v="1601.39"/>
    <s v="COD"/>
    <x v="2"/>
    <x v="1"/>
    <x v="0"/>
    <n v="1799.32"/>
    <x v="1"/>
    <x v="5"/>
    <x v="0"/>
  </r>
  <r>
    <s v="ORD1072"/>
    <x v="61"/>
    <s v="Karnataka"/>
    <x v="0"/>
    <x v="1"/>
    <x v="1"/>
    <n v="3"/>
    <n v="2406.36"/>
    <n v="0.24"/>
    <n v="5486.5"/>
    <s v="Net Banking"/>
    <x v="1"/>
    <x v="0"/>
    <x v="0"/>
    <n v="7219.08"/>
    <x v="1"/>
    <x v="5"/>
    <x v="0"/>
  </r>
  <r>
    <s v="ORD1073"/>
    <x v="70"/>
    <s v="Delhi"/>
    <x v="2"/>
    <x v="0"/>
    <x v="2"/>
    <n v="1"/>
    <n v="3084.29"/>
    <n v="0.2"/>
    <n v="2467.4299999999998"/>
    <s v="COD"/>
    <x v="0"/>
    <x v="0"/>
    <x v="1"/>
    <n v="3084.29"/>
    <x v="2"/>
    <x v="0"/>
    <x v="0"/>
  </r>
  <r>
    <s v="ORD1074"/>
    <x v="10"/>
    <s v="Delhi"/>
    <x v="1"/>
    <x v="2"/>
    <x v="7"/>
    <n v="1"/>
    <n v="4780.38"/>
    <n v="0.24"/>
    <n v="3633.09"/>
    <s v="Net Banking"/>
    <x v="1"/>
    <x v="2"/>
    <x v="0"/>
    <n v="4780.38"/>
    <x v="0"/>
    <x v="3"/>
    <x v="0"/>
  </r>
  <r>
    <s v="ORD1075"/>
    <x v="182"/>
    <s v="Gujarat"/>
    <x v="2"/>
    <x v="0"/>
    <x v="0"/>
    <n v="5"/>
    <n v="2649.65"/>
    <n v="0.08"/>
    <n v="12188.39"/>
    <s v="Net Banking"/>
    <x v="1"/>
    <x v="2"/>
    <x v="1"/>
    <n v="13248.25"/>
    <x v="5"/>
    <x v="3"/>
    <x v="0"/>
  </r>
  <r>
    <s v="ORD1076"/>
    <x v="49"/>
    <s v="Karnataka"/>
    <x v="1"/>
    <x v="4"/>
    <x v="16"/>
    <n v="3"/>
    <n v="3766.12"/>
    <n v="0.03"/>
    <n v="10959.41"/>
    <s v="Debit Card"/>
    <x v="2"/>
    <x v="2"/>
    <x v="0"/>
    <n v="11298.36"/>
    <x v="0"/>
    <x v="4"/>
    <x v="0"/>
  </r>
  <r>
    <s v="ORD1077"/>
    <x v="146"/>
    <s v="Maharashtra"/>
    <x v="3"/>
    <x v="2"/>
    <x v="6"/>
    <n v="5"/>
    <n v="474.57"/>
    <n v="0.09"/>
    <n v="2159.29"/>
    <s v="UPI"/>
    <x v="1"/>
    <x v="1"/>
    <x v="0"/>
    <n v="2372.85"/>
    <x v="2"/>
    <x v="0"/>
    <x v="0"/>
  </r>
  <r>
    <s v="ORD1078"/>
    <x v="108"/>
    <s v="Gujarat"/>
    <x v="3"/>
    <x v="2"/>
    <x v="11"/>
    <n v="2"/>
    <n v="3904.6"/>
    <n v="0.1"/>
    <n v="7028.28"/>
    <s v="Debit Card"/>
    <x v="1"/>
    <x v="0"/>
    <x v="0"/>
    <n v="7809.2"/>
    <x v="4"/>
    <x v="2"/>
    <x v="0"/>
  </r>
  <r>
    <s v="ORD1079"/>
    <x v="118"/>
    <s v="Karnataka"/>
    <x v="1"/>
    <x v="4"/>
    <x v="17"/>
    <n v="4"/>
    <n v="2163.0100000000002"/>
    <n v="0.25"/>
    <n v="6489.03"/>
    <s v="Credit Card"/>
    <x v="0"/>
    <x v="0"/>
    <x v="0"/>
    <n v="8652.0400000000009"/>
    <x v="1"/>
    <x v="5"/>
    <x v="0"/>
  </r>
  <r>
    <s v="ORD1080"/>
    <x v="122"/>
    <s v="Tamil Nadu"/>
    <x v="1"/>
    <x v="3"/>
    <x v="12"/>
    <n v="1"/>
    <n v="2151.27"/>
    <n v="0.19"/>
    <n v="1742.53"/>
    <s v="Credit Card"/>
    <x v="0"/>
    <x v="0"/>
    <x v="0"/>
    <n v="2151.27"/>
    <x v="5"/>
    <x v="2"/>
    <x v="0"/>
  </r>
  <r>
    <s v="ORD1081"/>
    <x v="135"/>
    <s v="Tamil Nadu"/>
    <x v="1"/>
    <x v="3"/>
    <x v="8"/>
    <n v="2"/>
    <n v="4950.67"/>
    <n v="0.03"/>
    <n v="9604.2999999999993"/>
    <s v="Credit Card"/>
    <x v="1"/>
    <x v="0"/>
    <x v="1"/>
    <n v="9901.34"/>
    <x v="6"/>
    <x v="0"/>
    <x v="0"/>
  </r>
  <r>
    <s v="ORD1082"/>
    <x v="170"/>
    <s v="Tamil Nadu"/>
    <x v="0"/>
    <x v="4"/>
    <x v="16"/>
    <n v="3"/>
    <n v="683.25"/>
    <n v="0.22"/>
    <n v="1598.81"/>
    <s v="COD"/>
    <x v="0"/>
    <x v="1"/>
    <x v="2"/>
    <n v="2049.75"/>
    <x v="3"/>
    <x v="4"/>
    <x v="0"/>
  </r>
  <r>
    <s v="ORD1083"/>
    <x v="25"/>
    <s v="Karnataka"/>
    <x v="3"/>
    <x v="0"/>
    <x v="0"/>
    <n v="4"/>
    <n v="3729.42"/>
    <n v="0.11"/>
    <n v="13276.74"/>
    <s v="Net Banking"/>
    <x v="2"/>
    <x v="1"/>
    <x v="0"/>
    <n v="14917.68"/>
    <x v="1"/>
    <x v="0"/>
    <x v="0"/>
  </r>
  <r>
    <s v="ORD1084"/>
    <x v="81"/>
    <s v="Delhi"/>
    <x v="2"/>
    <x v="1"/>
    <x v="13"/>
    <n v="5"/>
    <n v="1912.38"/>
    <n v="0.16"/>
    <n v="8032"/>
    <s v="Credit Card"/>
    <x v="1"/>
    <x v="1"/>
    <x v="0"/>
    <n v="9561.9000000000015"/>
    <x v="3"/>
    <x v="2"/>
    <x v="0"/>
  </r>
  <r>
    <s v="ORD1085"/>
    <x v="181"/>
    <s v="Maharashtra"/>
    <x v="1"/>
    <x v="1"/>
    <x v="1"/>
    <n v="4"/>
    <n v="1771.47"/>
    <n v="0.14000000000000001"/>
    <n v="6093.86"/>
    <s v="Debit Card"/>
    <x v="2"/>
    <x v="0"/>
    <x v="0"/>
    <n v="7085.88"/>
    <x v="1"/>
    <x v="0"/>
    <x v="0"/>
  </r>
  <r>
    <s v="ORD1086"/>
    <x v="33"/>
    <s v="Delhi"/>
    <x v="2"/>
    <x v="2"/>
    <x v="6"/>
    <n v="2"/>
    <n v="2209.63"/>
    <n v="7.0000000000000007E-2"/>
    <n v="4109.91"/>
    <s v="Debit Card"/>
    <x v="0"/>
    <x v="0"/>
    <x v="0"/>
    <n v="4419.26"/>
    <x v="6"/>
    <x v="3"/>
    <x v="0"/>
  </r>
  <r>
    <s v="ORD1087"/>
    <x v="128"/>
    <s v="Maharashtra"/>
    <x v="2"/>
    <x v="4"/>
    <x v="16"/>
    <n v="4"/>
    <n v="2250.69"/>
    <n v="0.22"/>
    <n v="7022.15"/>
    <s v="UPI"/>
    <x v="2"/>
    <x v="1"/>
    <x v="2"/>
    <n v="9002.76"/>
    <x v="3"/>
    <x v="3"/>
    <x v="0"/>
  </r>
  <r>
    <s v="ORD1088"/>
    <x v="50"/>
    <s v="Karnataka"/>
    <x v="0"/>
    <x v="0"/>
    <x v="4"/>
    <n v="2"/>
    <n v="2805.6"/>
    <n v="0.13"/>
    <n v="4881.74"/>
    <s v="Debit Card"/>
    <x v="0"/>
    <x v="2"/>
    <x v="0"/>
    <n v="5611.2"/>
    <x v="5"/>
    <x v="4"/>
    <x v="0"/>
  </r>
  <r>
    <s v="ORD1089"/>
    <x v="67"/>
    <s v="Maharashtra"/>
    <x v="1"/>
    <x v="0"/>
    <x v="4"/>
    <n v="3"/>
    <n v="1095.3900000000001"/>
    <n v="0.24"/>
    <n v="2497.4899999999998"/>
    <s v="Net Banking"/>
    <x v="0"/>
    <x v="0"/>
    <x v="0"/>
    <n v="3286.17"/>
    <x v="3"/>
    <x v="3"/>
    <x v="0"/>
  </r>
  <r>
    <s v="ORD1090"/>
    <x v="163"/>
    <s v="Tamil Nadu"/>
    <x v="0"/>
    <x v="1"/>
    <x v="10"/>
    <n v="1"/>
    <n v="2277.58"/>
    <n v="0.11"/>
    <n v="2027.05"/>
    <s v="UPI"/>
    <x v="0"/>
    <x v="1"/>
    <x v="1"/>
    <n v="2277.58"/>
    <x v="6"/>
    <x v="4"/>
    <x v="0"/>
  </r>
  <r>
    <s v="ORD1091"/>
    <x v="113"/>
    <s v="Karnataka"/>
    <x v="2"/>
    <x v="4"/>
    <x v="19"/>
    <n v="2"/>
    <n v="3664.07"/>
    <n v="0.08"/>
    <n v="6741.89"/>
    <s v="Credit Card"/>
    <x v="1"/>
    <x v="0"/>
    <x v="0"/>
    <n v="7328.14"/>
    <x v="5"/>
    <x v="4"/>
    <x v="0"/>
  </r>
  <r>
    <s v="ORD1092"/>
    <x v="118"/>
    <s v="Karnataka"/>
    <x v="3"/>
    <x v="1"/>
    <x v="13"/>
    <n v="1"/>
    <n v="4668.6000000000004"/>
    <n v="0.2"/>
    <n v="3734.88"/>
    <s v="Credit Card"/>
    <x v="2"/>
    <x v="1"/>
    <x v="3"/>
    <n v="4668.6000000000004"/>
    <x v="1"/>
    <x v="5"/>
    <x v="0"/>
  </r>
  <r>
    <s v="ORD1093"/>
    <x v="182"/>
    <s v="Delhi"/>
    <x v="2"/>
    <x v="0"/>
    <x v="0"/>
    <n v="4"/>
    <n v="4373.3599999999997"/>
    <n v="0.06"/>
    <n v="16443.830000000002"/>
    <s v="Debit Card"/>
    <x v="1"/>
    <x v="2"/>
    <x v="0"/>
    <n v="17493.439999999999"/>
    <x v="5"/>
    <x v="3"/>
    <x v="0"/>
  </r>
  <r>
    <s v="ORD1094"/>
    <x v="48"/>
    <s v="Tamil Nadu"/>
    <x v="3"/>
    <x v="2"/>
    <x v="11"/>
    <n v="2"/>
    <n v="3210.39"/>
    <n v="0.02"/>
    <n v="6292.36"/>
    <s v="UPI"/>
    <x v="0"/>
    <x v="0"/>
    <x v="0"/>
    <n v="6420.78"/>
    <x v="4"/>
    <x v="0"/>
    <x v="0"/>
  </r>
  <r>
    <s v="ORD1095"/>
    <x v="111"/>
    <s v="Gujarat"/>
    <x v="1"/>
    <x v="0"/>
    <x v="3"/>
    <n v="2"/>
    <n v="290.18"/>
    <n v="0.17"/>
    <n v="481.7"/>
    <s v="COD"/>
    <x v="0"/>
    <x v="0"/>
    <x v="0"/>
    <n v="580.36"/>
    <x v="3"/>
    <x v="4"/>
    <x v="1"/>
  </r>
  <r>
    <s v="ORD1096"/>
    <x v="81"/>
    <s v="Tamil Nadu"/>
    <x v="1"/>
    <x v="3"/>
    <x v="9"/>
    <n v="2"/>
    <n v="4401.66"/>
    <n v="0.21"/>
    <n v="6954.62"/>
    <s v="COD"/>
    <x v="1"/>
    <x v="1"/>
    <x v="0"/>
    <n v="8803.32"/>
    <x v="3"/>
    <x v="2"/>
    <x v="0"/>
  </r>
  <r>
    <s v="ORD1097"/>
    <x v="83"/>
    <s v="Gujarat"/>
    <x v="1"/>
    <x v="2"/>
    <x v="6"/>
    <n v="1"/>
    <n v="1172.76"/>
    <n v="0.24"/>
    <n v="891.3"/>
    <s v="Net Banking"/>
    <x v="2"/>
    <x v="1"/>
    <x v="2"/>
    <n v="1172.76"/>
    <x v="5"/>
    <x v="5"/>
    <x v="1"/>
  </r>
  <r>
    <s v="ORD1098"/>
    <x v="166"/>
    <s v="Tamil Nadu"/>
    <x v="1"/>
    <x v="4"/>
    <x v="16"/>
    <n v="4"/>
    <n v="4785.95"/>
    <n v="0.17"/>
    <n v="15889.35"/>
    <s v="Credit Card"/>
    <x v="0"/>
    <x v="1"/>
    <x v="0"/>
    <n v="19143.8"/>
    <x v="2"/>
    <x v="3"/>
    <x v="0"/>
  </r>
  <r>
    <s v="ORD1099"/>
    <x v="5"/>
    <s v="Gujarat"/>
    <x v="1"/>
    <x v="2"/>
    <x v="5"/>
    <n v="2"/>
    <n v="241.92"/>
    <n v="7.0000000000000007E-2"/>
    <n v="449.97"/>
    <s v="Net Banking"/>
    <x v="1"/>
    <x v="2"/>
    <x v="0"/>
    <n v="483.84"/>
    <x v="0"/>
    <x v="2"/>
    <x v="1"/>
  </r>
  <r>
    <s v="ORD1100"/>
    <x v="56"/>
    <s v="Karnataka"/>
    <x v="2"/>
    <x v="4"/>
    <x v="17"/>
    <n v="4"/>
    <n v="2183.48"/>
    <n v="7.0000000000000007E-2"/>
    <n v="8122.55"/>
    <s v="Net Banking"/>
    <x v="2"/>
    <x v="2"/>
    <x v="0"/>
    <n v="8733.92"/>
    <x v="1"/>
    <x v="3"/>
    <x v="0"/>
  </r>
  <r>
    <s v="ORD1101"/>
    <x v="75"/>
    <s v="Maharashtra"/>
    <x v="3"/>
    <x v="3"/>
    <x v="9"/>
    <n v="4"/>
    <n v="1184.42"/>
    <n v="0.22"/>
    <n v="3695.39"/>
    <s v="UPI"/>
    <x v="2"/>
    <x v="0"/>
    <x v="3"/>
    <n v="4737.68"/>
    <x v="5"/>
    <x v="6"/>
    <x v="0"/>
  </r>
  <r>
    <s v="ORD1102"/>
    <x v="12"/>
    <s v="Delhi"/>
    <x v="0"/>
    <x v="0"/>
    <x v="2"/>
    <n v="1"/>
    <n v="4756.3599999999997"/>
    <n v="0.01"/>
    <n v="4708.8"/>
    <s v="COD"/>
    <x v="1"/>
    <x v="1"/>
    <x v="3"/>
    <n v="4756.3599999999997"/>
    <x v="6"/>
    <x v="1"/>
    <x v="0"/>
  </r>
  <r>
    <s v="ORD1103"/>
    <x v="28"/>
    <s v="Gujarat"/>
    <x v="3"/>
    <x v="4"/>
    <x v="17"/>
    <n v="1"/>
    <n v="2641.38"/>
    <n v="0.09"/>
    <n v="2403.66"/>
    <s v="Credit Card"/>
    <x v="1"/>
    <x v="2"/>
    <x v="3"/>
    <n v="2641.38"/>
    <x v="0"/>
    <x v="2"/>
    <x v="0"/>
  </r>
  <r>
    <s v="ORD1104"/>
    <x v="59"/>
    <s v="Karnataka"/>
    <x v="0"/>
    <x v="2"/>
    <x v="11"/>
    <n v="3"/>
    <n v="2125.64"/>
    <n v="0.14000000000000001"/>
    <n v="5484.15"/>
    <s v="Debit Card"/>
    <x v="2"/>
    <x v="2"/>
    <x v="0"/>
    <n v="6376.92"/>
    <x v="3"/>
    <x v="3"/>
    <x v="0"/>
  </r>
  <r>
    <s v="ORD1105"/>
    <x v="27"/>
    <s v="Gujarat"/>
    <x v="3"/>
    <x v="0"/>
    <x v="0"/>
    <n v="1"/>
    <n v="869.03"/>
    <n v="0.08"/>
    <n v="799.51"/>
    <s v="Net Banking"/>
    <x v="2"/>
    <x v="2"/>
    <x v="0"/>
    <n v="869.03"/>
    <x v="3"/>
    <x v="5"/>
    <x v="1"/>
  </r>
  <r>
    <s v="ORD1106"/>
    <x v="5"/>
    <s v="Tamil Nadu"/>
    <x v="1"/>
    <x v="0"/>
    <x v="3"/>
    <n v="3"/>
    <n v="4323.72"/>
    <n v="0.02"/>
    <n v="12711.74"/>
    <s v="Debit Card"/>
    <x v="1"/>
    <x v="0"/>
    <x v="0"/>
    <n v="12971.16"/>
    <x v="0"/>
    <x v="2"/>
    <x v="0"/>
  </r>
  <r>
    <s v="ORD1107"/>
    <x v="99"/>
    <s v="Maharashtra"/>
    <x v="1"/>
    <x v="1"/>
    <x v="10"/>
    <n v="2"/>
    <n v="4174.21"/>
    <n v="0.21"/>
    <n v="6595.25"/>
    <s v="COD"/>
    <x v="2"/>
    <x v="1"/>
    <x v="0"/>
    <n v="8348.42"/>
    <x v="0"/>
    <x v="0"/>
    <x v="0"/>
  </r>
  <r>
    <s v="ORD1108"/>
    <x v="113"/>
    <s v="Karnataka"/>
    <x v="1"/>
    <x v="0"/>
    <x v="2"/>
    <n v="1"/>
    <n v="1394.92"/>
    <n v="0.16"/>
    <n v="1171.73"/>
    <s v="Net Banking"/>
    <x v="0"/>
    <x v="1"/>
    <x v="0"/>
    <n v="1394.92"/>
    <x v="5"/>
    <x v="4"/>
    <x v="0"/>
  </r>
  <r>
    <s v="ORD1109"/>
    <x v="92"/>
    <s v="Tamil Nadu"/>
    <x v="3"/>
    <x v="0"/>
    <x v="4"/>
    <n v="4"/>
    <n v="1493.67"/>
    <n v="0.18"/>
    <n v="4899.24"/>
    <s v="COD"/>
    <x v="2"/>
    <x v="0"/>
    <x v="0"/>
    <n v="5974.68"/>
    <x v="0"/>
    <x v="4"/>
    <x v="0"/>
  </r>
  <r>
    <s v="ORD1110"/>
    <x v="78"/>
    <s v="Karnataka"/>
    <x v="1"/>
    <x v="2"/>
    <x v="5"/>
    <n v="1"/>
    <n v="2316.12"/>
    <n v="0.14000000000000001"/>
    <n v="1991.86"/>
    <s v="COD"/>
    <x v="1"/>
    <x v="2"/>
    <x v="3"/>
    <n v="2316.12"/>
    <x v="5"/>
    <x v="0"/>
    <x v="0"/>
  </r>
  <r>
    <s v="ORD1111"/>
    <x v="150"/>
    <s v="Tamil Nadu"/>
    <x v="0"/>
    <x v="2"/>
    <x v="6"/>
    <n v="3"/>
    <n v="1728.93"/>
    <n v="0.2"/>
    <n v="4149.43"/>
    <s v="COD"/>
    <x v="0"/>
    <x v="2"/>
    <x v="0"/>
    <n v="5186.79"/>
    <x v="3"/>
    <x v="0"/>
    <x v="0"/>
  </r>
  <r>
    <s v="ORD1112"/>
    <x v="42"/>
    <s v="Gujarat"/>
    <x v="3"/>
    <x v="3"/>
    <x v="15"/>
    <n v="2"/>
    <n v="2075.66"/>
    <n v="0.21"/>
    <n v="3279.54"/>
    <s v="Debit Card"/>
    <x v="0"/>
    <x v="0"/>
    <x v="0"/>
    <n v="4151.32"/>
    <x v="3"/>
    <x v="5"/>
    <x v="0"/>
  </r>
  <r>
    <s v="ORD1113"/>
    <x v="41"/>
    <s v="Tamil Nadu"/>
    <x v="1"/>
    <x v="2"/>
    <x v="6"/>
    <n v="3"/>
    <n v="4188.18"/>
    <n v="0.01"/>
    <n v="12438.89"/>
    <s v="UPI"/>
    <x v="1"/>
    <x v="0"/>
    <x v="1"/>
    <n v="12564.54"/>
    <x v="6"/>
    <x v="5"/>
    <x v="0"/>
  </r>
  <r>
    <s v="ORD1114"/>
    <x v="16"/>
    <s v="Gujarat"/>
    <x v="1"/>
    <x v="4"/>
    <x v="16"/>
    <n v="4"/>
    <n v="1633.78"/>
    <n v="0.16"/>
    <n v="5489.5"/>
    <s v="Net Banking"/>
    <x v="1"/>
    <x v="1"/>
    <x v="0"/>
    <n v="6535.12"/>
    <x v="0"/>
    <x v="1"/>
    <x v="0"/>
  </r>
  <r>
    <s v="ORD1115"/>
    <x v="104"/>
    <s v="Maharashtra"/>
    <x v="0"/>
    <x v="1"/>
    <x v="13"/>
    <n v="1"/>
    <n v="1940.86"/>
    <n v="0.19"/>
    <n v="1572.1"/>
    <s v="Net Banking"/>
    <x v="1"/>
    <x v="2"/>
    <x v="0"/>
    <n v="1940.86"/>
    <x v="2"/>
    <x v="4"/>
    <x v="0"/>
  </r>
  <r>
    <s v="ORD1116"/>
    <x v="166"/>
    <s v="Maharashtra"/>
    <x v="1"/>
    <x v="2"/>
    <x v="7"/>
    <n v="2"/>
    <n v="3168.21"/>
    <n v="0.13"/>
    <n v="5512.69"/>
    <s v="Net Banking"/>
    <x v="2"/>
    <x v="2"/>
    <x v="0"/>
    <n v="6336.42"/>
    <x v="2"/>
    <x v="3"/>
    <x v="0"/>
  </r>
  <r>
    <s v="ORD1117"/>
    <x v="179"/>
    <s v="Tamil Nadu"/>
    <x v="3"/>
    <x v="4"/>
    <x v="19"/>
    <n v="3"/>
    <n v="2660.15"/>
    <n v="0.15"/>
    <n v="6783.38"/>
    <s v="UPI"/>
    <x v="1"/>
    <x v="1"/>
    <x v="0"/>
    <n v="7980.4500000000007"/>
    <x v="1"/>
    <x v="5"/>
    <x v="0"/>
  </r>
  <r>
    <s v="ORD1118"/>
    <x v="159"/>
    <s v="Gujarat"/>
    <x v="3"/>
    <x v="1"/>
    <x v="10"/>
    <n v="5"/>
    <n v="1331.07"/>
    <n v="0.12"/>
    <n v="5856.71"/>
    <s v="UPI"/>
    <x v="1"/>
    <x v="1"/>
    <x v="0"/>
    <n v="6655.3499999999995"/>
    <x v="1"/>
    <x v="2"/>
    <x v="0"/>
  </r>
  <r>
    <s v="ORD1119"/>
    <x v="129"/>
    <s v="Karnataka"/>
    <x v="2"/>
    <x v="2"/>
    <x v="7"/>
    <n v="2"/>
    <n v="2405.42"/>
    <n v="0.25"/>
    <n v="3608.13"/>
    <s v="Net Banking"/>
    <x v="0"/>
    <x v="2"/>
    <x v="0"/>
    <n v="4810.84"/>
    <x v="3"/>
    <x v="4"/>
    <x v="0"/>
  </r>
  <r>
    <s v="ORD1120"/>
    <x v="39"/>
    <s v="Gujarat"/>
    <x v="0"/>
    <x v="3"/>
    <x v="8"/>
    <n v="1"/>
    <n v="399.43"/>
    <n v="0.12"/>
    <n v="351.5"/>
    <s v="Net Banking"/>
    <x v="2"/>
    <x v="2"/>
    <x v="0"/>
    <n v="399.43"/>
    <x v="5"/>
    <x v="2"/>
    <x v="1"/>
  </r>
  <r>
    <s v="ORD1121"/>
    <x v="72"/>
    <s v="Karnataka"/>
    <x v="2"/>
    <x v="1"/>
    <x v="10"/>
    <n v="3"/>
    <n v="1492.52"/>
    <n v="0.23"/>
    <n v="3447.72"/>
    <s v="Credit Card"/>
    <x v="0"/>
    <x v="1"/>
    <x v="0"/>
    <n v="4477.5599999999995"/>
    <x v="0"/>
    <x v="5"/>
    <x v="0"/>
  </r>
  <r>
    <s v="ORD1122"/>
    <x v="177"/>
    <s v="Gujarat"/>
    <x v="3"/>
    <x v="2"/>
    <x v="6"/>
    <n v="2"/>
    <n v="479.63"/>
    <n v="0.04"/>
    <n v="920.89"/>
    <s v="COD"/>
    <x v="1"/>
    <x v="0"/>
    <x v="0"/>
    <n v="959.26"/>
    <x v="1"/>
    <x v="3"/>
    <x v="1"/>
  </r>
  <r>
    <s v="ORD1123"/>
    <x v="171"/>
    <s v="Delhi"/>
    <x v="2"/>
    <x v="4"/>
    <x v="19"/>
    <n v="4"/>
    <n v="1717.78"/>
    <n v="0.19"/>
    <n v="5565.61"/>
    <s v="COD"/>
    <x v="1"/>
    <x v="0"/>
    <x v="2"/>
    <n v="6871.12"/>
    <x v="4"/>
    <x v="2"/>
    <x v="0"/>
  </r>
  <r>
    <s v="ORD1124"/>
    <x v="37"/>
    <s v="Delhi"/>
    <x v="3"/>
    <x v="1"/>
    <x v="14"/>
    <n v="2"/>
    <n v="4946.53"/>
    <n v="0.02"/>
    <n v="9695.2000000000007"/>
    <s v="Debit Card"/>
    <x v="0"/>
    <x v="0"/>
    <x v="0"/>
    <n v="9893.06"/>
    <x v="3"/>
    <x v="5"/>
    <x v="0"/>
  </r>
  <r>
    <s v="ORD1125"/>
    <x v="28"/>
    <s v="Karnataka"/>
    <x v="1"/>
    <x v="2"/>
    <x v="7"/>
    <n v="2"/>
    <n v="2607.36"/>
    <n v="0.11"/>
    <n v="4641.1000000000004"/>
    <s v="Credit Card"/>
    <x v="0"/>
    <x v="0"/>
    <x v="0"/>
    <n v="5214.72"/>
    <x v="0"/>
    <x v="2"/>
    <x v="0"/>
  </r>
  <r>
    <s v="ORD1126"/>
    <x v="93"/>
    <s v="Delhi"/>
    <x v="2"/>
    <x v="1"/>
    <x v="13"/>
    <n v="4"/>
    <n v="3892.21"/>
    <n v="0.18"/>
    <n v="12766.45"/>
    <s v="COD"/>
    <x v="2"/>
    <x v="1"/>
    <x v="3"/>
    <n v="15568.84"/>
    <x v="6"/>
    <x v="3"/>
    <x v="0"/>
  </r>
  <r>
    <s v="ORD1127"/>
    <x v="111"/>
    <s v="Gujarat"/>
    <x v="1"/>
    <x v="4"/>
    <x v="19"/>
    <n v="3"/>
    <n v="3585.6"/>
    <n v="0.21"/>
    <n v="8497.8700000000008"/>
    <s v="Debit Card"/>
    <x v="0"/>
    <x v="0"/>
    <x v="0"/>
    <n v="10756.8"/>
    <x v="3"/>
    <x v="4"/>
    <x v="0"/>
  </r>
  <r>
    <s v="ORD1128"/>
    <x v="26"/>
    <s v="Gujarat"/>
    <x v="2"/>
    <x v="4"/>
    <x v="19"/>
    <n v="3"/>
    <n v="972.26"/>
    <n v="0.22"/>
    <n v="2275.09"/>
    <s v="Net Banking"/>
    <x v="1"/>
    <x v="1"/>
    <x v="0"/>
    <n v="2916.7799999999997"/>
    <x v="3"/>
    <x v="0"/>
    <x v="0"/>
  </r>
  <r>
    <s v="ORD1129"/>
    <x v="93"/>
    <s v="Tamil Nadu"/>
    <x v="0"/>
    <x v="3"/>
    <x v="12"/>
    <n v="1"/>
    <n v="1059.5999999999999"/>
    <n v="0.09"/>
    <n v="964.24"/>
    <s v="UPI"/>
    <x v="0"/>
    <x v="2"/>
    <x v="0"/>
    <n v="1059.5999999999999"/>
    <x v="6"/>
    <x v="3"/>
    <x v="1"/>
  </r>
  <r>
    <s v="ORD1130"/>
    <x v="4"/>
    <s v="Karnataka"/>
    <x v="1"/>
    <x v="4"/>
    <x v="19"/>
    <n v="1"/>
    <n v="3073.19"/>
    <n v="0.01"/>
    <n v="3042.46"/>
    <s v="UPI"/>
    <x v="1"/>
    <x v="1"/>
    <x v="0"/>
    <n v="3073.19"/>
    <x v="2"/>
    <x v="2"/>
    <x v="0"/>
  </r>
  <r>
    <s v="ORD1131"/>
    <x v="54"/>
    <s v="Maharashtra"/>
    <x v="3"/>
    <x v="4"/>
    <x v="17"/>
    <n v="4"/>
    <n v="4986.43"/>
    <n v="0.16"/>
    <n v="16754.400000000001"/>
    <s v="COD"/>
    <x v="0"/>
    <x v="1"/>
    <x v="0"/>
    <n v="19945.72"/>
    <x v="6"/>
    <x v="4"/>
    <x v="0"/>
  </r>
  <r>
    <s v="ORD1132"/>
    <x v="31"/>
    <s v="Maharashtra"/>
    <x v="3"/>
    <x v="1"/>
    <x v="13"/>
    <n v="5"/>
    <n v="4481.8999999999996"/>
    <n v="0.04"/>
    <n v="21513.119999999999"/>
    <s v="UPI"/>
    <x v="0"/>
    <x v="0"/>
    <x v="1"/>
    <n v="22409.5"/>
    <x v="4"/>
    <x v="1"/>
    <x v="0"/>
  </r>
  <r>
    <s v="ORD1133"/>
    <x v="144"/>
    <s v="Tamil Nadu"/>
    <x v="2"/>
    <x v="3"/>
    <x v="8"/>
    <n v="4"/>
    <n v="3223.64"/>
    <n v="0.02"/>
    <n v="12636.67"/>
    <s v="Credit Card"/>
    <x v="0"/>
    <x v="2"/>
    <x v="2"/>
    <n v="12894.56"/>
    <x v="6"/>
    <x v="4"/>
    <x v="0"/>
  </r>
  <r>
    <s v="ORD1134"/>
    <x v="63"/>
    <s v="Karnataka"/>
    <x v="0"/>
    <x v="3"/>
    <x v="8"/>
    <n v="2"/>
    <n v="4538.05"/>
    <n v="0.15"/>
    <n v="7714.69"/>
    <s v="UPI"/>
    <x v="1"/>
    <x v="1"/>
    <x v="1"/>
    <n v="9076.1"/>
    <x v="6"/>
    <x v="2"/>
    <x v="0"/>
  </r>
  <r>
    <s v="ORD1135"/>
    <x v="12"/>
    <s v="Maharashtra"/>
    <x v="1"/>
    <x v="2"/>
    <x v="5"/>
    <n v="5"/>
    <n v="822.82"/>
    <n v="7.0000000000000007E-2"/>
    <n v="3826.11"/>
    <s v="Credit Card"/>
    <x v="0"/>
    <x v="2"/>
    <x v="0"/>
    <n v="4114.1000000000004"/>
    <x v="6"/>
    <x v="1"/>
    <x v="0"/>
  </r>
  <r>
    <s v="ORD1136"/>
    <x v="133"/>
    <s v="Gujarat"/>
    <x v="2"/>
    <x v="1"/>
    <x v="10"/>
    <n v="1"/>
    <n v="1624.71"/>
    <n v="0.14000000000000001"/>
    <n v="1397.25"/>
    <s v="Net Banking"/>
    <x v="0"/>
    <x v="2"/>
    <x v="0"/>
    <n v="1624.71"/>
    <x v="2"/>
    <x v="2"/>
    <x v="0"/>
  </r>
  <r>
    <s v="ORD1137"/>
    <x v="24"/>
    <s v="Maharashtra"/>
    <x v="0"/>
    <x v="0"/>
    <x v="3"/>
    <n v="2"/>
    <n v="3674.8"/>
    <n v="0.05"/>
    <n v="6982.12"/>
    <s v="Credit Card"/>
    <x v="0"/>
    <x v="0"/>
    <x v="3"/>
    <n v="7349.6"/>
    <x v="5"/>
    <x v="0"/>
    <x v="0"/>
  </r>
  <r>
    <s v="ORD1138"/>
    <x v="157"/>
    <s v="Karnataka"/>
    <x v="3"/>
    <x v="0"/>
    <x v="4"/>
    <n v="2"/>
    <n v="1608.13"/>
    <n v="0.17"/>
    <n v="2669.5"/>
    <s v="Net Banking"/>
    <x v="0"/>
    <x v="2"/>
    <x v="0"/>
    <n v="3216.26"/>
    <x v="4"/>
    <x v="5"/>
    <x v="0"/>
  </r>
  <r>
    <s v="ORD1139"/>
    <x v="129"/>
    <s v="Delhi"/>
    <x v="2"/>
    <x v="2"/>
    <x v="6"/>
    <n v="5"/>
    <n v="1646.15"/>
    <n v="0.06"/>
    <n v="7736.9"/>
    <s v="UPI"/>
    <x v="0"/>
    <x v="2"/>
    <x v="1"/>
    <n v="8230.75"/>
    <x v="3"/>
    <x v="4"/>
    <x v="0"/>
  </r>
  <r>
    <s v="ORD1140"/>
    <x v="54"/>
    <s v="Karnataka"/>
    <x v="1"/>
    <x v="3"/>
    <x v="9"/>
    <n v="1"/>
    <n v="2500.44"/>
    <n v="0.14000000000000001"/>
    <n v="2150.38"/>
    <s v="Net Banking"/>
    <x v="2"/>
    <x v="1"/>
    <x v="3"/>
    <n v="2500.44"/>
    <x v="6"/>
    <x v="4"/>
    <x v="0"/>
  </r>
  <r>
    <s v="ORD1141"/>
    <x v="32"/>
    <s v="Gujarat"/>
    <x v="2"/>
    <x v="3"/>
    <x v="8"/>
    <n v="5"/>
    <n v="2886.69"/>
    <n v="0.25"/>
    <n v="10825.09"/>
    <s v="Net Banking"/>
    <x v="0"/>
    <x v="1"/>
    <x v="0"/>
    <n v="14433.45"/>
    <x v="1"/>
    <x v="0"/>
    <x v="0"/>
  </r>
  <r>
    <s v="ORD1142"/>
    <x v="133"/>
    <s v="Karnataka"/>
    <x v="3"/>
    <x v="4"/>
    <x v="16"/>
    <n v="3"/>
    <n v="544.71"/>
    <n v="0.19"/>
    <n v="1323.65"/>
    <s v="COD"/>
    <x v="1"/>
    <x v="1"/>
    <x v="0"/>
    <n v="1634.13"/>
    <x v="2"/>
    <x v="2"/>
    <x v="0"/>
  </r>
  <r>
    <s v="ORD1143"/>
    <x v="175"/>
    <s v="Gujarat"/>
    <x v="1"/>
    <x v="0"/>
    <x v="0"/>
    <n v="2"/>
    <n v="2389.5100000000002"/>
    <n v="0.08"/>
    <n v="4396.7"/>
    <s v="Debit Card"/>
    <x v="2"/>
    <x v="0"/>
    <x v="0"/>
    <n v="4779.0200000000004"/>
    <x v="4"/>
    <x v="0"/>
    <x v="0"/>
  </r>
  <r>
    <s v="ORD1144"/>
    <x v="137"/>
    <s v="Maharashtra"/>
    <x v="0"/>
    <x v="0"/>
    <x v="2"/>
    <n v="2"/>
    <n v="2164.9"/>
    <n v="0.08"/>
    <n v="3983.42"/>
    <s v="UPI"/>
    <x v="0"/>
    <x v="0"/>
    <x v="0"/>
    <n v="4329.8"/>
    <x v="4"/>
    <x v="4"/>
    <x v="0"/>
  </r>
  <r>
    <s v="ORD1145"/>
    <x v="77"/>
    <s v="Delhi"/>
    <x v="1"/>
    <x v="4"/>
    <x v="17"/>
    <n v="2"/>
    <n v="3785.02"/>
    <n v="0.11"/>
    <n v="6737.34"/>
    <s v="Net Banking"/>
    <x v="1"/>
    <x v="0"/>
    <x v="0"/>
    <n v="7570.04"/>
    <x v="5"/>
    <x v="0"/>
    <x v="0"/>
  </r>
  <r>
    <s v="ORD1146"/>
    <x v="141"/>
    <s v="Tamil Nadu"/>
    <x v="2"/>
    <x v="2"/>
    <x v="5"/>
    <n v="3"/>
    <n v="3044.62"/>
    <n v="0.12"/>
    <n v="8037.8"/>
    <s v="Debit Card"/>
    <x v="2"/>
    <x v="1"/>
    <x v="0"/>
    <n v="9133.86"/>
    <x v="0"/>
    <x v="0"/>
    <x v="0"/>
  </r>
  <r>
    <s v="ORD1147"/>
    <x v="104"/>
    <s v="Tamil Nadu"/>
    <x v="3"/>
    <x v="3"/>
    <x v="8"/>
    <n v="5"/>
    <n v="2063.6799999999998"/>
    <n v="0.01"/>
    <n v="10215.219999999999"/>
    <s v="Net Banking"/>
    <x v="2"/>
    <x v="0"/>
    <x v="1"/>
    <n v="10318.4"/>
    <x v="2"/>
    <x v="4"/>
    <x v="0"/>
  </r>
  <r>
    <s v="ORD1148"/>
    <x v="27"/>
    <s v="Gujarat"/>
    <x v="2"/>
    <x v="1"/>
    <x v="10"/>
    <n v="3"/>
    <n v="3963.99"/>
    <n v="0.01"/>
    <n v="11773.05"/>
    <s v="Debit Card"/>
    <x v="0"/>
    <x v="2"/>
    <x v="3"/>
    <n v="11891.97"/>
    <x v="3"/>
    <x v="5"/>
    <x v="0"/>
  </r>
  <r>
    <s v="ORD1149"/>
    <x v="110"/>
    <s v="Tamil Nadu"/>
    <x v="2"/>
    <x v="3"/>
    <x v="9"/>
    <n v="4"/>
    <n v="104.13"/>
    <n v="0.04"/>
    <n v="399.86"/>
    <s v="Net Banking"/>
    <x v="0"/>
    <x v="2"/>
    <x v="0"/>
    <n v="416.52"/>
    <x v="5"/>
    <x v="3"/>
    <x v="1"/>
  </r>
  <r>
    <s v="ORD1150"/>
    <x v="130"/>
    <s v="Delhi"/>
    <x v="0"/>
    <x v="3"/>
    <x v="12"/>
    <n v="2"/>
    <n v="855.28"/>
    <n v="0.14000000000000001"/>
    <n v="1471.08"/>
    <s v="Net Banking"/>
    <x v="0"/>
    <x v="1"/>
    <x v="0"/>
    <n v="1710.56"/>
    <x v="3"/>
    <x v="1"/>
    <x v="0"/>
  </r>
  <r>
    <s v="ORD1151"/>
    <x v="17"/>
    <s v="Tamil Nadu"/>
    <x v="1"/>
    <x v="4"/>
    <x v="19"/>
    <n v="4"/>
    <n v="3524.02"/>
    <n v="0.23"/>
    <n v="10853.98"/>
    <s v="COD"/>
    <x v="1"/>
    <x v="0"/>
    <x v="3"/>
    <n v="14096.08"/>
    <x v="2"/>
    <x v="1"/>
    <x v="0"/>
  </r>
  <r>
    <s v="ORD1152"/>
    <x v="125"/>
    <s v="Tamil Nadu"/>
    <x v="1"/>
    <x v="3"/>
    <x v="8"/>
    <n v="2"/>
    <n v="2059.4299999999998"/>
    <n v="0.08"/>
    <n v="3789.35"/>
    <s v="Debit Card"/>
    <x v="2"/>
    <x v="1"/>
    <x v="0"/>
    <n v="4118.8599999999997"/>
    <x v="4"/>
    <x v="5"/>
    <x v="0"/>
  </r>
  <r>
    <s v="ORD1153"/>
    <x v="6"/>
    <s v="Karnataka"/>
    <x v="3"/>
    <x v="1"/>
    <x v="13"/>
    <n v="5"/>
    <n v="231.79"/>
    <n v="0.22"/>
    <n v="903.98"/>
    <s v="Net Banking"/>
    <x v="1"/>
    <x v="2"/>
    <x v="0"/>
    <n v="1158.95"/>
    <x v="4"/>
    <x v="2"/>
    <x v="1"/>
  </r>
  <r>
    <s v="ORD1154"/>
    <x v="157"/>
    <s v="Gujarat"/>
    <x v="0"/>
    <x v="4"/>
    <x v="19"/>
    <n v="1"/>
    <n v="3263.33"/>
    <n v="0.03"/>
    <n v="3165.43"/>
    <s v="COD"/>
    <x v="2"/>
    <x v="2"/>
    <x v="0"/>
    <n v="3263.33"/>
    <x v="4"/>
    <x v="5"/>
    <x v="0"/>
  </r>
  <r>
    <s v="ORD1155"/>
    <x v="175"/>
    <s v="Karnataka"/>
    <x v="1"/>
    <x v="2"/>
    <x v="7"/>
    <n v="2"/>
    <n v="2185.9899999999998"/>
    <n v="7.0000000000000007E-2"/>
    <n v="4065.94"/>
    <s v="Net Banking"/>
    <x v="1"/>
    <x v="1"/>
    <x v="0"/>
    <n v="4371.9799999999996"/>
    <x v="4"/>
    <x v="0"/>
    <x v="0"/>
  </r>
  <r>
    <s v="ORD1156"/>
    <x v="5"/>
    <s v="Delhi"/>
    <x v="2"/>
    <x v="2"/>
    <x v="11"/>
    <n v="5"/>
    <n v="4187.74"/>
    <n v="0.12"/>
    <n v="18426.060000000001"/>
    <s v="Net Banking"/>
    <x v="1"/>
    <x v="2"/>
    <x v="0"/>
    <n v="20938.699999999997"/>
    <x v="0"/>
    <x v="2"/>
    <x v="0"/>
  </r>
  <r>
    <s v="ORD1157"/>
    <x v="132"/>
    <s v="Maharashtra"/>
    <x v="0"/>
    <x v="0"/>
    <x v="3"/>
    <n v="2"/>
    <n v="2915.94"/>
    <n v="0.1"/>
    <n v="5248.69"/>
    <s v="Debit Card"/>
    <x v="2"/>
    <x v="1"/>
    <x v="0"/>
    <n v="5831.88"/>
    <x v="3"/>
    <x v="5"/>
    <x v="0"/>
  </r>
  <r>
    <s v="ORD1158"/>
    <x v="65"/>
    <s v="Maharashtra"/>
    <x v="2"/>
    <x v="2"/>
    <x v="5"/>
    <n v="3"/>
    <n v="3736.12"/>
    <n v="0.03"/>
    <n v="10872.11"/>
    <s v="UPI"/>
    <x v="2"/>
    <x v="1"/>
    <x v="3"/>
    <n v="11208.36"/>
    <x v="6"/>
    <x v="0"/>
    <x v="0"/>
  </r>
  <r>
    <s v="ORD1159"/>
    <x v="62"/>
    <s v="Maharashtra"/>
    <x v="3"/>
    <x v="4"/>
    <x v="17"/>
    <n v="5"/>
    <n v="3822.09"/>
    <n v="0.22"/>
    <n v="14906.15"/>
    <s v="Debit Card"/>
    <x v="2"/>
    <x v="2"/>
    <x v="0"/>
    <n v="19110.45"/>
    <x v="1"/>
    <x v="4"/>
    <x v="0"/>
  </r>
  <r>
    <s v="ORD1160"/>
    <x v="71"/>
    <s v="Delhi"/>
    <x v="0"/>
    <x v="1"/>
    <x v="1"/>
    <n v="4"/>
    <n v="2230.9499999999998"/>
    <n v="0.12"/>
    <n v="7852.94"/>
    <s v="COD"/>
    <x v="1"/>
    <x v="2"/>
    <x v="1"/>
    <n v="8923.7999999999993"/>
    <x v="4"/>
    <x v="5"/>
    <x v="0"/>
  </r>
  <r>
    <s v="ORD1161"/>
    <x v="153"/>
    <s v="Maharashtra"/>
    <x v="0"/>
    <x v="2"/>
    <x v="6"/>
    <n v="3"/>
    <n v="1336.4"/>
    <n v="0.08"/>
    <n v="3688.46"/>
    <s v="COD"/>
    <x v="1"/>
    <x v="1"/>
    <x v="0"/>
    <n v="4009.2000000000003"/>
    <x v="1"/>
    <x v="4"/>
    <x v="0"/>
  </r>
  <r>
    <s v="ORD1162"/>
    <x v="54"/>
    <s v="Karnataka"/>
    <x v="0"/>
    <x v="3"/>
    <x v="9"/>
    <n v="4"/>
    <n v="1690.7"/>
    <n v="0.16"/>
    <n v="5680.75"/>
    <s v="Net Banking"/>
    <x v="0"/>
    <x v="0"/>
    <x v="0"/>
    <n v="6762.8"/>
    <x v="6"/>
    <x v="4"/>
    <x v="0"/>
  </r>
  <r>
    <s v="ORD1163"/>
    <x v="80"/>
    <s v="Delhi"/>
    <x v="1"/>
    <x v="0"/>
    <x v="3"/>
    <n v="5"/>
    <n v="563.41"/>
    <n v="0.18"/>
    <n v="2309.98"/>
    <s v="Debit Card"/>
    <x v="0"/>
    <x v="0"/>
    <x v="0"/>
    <n v="2817.0499999999997"/>
    <x v="0"/>
    <x v="4"/>
    <x v="0"/>
  </r>
  <r>
    <s v="ORD1164"/>
    <x v="37"/>
    <s v="Tamil Nadu"/>
    <x v="2"/>
    <x v="4"/>
    <x v="17"/>
    <n v="5"/>
    <n v="2888.43"/>
    <n v="0.01"/>
    <n v="14297.73"/>
    <s v="COD"/>
    <x v="0"/>
    <x v="1"/>
    <x v="0"/>
    <n v="14442.15"/>
    <x v="3"/>
    <x v="5"/>
    <x v="0"/>
  </r>
  <r>
    <s v="ORD1165"/>
    <x v="36"/>
    <s v="Tamil Nadu"/>
    <x v="1"/>
    <x v="1"/>
    <x v="13"/>
    <n v="1"/>
    <n v="1755.09"/>
    <n v="0.16"/>
    <n v="1474.28"/>
    <s v="COD"/>
    <x v="1"/>
    <x v="1"/>
    <x v="0"/>
    <n v="1755.09"/>
    <x v="0"/>
    <x v="5"/>
    <x v="0"/>
  </r>
  <r>
    <s v="ORD1166"/>
    <x v="97"/>
    <s v="Maharashtra"/>
    <x v="3"/>
    <x v="3"/>
    <x v="9"/>
    <n v="2"/>
    <n v="2897.39"/>
    <n v="0.25"/>
    <n v="4346.09"/>
    <s v="Net Banking"/>
    <x v="0"/>
    <x v="0"/>
    <x v="0"/>
    <n v="5794.78"/>
    <x v="2"/>
    <x v="0"/>
    <x v="0"/>
  </r>
  <r>
    <s v="ORD1167"/>
    <x v="138"/>
    <s v="Gujarat"/>
    <x v="2"/>
    <x v="0"/>
    <x v="2"/>
    <n v="4"/>
    <n v="1446.46"/>
    <n v="0.17"/>
    <n v="4802.25"/>
    <s v="Net Banking"/>
    <x v="0"/>
    <x v="2"/>
    <x v="0"/>
    <n v="5785.84"/>
    <x v="4"/>
    <x v="4"/>
    <x v="0"/>
  </r>
  <r>
    <s v="ORD1168"/>
    <x v="148"/>
    <s v="Delhi"/>
    <x v="3"/>
    <x v="0"/>
    <x v="3"/>
    <n v="1"/>
    <n v="2095.1999999999998"/>
    <n v="0"/>
    <n v="2095.1999999999998"/>
    <s v="UPI"/>
    <x v="2"/>
    <x v="1"/>
    <x v="0"/>
    <n v="2095.1999999999998"/>
    <x v="4"/>
    <x v="5"/>
    <x v="0"/>
  </r>
  <r>
    <s v="ORD1169"/>
    <x v="72"/>
    <s v="Maharashtra"/>
    <x v="2"/>
    <x v="2"/>
    <x v="6"/>
    <n v="1"/>
    <n v="3574.14"/>
    <n v="0.06"/>
    <n v="3359.69"/>
    <s v="Debit Card"/>
    <x v="0"/>
    <x v="0"/>
    <x v="0"/>
    <n v="3574.14"/>
    <x v="0"/>
    <x v="5"/>
    <x v="0"/>
  </r>
  <r>
    <s v="ORD1170"/>
    <x v="26"/>
    <s v="Gujarat"/>
    <x v="0"/>
    <x v="1"/>
    <x v="14"/>
    <n v="5"/>
    <n v="1710.88"/>
    <n v="0.1"/>
    <n v="7698.96"/>
    <s v="Net Banking"/>
    <x v="1"/>
    <x v="0"/>
    <x v="0"/>
    <n v="8554.4000000000015"/>
    <x v="3"/>
    <x v="0"/>
    <x v="0"/>
  </r>
  <r>
    <s v="ORD1171"/>
    <x v="69"/>
    <s v="Tamil Nadu"/>
    <x v="1"/>
    <x v="4"/>
    <x v="17"/>
    <n v="4"/>
    <n v="1132.1199999999999"/>
    <n v="0.17"/>
    <n v="3758.64"/>
    <s v="Debit Card"/>
    <x v="2"/>
    <x v="0"/>
    <x v="0"/>
    <n v="4528.4799999999996"/>
    <x v="2"/>
    <x v="4"/>
    <x v="0"/>
  </r>
  <r>
    <s v="ORD1172"/>
    <x v="81"/>
    <s v="Tamil Nadu"/>
    <x v="2"/>
    <x v="0"/>
    <x v="0"/>
    <n v="1"/>
    <n v="1117"/>
    <n v="0.25"/>
    <n v="837.75"/>
    <s v="COD"/>
    <x v="2"/>
    <x v="1"/>
    <x v="0"/>
    <n v="1117"/>
    <x v="3"/>
    <x v="2"/>
    <x v="1"/>
  </r>
  <r>
    <s v="ORD1173"/>
    <x v="132"/>
    <s v="Tamil Nadu"/>
    <x v="1"/>
    <x v="4"/>
    <x v="18"/>
    <n v="5"/>
    <n v="2966.19"/>
    <n v="0.16"/>
    <n v="12458"/>
    <s v="Credit Card"/>
    <x v="0"/>
    <x v="0"/>
    <x v="0"/>
    <n v="14830.95"/>
    <x v="3"/>
    <x v="5"/>
    <x v="0"/>
  </r>
  <r>
    <s v="ORD1174"/>
    <x v="115"/>
    <s v="Gujarat"/>
    <x v="0"/>
    <x v="0"/>
    <x v="2"/>
    <n v="4"/>
    <n v="4613.76"/>
    <n v="0.03"/>
    <n v="17901.39"/>
    <s v="Net Banking"/>
    <x v="0"/>
    <x v="0"/>
    <x v="0"/>
    <n v="18455.04"/>
    <x v="5"/>
    <x v="2"/>
    <x v="0"/>
  </r>
  <r>
    <s v="ORD1175"/>
    <x v="66"/>
    <s v="Maharashtra"/>
    <x v="1"/>
    <x v="3"/>
    <x v="12"/>
    <n v="2"/>
    <n v="4337.9799999999996"/>
    <n v="0.19"/>
    <n v="7027.53"/>
    <s v="COD"/>
    <x v="2"/>
    <x v="0"/>
    <x v="0"/>
    <n v="8675.9599999999991"/>
    <x v="6"/>
    <x v="2"/>
    <x v="0"/>
  </r>
  <r>
    <s v="ORD1176"/>
    <x v="145"/>
    <s v="Tamil Nadu"/>
    <x v="2"/>
    <x v="4"/>
    <x v="16"/>
    <n v="3"/>
    <n v="3875.45"/>
    <n v="0.16"/>
    <n v="9766.1299999999992"/>
    <s v="COD"/>
    <x v="2"/>
    <x v="0"/>
    <x v="0"/>
    <n v="11626.349999999999"/>
    <x v="6"/>
    <x v="1"/>
    <x v="0"/>
  </r>
  <r>
    <s v="ORD1177"/>
    <x v="120"/>
    <s v="Delhi"/>
    <x v="3"/>
    <x v="1"/>
    <x v="14"/>
    <n v="4"/>
    <n v="1502.79"/>
    <n v="0.23"/>
    <n v="4628.59"/>
    <s v="Net Banking"/>
    <x v="2"/>
    <x v="2"/>
    <x v="0"/>
    <n v="6011.16"/>
    <x v="1"/>
    <x v="0"/>
    <x v="0"/>
  </r>
  <r>
    <s v="ORD1178"/>
    <x v="63"/>
    <s v="Tamil Nadu"/>
    <x v="1"/>
    <x v="0"/>
    <x v="2"/>
    <n v="1"/>
    <n v="1978.43"/>
    <n v="0.16"/>
    <n v="1661.88"/>
    <s v="Debit Card"/>
    <x v="1"/>
    <x v="1"/>
    <x v="0"/>
    <n v="1978.43"/>
    <x v="6"/>
    <x v="2"/>
    <x v="0"/>
  </r>
  <r>
    <s v="ORD1179"/>
    <x v="88"/>
    <s v="Delhi"/>
    <x v="1"/>
    <x v="0"/>
    <x v="4"/>
    <n v="5"/>
    <n v="4994.66"/>
    <n v="0.15"/>
    <n v="21227.31"/>
    <s v="COD"/>
    <x v="1"/>
    <x v="0"/>
    <x v="1"/>
    <n v="24973.3"/>
    <x v="0"/>
    <x v="5"/>
    <x v="0"/>
  </r>
  <r>
    <s v="ORD1180"/>
    <x v="145"/>
    <s v="Delhi"/>
    <x v="1"/>
    <x v="4"/>
    <x v="16"/>
    <n v="4"/>
    <n v="3453.38"/>
    <n v="0.24"/>
    <n v="10498.28"/>
    <s v="COD"/>
    <x v="1"/>
    <x v="2"/>
    <x v="0"/>
    <n v="13813.52"/>
    <x v="6"/>
    <x v="1"/>
    <x v="0"/>
  </r>
  <r>
    <s v="ORD1181"/>
    <x v="97"/>
    <s v="Tamil Nadu"/>
    <x v="2"/>
    <x v="3"/>
    <x v="12"/>
    <n v="2"/>
    <n v="958.53"/>
    <n v="0.23"/>
    <n v="1476.14"/>
    <s v="UPI"/>
    <x v="1"/>
    <x v="2"/>
    <x v="0"/>
    <n v="1917.06"/>
    <x v="2"/>
    <x v="0"/>
    <x v="0"/>
  </r>
  <r>
    <s v="ORD1182"/>
    <x v="50"/>
    <s v="Delhi"/>
    <x v="3"/>
    <x v="0"/>
    <x v="0"/>
    <n v="4"/>
    <n v="1300.73"/>
    <n v="0.15"/>
    <n v="4422.4799999999996"/>
    <s v="COD"/>
    <x v="2"/>
    <x v="2"/>
    <x v="2"/>
    <n v="5202.92"/>
    <x v="5"/>
    <x v="4"/>
    <x v="0"/>
  </r>
  <r>
    <s v="ORD1183"/>
    <x v="40"/>
    <s v="Gujarat"/>
    <x v="0"/>
    <x v="1"/>
    <x v="13"/>
    <n v="2"/>
    <n v="2364.84"/>
    <n v="0.24"/>
    <n v="3594.56"/>
    <s v="UPI"/>
    <x v="0"/>
    <x v="2"/>
    <x v="0"/>
    <n v="4729.68"/>
    <x v="4"/>
    <x v="0"/>
    <x v="0"/>
  </r>
  <r>
    <s v="ORD1184"/>
    <x v="175"/>
    <s v="Tamil Nadu"/>
    <x v="0"/>
    <x v="2"/>
    <x v="5"/>
    <n v="3"/>
    <n v="4428.45"/>
    <n v="0.13"/>
    <n v="11558.25"/>
    <s v="Credit Card"/>
    <x v="2"/>
    <x v="0"/>
    <x v="0"/>
    <n v="13285.349999999999"/>
    <x v="4"/>
    <x v="0"/>
    <x v="0"/>
  </r>
  <r>
    <s v="ORD1185"/>
    <x v="159"/>
    <s v="Tamil Nadu"/>
    <x v="1"/>
    <x v="0"/>
    <x v="2"/>
    <n v="4"/>
    <n v="3611.46"/>
    <n v="0.13"/>
    <n v="12567.88"/>
    <s v="Credit Card"/>
    <x v="2"/>
    <x v="0"/>
    <x v="0"/>
    <n v="14445.84"/>
    <x v="1"/>
    <x v="2"/>
    <x v="0"/>
  </r>
  <r>
    <s v="ORD1186"/>
    <x v="63"/>
    <s v="Delhi"/>
    <x v="2"/>
    <x v="0"/>
    <x v="0"/>
    <n v="1"/>
    <n v="3637.77"/>
    <n v="0.09"/>
    <n v="3310.37"/>
    <s v="UPI"/>
    <x v="1"/>
    <x v="0"/>
    <x v="0"/>
    <n v="3637.77"/>
    <x v="6"/>
    <x v="2"/>
    <x v="0"/>
  </r>
  <r>
    <s v="ORD1187"/>
    <x v="18"/>
    <s v="Delhi"/>
    <x v="1"/>
    <x v="3"/>
    <x v="15"/>
    <n v="3"/>
    <n v="3245.97"/>
    <n v="0.02"/>
    <n v="9543.15"/>
    <s v="UPI"/>
    <x v="0"/>
    <x v="0"/>
    <x v="3"/>
    <n v="9737.91"/>
    <x v="1"/>
    <x v="2"/>
    <x v="0"/>
  </r>
  <r>
    <s v="ORD1188"/>
    <x v="3"/>
    <s v="Karnataka"/>
    <x v="0"/>
    <x v="4"/>
    <x v="17"/>
    <n v="4"/>
    <n v="3527.85"/>
    <n v="0.14000000000000001"/>
    <n v="12135.8"/>
    <s v="Net Banking"/>
    <x v="2"/>
    <x v="0"/>
    <x v="3"/>
    <n v="14111.4"/>
    <x v="3"/>
    <x v="0"/>
    <x v="0"/>
  </r>
  <r>
    <s v="ORD1189"/>
    <x v="129"/>
    <s v="Maharashtra"/>
    <x v="3"/>
    <x v="3"/>
    <x v="9"/>
    <n v="5"/>
    <n v="1877.35"/>
    <n v="7.0000000000000007E-2"/>
    <n v="8729.68"/>
    <s v="Debit Card"/>
    <x v="2"/>
    <x v="0"/>
    <x v="0"/>
    <n v="9386.75"/>
    <x v="3"/>
    <x v="4"/>
    <x v="0"/>
  </r>
  <r>
    <s v="ORD1190"/>
    <x v="4"/>
    <s v="Tamil Nadu"/>
    <x v="2"/>
    <x v="4"/>
    <x v="18"/>
    <n v="2"/>
    <n v="817.98"/>
    <n v="7.0000000000000007E-2"/>
    <n v="1521.44"/>
    <s v="UPI"/>
    <x v="0"/>
    <x v="1"/>
    <x v="0"/>
    <n v="1635.96"/>
    <x v="2"/>
    <x v="2"/>
    <x v="0"/>
  </r>
  <r>
    <s v="ORD1191"/>
    <x v="120"/>
    <s v="Gujarat"/>
    <x v="1"/>
    <x v="0"/>
    <x v="4"/>
    <n v="5"/>
    <n v="159.13"/>
    <n v="0.09"/>
    <n v="724.04"/>
    <s v="UPI"/>
    <x v="0"/>
    <x v="0"/>
    <x v="0"/>
    <n v="795.65"/>
    <x v="1"/>
    <x v="0"/>
    <x v="1"/>
  </r>
  <r>
    <s v="ORD1192"/>
    <x v="13"/>
    <s v="Delhi"/>
    <x v="3"/>
    <x v="3"/>
    <x v="9"/>
    <n v="3"/>
    <n v="2664.35"/>
    <n v="0.09"/>
    <n v="7273.68"/>
    <s v="COD"/>
    <x v="1"/>
    <x v="1"/>
    <x v="1"/>
    <n v="7993.0499999999993"/>
    <x v="6"/>
    <x v="4"/>
    <x v="0"/>
  </r>
  <r>
    <s v="ORD1193"/>
    <x v="32"/>
    <s v="Tamil Nadu"/>
    <x v="3"/>
    <x v="2"/>
    <x v="11"/>
    <n v="1"/>
    <n v="1777.6"/>
    <n v="0.08"/>
    <n v="1635.39"/>
    <s v="Net Banking"/>
    <x v="0"/>
    <x v="2"/>
    <x v="0"/>
    <n v="1777.6"/>
    <x v="1"/>
    <x v="0"/>
    <x v="0"/>
  </r>
  <r>
    <s v="ORD1194"/>
    <x v="170"/>
    <s v="Karnataka"/>
    <x v="3"/>
    <x v="0"/>
    <x v="4"/>
    <n v="5"/>
    <n v="4572.24"/>
    <n v="0.23"/>
    <n v="17603.12"/>
    <s v="Net Banking"/>
    <x v="2"/>
    <x v="0"/>
    <x v="0"/>
    <n v="22861.199999999997"/>
    <x v="3"/>
    <x v="4"/>
    <x v="0"/>
  </r>
  <r>
    <s v="ORD1195"/>
    <x v="111"/>
    <s v="Tamil Nadu"/>
    <x v="0"/>
    <x v="4"/>
    <x v="19"/>
    <n v="5"/>
    <n v="429.27"/>
    <n v="0.14000000000000001"/>
    <n v="1845.86"/>
    <s v="Credit Card"/>
    <x v="2"/>
    <x v="0"/>
    <x v="2"/>
    <n v="2146.35"/>
    <x v="3"/>
    <x v="4"/>
    <x v="0"/>
  </r>
  <r>
    <s v="ORD1196"/>
    <x v="28"/>
    <s v="Gujarat"/>
    <x v="3"/>
    <x v="0"/>
    <x v="3"/>
    <n v="2"/>
    <n v="1354.75"/>
    <n v="0.18"/>
    <n v="2221.79"/>
    <s v="COD"/>
    <x v="0"/>
    <x v="0"/>
    <x v="0"/>
    <n v="2709.5"/>
    <x v="0"/>
    <x v="2"/>
    <x v="0"/>
  </r>
  <r>
    <s v="ORD1197"/>
    <x v="8"/>
    <s v="Maharashtra"/>
    <x v="0"/>
    <x v="2"/>
    <x v="11"/>
    <n v="5"/>
    <n v="1459.64"/>
    <n v="0.19"/>
    <n v="5911.54"/>
    <s v="COD"/>
    <x v="2"/>
    <x v="0"/>
    <x v="1"/>
    <n v="7298.2000000000007"/>
    <x v="0"/>
    <x v="1"/>
    <x v="0"/>
  </r>
  <r>
    <s v="ORD1198"/>
    <x v="56"/>
    <s v="Maharashtra"/>
    <x v="0"/>
    <x v="3"/>
    <x v="9"/>
    <n v="2"/>
    <n v="2969.82"/>
    <n v="0.15"/>
    <n v="5048.6899999999996"/>
    <s v="Debit Card"/>
    <x v="0"/>
    <x v="1"/>
    <x v="0"/>
    <n v="5939.64"/>
    <x v="1"/>
    <x v="3"/>
    <x v="0"/>
  </r>
  <r>
    <s v="ORD1199"/>
    <x v="63"/>
    <s v="Maharashtra"/>
    <x v="3"/>
    <x v="0"/>
    <x v="2"/>
    <n v="1"/>
    <n v="2265.3000000000002"/>
    <n v="0.12"/>
    <n v="1993.46"/>
    <s v="Debit Card"/>
    <x v="2"/>
    <x v="2"/>
    <x v="0"/>
    <n v="2265.3000000000002"/>
    <x v="6"/>
    <x v="2"/>
    <x v="0"/>
  </r>
  <r>
    <s v="ORD1200"/>
    <x v="125"/>
    <s v="Gujarat"/>
    <x v="1"/>
    <x v="4"/>
    <x v="19"/>
    <n v="4"/>
    <n v="3909.24"/>
    <n v="0.05"/>
    <n v="14855.11"/>
    <s v="Net Banking"/>
    <x v="0"/>
    <x v="0"/>
    <x v="2"/>
    <n v="15636.96"/>
    <x v="4"/>
    <x v="5"/>
    <x v="0"/>
  </r>
  <r>
    <s v="ORD1201"/>
    <x v="66"/>
    <s v="Gujarat"/>
    <x v="2"/>
    <x v="4"/>
    <x v="18"/>
    <n v="2"/>
    <n v="1710.33"/>
    <n v="0.12"/>
    <n v="3010.18"/>
    <s v="UPI"/>
    <x v="2"/>
    <x v="1"/>
    <x v="0"/>
    <n v="3420.66"/>
    <x v="6"/>
    <x v="2"/>
    <x v="0"/>
  </r>
  <r>
    <s v="ORD1202"/>
    <x v="61"/>
    <s v="Karnataka"/>
    <x v="3"/>
    <x v="1"/>
    <x v="10"/>
    <n v="5"/>
    <n v="2565.0100000000002"/>
    <n v="0.16"/>
    <n v="10773.04"/>
    <s v="UPI"/>
    <x v="1"/>
    <x v="2"/>
    <x v="0"/>
    <n v="12825.050000000001"/>
    <x v="1"/>
    <x v="5"/>
    <x v="0"/>
  </r>
  <r>
    <s v="ORD1203"/>
    <x v="122"/>
    <s v="Tamil Nadu"/>
    <x v="1"/>
    <x v="4"/>
    <x v="18"/>
    <n v="1"/>
    <n v="3826.15"/>
    <n v="0.17"/>
    <n v="3175.7"/>
    <s v="Debit Card"/>
    <x v="0"/>
    <x v="2"/>
    <x v="0"/>
    <n v="3826.15"/>
    <x v="5"/>
    <x v="2"/>
    <x v="0"/>
  </r>
  <r>
    <s v="ORD1204"/>
    <x v="172"/>
    <s v="Delhi"/>
    <x v="1"/>
    <x v="1"/>
    <x v="10"/>
    <n v="2"/>
    <n v="1605.28"/>
    <n v="0.08"/>
    <n v="2953.72"/>
    <s v="Credit Card"/>
    <x v="0"/>
    <x v="0"/>
    <x v="0"/>
    <n v="3210.56"/>
    <x v="6"/>
    <x v="5"/>
    <x v="0"/>
  </r>
  <r>
    <s v="ORD1205"/>
    <x v="116"/>
    <s v="Gujarat"/>
    <x v="3"/>
    <x v="4"/>
    <x v="16"/>
    <n v="2"/>
    <n v="1040.33"/>
    <n v="0.1"/>
    <n v="1872.59"/>
    <s v="Debit Card"/>
    <x v="2"/>
    <x v="2"/>
    <x v="0"/>
    <n v="2080.66"/>
    <x v="6"/>
    <x v="1"/>
    <x v="0"/>
  </r>
  <r>
    <s v="ORD1206"/>
    <x v="146"/>
    <s v="Gujarat"/>
    <x v="3"/>
    <x v="3"/>
    <x v="9"/>
    <n v="5"/>
    <n v="3964.87"/>
    <n v="0.19"/>
    <n v="16057.72"/>
    <s v="Net Banking"/>
    <x v="1"/>
    <x v="1"/>
    <x v="1"/>
    <n v="19824.349999999999"/>
    <x v="2"/>
    <x v="0"/>
    <x v="0"/>
  </r>
  <r>
    <s v="ORD1207"/>
    <x v="80"/>
    <s v="Karnataka"/>
    <x v="1"/>
    <x v="2"/>
    <x v="6"/>
    <n v="3"/>
    <n v="3660.88"/>
    <n v="0.21"/>
    <n v="8676.2900000000009"/>
    <s v="Debit Card"/>
    <x v="2"/>
    <x v="1"/>
    <x v="0"/>
    <n v="10982.64"/>
    <x v="0"/>
    <x v="4"/>
    <x v="0"/>
  </r>
  <r>
    <s v="ORD1208"/>
    <x v="51"/>
    <s v="Tamil Nadu"/>
    <x v="1"/>
    <x v="1"/>
    <x v="14"/>
    <n v="1"/>
    <n v="4846.53"/>
    <n v="0.09"/>
    <n v="4410.34"/>
    <s v="Credit Card"/>
    <x v="2"/>
    <x v="2"/>
    <x v="3"/>
    <n v="4846.53"/>
    <x v="3"/>
    <x v="1"/>
    <x v="0"/>
  </r>
  <r>
    <s v="ORD1209"/>
    <x v="4"/>
    <s v="Delhi"/>
    <x v="2"/>
    <x v="0"/>
    <x v="4"/>
    <n v="3"/>
    <n v="216.03"/>
    <n v="0.11"/>
    <n v="576.79999999999995"/>
    <s v="UPI"/>
    <x v="2"/>
    <x v="1"/>
    <x v="0"/>
    <n v="648.09"/>
    <x v="2"/>
    <x v="2"/>
    <x v="1"/>
  </r>
  <r>
    <s v="ORD1210"/>
    <x v="47"/>
    <s v="Gujarat"/>
    <x v="1"/>
    <x v="3"/>
    <x v="12"/>
    <n v="3"/>
    <n v="623.49"/>
    <n v="0.06"/>
    <n v="1758.24"/>
    <s v="COD"/>
    <x v="2"/>
    <x v="1"/>
    <x v="1"/>
    <n v="1870.47"/>
    <x v="4"/>
    <x v="1"/>
    <x v="0"/>
  </r>
  <r>
    <s v="ORD1211"/>
    <x v="86"/>
    <s v="Maharashtra"/>
    <x v="1"/>
    <x v="1"/>
    <x v="14"/>
    <n v="4"/>
    <n v="1324.25"/>
    <n v="0.25"/>
    <n v="3972.75"/>
    <s v="Net Banking"/>
    <x v="1"/>
    <x v="0"/>
    <x v="0"/>
    <n v="5297"/>
    <x v="3"/>
    <x v="1"/>
    <x v="0"/>
  </r>
  <r>
    <s v="ORD1212"/>
    <x v="54"/>
    <s v="Karnataka"/>
    <x v="0"/>
    <x v="0"/>
    <x v="2"/>
    <n v="4"/>
    <n v="4625.67"/>
    <n v="0.03"/>
    <n v="17947.599999999999"/>
    <s v="COD"/>
    <x v="2"/>
    <x v="2"/>
    <x v="0"/>
    <n v="18502.68"/>
    <x v="6"/>
    <x v="4"/>
    <x v="0"/>
  </r>
  <r>
    <s v="ORD1213"/>
    <x v="55"/>
    <s v="Delhi"/>
    <x v="2"/>
    <x v="2"/>
    <x v="11"/>
    <n v="5"/>
    <n v="1079.97"/>
    <n v="0.02"/>
    <n v="5291.85"/>
    <s v="COD"/>
    <x v="2"/>
    <x v="2"/>
    <x v="0"/>
    <n v="5399.85"/>
    <x v="1"/>
    <x v="2"/>
    <x v="0"/>
  </r>
  <r>
    <s v="ORD1214"/>
    <x v="35"/>
    <s v="Maharashtra"/>
    <x v="3"/>
    <x v="4"/>
    <x v="17"/>
    <n v="3"/>
    <n v="4790.28"/>
    <n v="0.09"/>
    <n v="13077.46"/>
    <s v="Debit Card"/>
    <x v="0"/>
    <x v="1"/>
    <x v="0"/>
    <n v="14370.84"/>
    <x v="6"/>
    <x v="0"/>
    <x v="0"/>
  </r>
  <r>
    <s v="ORD1215"/>
    <x v="51"/>
    <s v="Tamil Nadu"/>
    <x v="0"/>
    <x v="2"/>
    <x v="11"/>
    <n v="2"/>
    <n v="3420.58"/>
    <n v="0.18"/>
    <n v="5609.75"/>
    <s v="UPI"/>
    <x v="2"/>
    <x v="1"/>
    <x v="0"/>
    <n v="6841.16"/>
    <x v="3"/>
    <x v="1"/>
    <x v="0"/>
  </r>
  <r>
    <s v="ORD1216"/>
    <x v="70"/>
    <s v="Tamil Nadu"/>
    <x v="0"/>
    <x v="2"/>
    <x v="5"/>
    <n v="5"/>
    <n v="395.4"/>
    <n v="0.25"/>
    <n v="1482.75"/>
    <s v="Net Banking"/>
    <x v="0"/>
    <x v="1"/>
    <x v="0"/>
    <n v="1977"/>
    <x v="2"/>
    <x v="0"/>
    <x v="0"/>
  </r>
  <r>
    <s v="ORD1217"/>
    <x v="30"/>
    <s v="Gujarat"/>
    <x v="0"/>
    <x v="0"/>
    <x v="2"/>
    <n v="5"/>
    <n v="1735.39"/>
    <n v="0.02"/>
    <n v="8503.41"/>
    <s v="Net Banking"/>
    <x v="2"/>
    <x v="2"/>
    <x v="2"/>
    <n v="8676.9500000000007"/>
    <x v="1"/>
    <x v="3"/>
    <x v="0"/>
  </r>
  <r>
    <s v="ORD1218"/>
    <x v="106"/>
    <s v="Gujarat"/>
    <x v="1"/>
    <x v="0"/>
    <x v="4"/>
    <n v="4"/>
    <n v="3089.15"/>
    <n v="0.25"/>
    <n v="9267.4500000000007"/>
    <s v="Credit Card"/>
    <x v="1"/>
    <x v="2"/>
    <x v="3"/>
    <n v="12356.6"/>
    <x v="5"/>
    <x v="0"/>
    <x v="0"/>
  </r>
  <r>
    <s v="ORD1219"/>
    <x v="104"/>
    <s v="Delhi"/>
    <x v="1"/>
    <x v="2"/>
    <x v="5"/>
    <n v="2"/>
    <n v="3274.42"/>
    <n v="0.08"/>
    <n v="6024.93"/>
    <s v="UPI"/>
    <x v="0"/>
    <x v="0"/>
    <x v="1"/>
    <n v="6548.84"/>
    <x v="2"/>
    <x v="4"/>
    <x v="0"/>
  </r>
  <r>
    <s v="ORD1220"/>
    <x v="8"/>
    <s v="Maharashtra"/>
    <x v="2"/>
    <x v="2"/>
    <x v="6"/>
    <n v="1"/>
    <n v="141.84"/>
    <n v="0.08"/>
    <n v="130.49"/>
    <s v="COD"/>
    <x v="2"/>
    <x v="2"/>
    <x v="1"/>
    <n v="141.84"/>
    <x v="0"/>
    <x v="1"/>
    <x v="1"/>
  </r>
  <r>
    <s v="ORD1221"/>
    <x v="124"/>
    <s v="Gujarat"/>
    <x v="3"/>
    <x v="1"/>
    <x v="1"/>
    <n v="2"/>
    <n v="3872.65"/>
    <n v="0.14000000000000001"/>
    <n v="6660.96"/>
    <s v="Net Banking"/>
    <x v="1"/>
    <x v="1"/>
    <x v="0"/>
    <n v="7745.3"/>
    <x v="4"/>
    <x v="3"/>
    <x v="0"/>
  </r>
  <r>
    <s v="ORD1222"/>
    <x v="116"/>
    <s v="Karnataka"/>
    <x v="3"/>
    <x v="3"/>
    <x v="12"/>
    <n v="1"/>
    <n v="2713.77"/>
    <n v="0.24"/>
    <n v="2062.4699999999998"/>
    <s v="Debit Card"/>
    <x v="0"/>
    <x v="2"/>
    <x v="0"/>
    <n v="2713.77"/>
    <x v="6"/>
    <x v="1"/>
    <x v="0"/>
  </r>
  <r>
    <s v="ORD1223"/>
    <x v="152"/>
    <s v="Karnataka"/>
    <x v="3"/>
    <x v="0"/>
    <x v="2"/>
    <n v="2"/>
    <n v="1088.3399999999999"/>
    <n v="0.04"/>
    <n v="2089.61"/>
    <s v="Debit Card"/>
    <x v="1"/>
    <x v="1"/>
    <x v="1"/>
    <n v="2176.6799999999998"/>
    <x v="5"/>
    <x v="4"/>
    <x v="0"/>
  </r>
  <r>
    <s v="ORD1224"/>
    <x v="165"/>
    <s v="Maharashtra"/>
    <x v="3"/>
    <x v="3"/>
    <x v="9"/>
    <n v="1"/>
    <n v="4187.37"/>
    <n v="0.09"/>
    <n v="3810.51"/>
    <s v="Debit Card"/>
    <x v="2"/>
    <x v="1"/>
    <x v="0"/>
    <n v="4187.37"/>
    <x v="5"/>
    <x v="2"/>
    <x v="0"/>
  </r>
  <r>
    <s v="ORD1225"/>
    <x v="153"/>
    <s v="Tamil Nadu"/>
    <x v="0"/>
    <x v="2"/>
    <x v="5"/>
    <n v="4"/>
    <n v="2992.06"/>
    <n v="0.03"/>
    <n v="11609.19"/>
    <s v="Debit Card"/>
    <x v="0"/>
    <x v="2"/>
    <x v="0"/>
    <n v="11968.24"/>
    <x v="1"/>
    <x v="4"/>
    <x v="0"/>
  </r>
  <r>
    <s v="ORD1226"/>
    <x v="137"/>
    <s v="Tamil Nadu"/>
    <x v="2"/>
    <x v="3"/>
    <x v="8"/>
    <n v="3"/>
    <n v="2134.13"/>
    <n v="0.05"/>
    <n v="6082.27"/>
    <s v="COD"/>
    <x v="2"/>
    <x v="2"/>
    <x v="0"/>
    <n v="6402.39"/>
    <x v="4"/>
    <x v="4"/>
    <x v="0"/>
  </r>
  <r>
    <s v="ORD1227"/>
    <x v="143"/>
    <s v="Tamil Nadu"/>
    <x v="2"/>
    <x v="1"/>
    <x v="13"/>
    <n v="4"/>
    <n v="4036.72"/>
    <n v="0.1"/>
    <n v="14532.19"/>
    <s v="Credit Card"/>
    <x v="0"/>
    <x v="2"/>
    <x v="0"/>
    <n v="16146.88"/>
    <x v="4"/>
    <x v="5"/>
    <x v="0"/>
  </r>
  <r>
    <s v="ORD1228"/>
    <x v="37"/>
    <s v="Tamil Nadu"/>
    <x v="0"/>
    <x v="4"/>
    <x v="19"/>
    <n v="1"/>
    <n v="3287.12"/>
    <n v="0.2"/>
    <n v="2629.7"/>
    <s v="UPI"/>
    <x v="0"/>
    <x v="1"/>
    <x v="2"/>
    <n v="3287.12"/>
    <x v="3"/>
    <x v="5"/>
    <x v="0"/>
  </r>
  <r>
    <s v="ORD1229"/>
    <x v="159"/>
    <s v="Maharashtra"/>
    <x v="3"/>
    <x v="4"/>
    <x v="17"/>
    <n v="2"/>
    <n v="2866.44"/>
    <n v="0.03"/>
    <n v="5560.89"/>
    <s v="Debit Card"/>
    <x v="0"/>
    <x v="2"/>
    <x v="0"/>
    <n v="5732.88"/>
    <x v="1"/>
    <x v="2"/>
    <x v="0"/>
  </r>
  <r>
    <s v="ORD1230"/>
    <x v="107"/>
    <s v="Gujarat"/>
    <x v="1"/>
    <x v="0"/>
    <x v="0"/>
    <n v="3"/>
    <n v="1921.35"/>
    <n v="0.1"/>
    <n v="5187.6400000000003"/>
    <s v="Debit Card"/>
    <x v="1"/>
    <x v="2"/>
    <x v="0"/>
    <n v="5764.0499999999993"/>
    <x v="6"/>
    <x v="1"/>
    <x v="0"/>
  </r>
  <r>
    <s v="ORD1231"/>
    <x v="180"/>
    <s v="Delhi"/>
    <x v="2"/>
    <x v="1"/>
    <x v="10"/>
    <n v="2"/>
    <n v="246.9"/>
    <n v="0.05"/>
    <n v="469.11"/>
    <s v="UPI"/>
    <x v="0"/>
    <x v="1"/>
    <x v="1"/>
    <n v="493.8"/>
    <x v="1"/>
    <x v="2"/>
    <x v="1"/>
  </r>
  <r>
    <s v="ORD1232"/>
    <x v="167"/>
    <s v="Maharashtra"/>
    <x v="1"/>
    <x v="4"/>
    <x v="17"/>
    <n v="1"/>
    <n v="4455.22"/>
    <n v="0.01"/>
    <n v="4410.67"/>
    <s v="Credit Card"/>
    <x v="2"/>
    <x v="2"/>
    <x v="0"/>
    <n v="4455.22"/>
    <x v="1"/>
    <x v="6"/>
    <x v="0"/>
  </r>
  <r>
    <s v="ORD1233"/>
    <x v="60"/>
    <s v="Delhi"/>
    <x v="0"/>
    <x v="2"/>
    <x v="11"/>
    <n v="3"/>
    <n v="4496.22"/>
    <n v="0.02"/>
    <n v="13218.89"/>
    <s v="Credit Card"/>
    <x v="0"/>
    <x v="2"/>
    <x v="2"/>
    <n v="13488.66"/>
    <x v="5"/>
    <x v="3"/>
    <x v="0"/>
  </r>
  <r>
    <s v="ORD1234"/>
    <x v="137"/>
    <s v="Gujarat"/>
    <x v="1"/>
    <x v="2"/>
    <x v="5"/>
    <n v="5"/>
    <n v="4066.18"/>
    <n v="0"/>
    <n v="20330.900000000001"/>
    <s v="Net Banking"/>
    <x v="0"/>
    <x v="1"/>
    <x v="1"/>
    <n v="20330.899999999998"/>
    <x v="4"/>
    <x v="4"/>
    <x v="0"/>
  </r>
  <r>
    <s v="ORD1235"/>
    <x v="117"/>
    <s v="Karnataka"/>
    <x v="3"/>
    <x v="4"/>
    <x v="16"/>
    <n v="5"/>
    <n v="3375.32"/>
    <n v="0.02"/>
    <n v="16539.07"/>
    <s v="COD"/>
    <x v="2"/>
    <x v="1"/>
    <x v="0"/>
    <n v="16876.600000000002"/>
    <x v="4"/>
    <x v="1"/>
    <x v="0"/>
  </r>
  <r>
    <s v="ORD1236"/>
    <x v="87"/>
    <s v="Delhi"/>
    <x v="0"/>
    <x v="1"/>
    <x v="10"/>
    <n v="1"/>
    <n v="3741.61"/>
    <n v="0.18"/>
    <n v="3068.12"/>
    <s v="Debit Card"/>
    <x v="1"/>
    <x v="1"/>
    <x v="0"/>
    <n v="3741.61"/>
    <x v="0"/>
    <x v="3"/>
    <x v="0"/>
  </r>
  <r>
    <s v="ORD1237"/>
    <x v="90"/>
    <s v="Karnataka"/>
    <x v="2"/>
    <x v="4"/>
    <x v="16"/>
    <n v="4"/>
    <n v="3374.95"/>
    <n v="0.13"/>
    <n v="11744.83"/>
    <s v="UPI"/>
    <x v="1"/>
    <x v="0"/>
    <x v="3"/>
    <n v="13499.8"/>
    <x v="0"/>
    <x v="1"/>
    <x v="0"/>
  </r>
  <r>
    <s v="ORD1238"/>
    <x v="89"/>
    <s v="Tamil Nadu"/>
    <x v="1"/>
    <x v="3"/>
    <x v="9"/>
    <n v="2"/>
    <n v="2938.91"/>
    <n v="0.23"/>
    <n v="4525.92"/>
    <s v="UPI"/>
    <x v="1"/>
    <x v="2"/>
    <x v="0"/>
    <n v="5877.82"/>
    <x v="1"/>
    <x v="5"/>
    <x v="0"/>
  </r>
  <r>
    <s v="ORD1239"/>
    <x v="104"/>
    <s v="Maharashtra"/>
    <x v="2"/>
    <x v="3"/>
    <x v="12"/>
    <n v="1"/>
    <n v="4193.3599999999997"/>
    <n v="0.06"/>
    <n v="3941.76"/>
    <s v="Debit Card"/>
    <x v="1"/>
    <x v="1"/>
    <x v="0"/>
    <n v="4193.3599999999997"/>
    <x v="2"/>
    <x v="4"/>
    <x v="0"/>
  </r>
  <r>
    <s v="ORD1240"/>
    <x v="160"/>
    <s v="Karnataka"/>
    <x v="2"/>
    <x v="2"/>
    <x v="5"/>
    <n v="5"/>
    <n v="2087.7199999999998"/>
    <n v="0.25"/>
    <n v="7828.95"/>
    <s v="Debit Card"/>
    <x v="1"/>
    <x v="1"/>
    <x v="0"/>
    <n v="10438.599999999999"/>
    <x v="1"/>
    <x v="1"/>
    <x v="0"/>
  </r>
  <r>
    <s v="ORD1241"/>
    <x v="62"/>
    <s v="Gujarat"/>
    <x v="1"/>
    <x v="0"/>
    <x v="2"/>
    <n v="2"/>
    <n v="1350.89"/>
    <n v="0.2"/>
    <n v="2161.42"/>
    <s v="UPI"/>
    <x v="2"/>
    <x v="1"/>
    <x v="0"/>
    <n v="2701.78"/>
    <x v="1"/>
    <x v="4"/>
    <x v="0"/>
  </r>
  <r>
    <s v="ORD1242"/>
    <x v="57"/>
    <s v="Maharashtra"/>
    <x v="1"/>
    <x v="4"/>
    <x v="17"/>
    <n v="1"/>
    <n v="4827.29"/>
    <n v="0.03"/>
    <n v="4682.47"/>
    <s v="UPI"/>
    <x v="2"/>
    <x v="2"/>
    <x v="3"/>
    <n v="4827.29"/>
    <x v="3"/>
    <x v="0"/>
    <x v="0"/>
  </r>
  <r>
    <s v="ORD1243"/>
    <x v="82"/>
    <s v="Delhi"/>
    <x v="3"/>
    <x v="0"/>
    <x v="2"/>
    <n v="4"/>
    <n v="2237.1999999999998"/>
    <n v="0.25"/>
    <n v="6711.6"/>
    <s v="UPI"/>
    <x v="2"/>
    <x v="2"/>
    <x v="0"/>
    <n v="8948.7999999999993"/>
    <x v="1"/>
    <x v="0"/>
    <x v="0"/>
  </r>
  <r>
    <s v="ORD1244"/>
    <x v="86"/>
    <s v="Delhi"/>
    <x v="3"/>
    <x v="1"/>
    <x v="10"/>
    <n v="2"/>
    <n v="3693.72"/>
    <n v="0.09"/>
    <n v="6722.57"/>
    <s v="Debit Card"/>
    <x v="0"/>
    <x v="0"/>
    <x v="0"/>
    <n v="7387.44"/>
    <x v="3"/>
    <x v="1"/>
    <x v="0"/>
  </r>
  <r>
    <s v="ORD1245"/>
    <x v="108"/>
    <s v="Gujarat"/>
    <x v="2"/>
    <x v="1"/>
    <x v="13"/>
    <n v="2"/>
    <n v="3499.1"/>
    <n v="0.25"/>
    <n v="5248.65"/>
    <s v="UPI"/>
    <x v="1"/>
    <x v="2"/>
    <x v="0"/>
    <n v="6998.2"/>
    <x v="4"/>
    <x v="2"/>
    <x v="0"/>
  </r>
  <r>
    <s v="ORD1246"/>
    <x v="176"/>
    <s v="Delhi"/>
    <x v="2"/>
    <x v="3"/>
    <x v="12"/>
    <n v="4"/>
    <n v="4305.6499999999996"/>
    <n v="7.0000000000000007E-2"/>
    <n v="16017.02"/>
    <s v="COD"/>
    <x v="1"/>
    <x v="1"/>
    <x v="0"/>
    <n v="17222.599999999999"/>
    <x v="1"/>
    <x v="1"/>
    <x v="0"/>
  </r>
  <r>
    <s v="ORD1247"/>
    <x v="29"/>
    <s v="Tamil Nadu"/>
    <x v="2"/>
    <x v="1"/>
    <x v="14"/>
    <n v="2"/>
    <n v="3635.58"/>
    <n v="7.0000000000000007E-2"/>
    <n v="6762.18"/>
    <s v="Net Banking"/>
    <x v="2"/>
    <x v="2"/>
    <x v="0"/>
    <n v="7271.16"/>
    <x v="3"/>
    <x v="3"/>
    <x v="0"/>
  </r>
  <r>
    <s v="ORD1248"/>
    <x v="98"/>
    <s v="Gujarat"/>
    <x v="3"/>
    <x v="4"/>
    <x v="16"/>
    <n v="1"/>
    <n v="3800.33"/>
    <n v="0.04"/>
    <n v="3648.32"/>
    <s v="COD"/>
    <x v="0"/>
    <x v="1"/>
    <x v="3"/>
    <n v="3800.33"/>
    <x v="2"/>
    <x v="4"/>
    <x v="0"/>
  </r>
  <r>
    <s v="ORD1249"/>
    <x v="172"/>
    <s v="Delhi"/>
    <x v="3"/>
    <x v="3"/>
    <x v="15"/>
    <n v="5"/>
    <n v="1047.52"/>
    <n v="0.21"/>
    <n v="4137.7"/>
    <s v="Net Banking"/>
    <x v="2"/>
    <x v="2"/>
    <x v="2"/>
    <n v="5237.6000000000004"/>
    <x v="6"/>
    <x v="5"/>
    <x v="0"/>
  </r>
  <r>
    <s v="ORD1250"/>
    <x v="12"/>
    <s v="Tamil Nadu"/>
    <x v="3"/>
    <x v="4"/>
    <x v="16"/>
    <n v="5"/>
    <n v="4727.2700000000004"/>
    <n v="0.04"/>
    <n v="22690.9"/>
    <s v="Credit Card"/>
    <x v="1"/>
    <x v="1"/>
    <x v="0"/>
    <n v="23636.350000000002"/>
    <x v="6"/>
    <x v="1"/>
    <x v="0"/>
  </r>
  <r>
    <s v="ORD1251"/>
    <x v="115"/>
    <s v="Maharashtra"/>
    <x v="3"/>
    <x v="4"/>
    <x v="19"/>
    <n v="5"/>
    <n v="602.79999999999995"/>
    <n v="0.16"/>
    <n v="2531.7600000000002"/>
    <s v="COD"/>
    <x v="2"/>
    <x v="1"/>
    <x v="0"/>
    <n v="3014"/>
    <x v="5"/>
    <x v="2"/>
    <x v="0"/>
  </r>
  <r>
    <s v="ORD1252"/>
    <x v="145"/>
    <s v="Gujarat"/>
    <x v="2"/>
    <x v="4"/>
    <x v="19"/>
    <n v="2"/>
    <n v="444.97"/>
    <n v="0.24"/>
    <n v="676.35"/>
    <s v="COD"/>
    <x v="2"/>
    <x v="0"/>
    <x v="1"/>
    <n v="889.94"/>
    <x v="6"/>
    <x v="1"/>
    <x v="1"/>
  </r>
  <r>
    <s v="ORD1253"/>
    <x v="22"/>
    <s v="Karnataka"/>
    <x v="1"/>
    <x v="0"/>
    <x v="3"/>
    <n v="4"/>
    <n v="2186.96"/>
    <n v="0.04"/>
    <n v="8397.93"/>
    <s v="Credit Card"/>
    <x v="1"/>
    <x v="0"/>
    <x v="3"/>
    <n v="8747.84"/>
    <x v="3"/>
    <x v="4"/>
    <x v="0"/>
  </r>
  <r>
    <s v="ORD1254"/>
    <x v="40"/>
    <s v="Maharashtra"/>
    <x v="1"/>
    <x v="3"/>
    <x v="8"/>
    <n v="3"/>
    <n v="1282.33"/>
    <n v="0.21"/>
    <n v="3039.12"/>
    <s v="COD"/>
    <x v="1"/>
    <x v="1"/>
    <x v="0"/>
    <n v="3846.99"/>
    <x v="4"/>
    <x v="0"/>
    <x v="0"/>
  </r>
  <r>
    <s v="ORD1255"/>
    <x v="178"/>
    <s v="Karnataka"/>
    <x v="2"/>
    <x v="0"/>
    <x v="2"/>
    <n v="5"/>
    <n v="1711.27"/>
    <n v="0.17"/>
    <n v="7101.77"/>
    <s v="UPI"/>
    <x v="1"/>
    <x v="1"/>
    <x v="0"/>
    <n v="8556.35"/>
    <x v="3"/>
    <x v="5"/>
    <x v="0"/>
  </r>
  <r>
    <s v="ORD1256"/>
    <x v="45"/>
    <s v="Delhi"/>
    <x v="1"/>
    <x v="0"/>
    <x v="3"/>
    <n v="2"/>
    <n v="2996.31"/>
    <n v="0.17"/>
    <n v="4973.87"/>
    <s v="COD"/>
    <x v="2"/>
    <x v="2"/>
    <x v="0"/>
    <n v="5992.62"/>
    <x v="0"/>
    <x v="4"/>
    <x v="0"/>
  </r>
  <r>
    <s v="ORD1257"/>
    <x v="111"/>
    <s v="Gujarat"/>
    <x v="0"/>
    <x v="1"/>
    <x v="14"/>
    <n v="4"/>
    <n v="306.3"/>
    <n v="0.03"/>
    <n v="1188.44"/>
    <s v="COD"/>
    <x v="1"/>
    <x v="0"/>
    <x v="0"/>
    <n v="1225.2"/>
    <x v="3"/>
    <x v="4"/>
    <x v="0"/>
  </r>
  <r>
    <s v="ORD1258"/>
    <x v="110"/>
    <s v="Karnataka"/>
    <x v="0"/>
    <x v="0"/>
    <x v="4"/>
    <n v="5"/>
    <n v="2166.96"/>
    <n v="0.1"/>
    <n v="9751.32"/>
    <s v="COD"/>
    <x v="1"/>
    <x v="0"/>
    <x v="0"/>
    <n v="10834.8"/>
    <x v="5"/>
    <x v="3"/>
    <x v="0"/>
  </r>
  <r>
    <s v="ORD1259"/>
    <x v="58"/>
    <s v="Gujarat"/>
    <x v="0"/>
    <x v="2"/>
    <x v="5"/>
    <n v="4"/>
    <n v="4084.49"/>
    <n v="0.16"/>
    <n v="13723.89"/>
    <s v="COD"/>
    <x v="0"/>
    <x v="1"/>
    <x v="0"/>
    <n v="16337.96"/>
    <x v="4"/>
    <x v="0"/>
    <x v="0"/>
  </r>
  <r>
    <s v="ORD1260"/>
    <x v="6"/>
    <s v="Karnataka"/>
    <x v="2"/>
    <x v="3"/>
    <x v="8"/>
    <n v="4"/>
    <n v="4029.29"/>
    <n v="0.18"/>
    <n v="13216.07"/>
    <s v="Credit Card"/>
    <x v="2"/>
    <x v="1"/>
    <x v="3"/>
    <n v="16117.16"/>
    <x v="4"/>
    <x v="2"/>
    <x v="0"/>
  </r>
  <r>
    <s v="ORD1261"/>
    <x v="67"/>
    <s v="Delhi"/>
    <x v="2"/>
    <x v="4"/>
    <x v="17"/>
    <n v="1"/>
    <n v="1690.11"/>
    <n v="0.17"/>
    <n v="1402.79"/>
    <s v="UPI"/>
    <x v="2"/>
    <x v="0"/>
    <x v="3"/>
    <n v="1690.11"/>
    <x v="3"/>
    <x v="3"/>
    <x v="0"/>
  </r>
  <r>
    <s v="ORD1262"/>
    <x v="170"/>
    <s v="Gujarat"/>
    <x v="1"/>
    <x v="3"/>
    <x v="12"/>
    <n v="3"/>
    <n v="3729.45"/>
    <n v="0.19"/>
    <n v="9062.56"/>
    <s v="COD"/>
    <x v="1"/>
    <x v="2"/>
    <x v="1"/>
    <n v="11188.349999999999"/>
    <x v="3"/>
    <x v="4"/>
    <x v="0"/>
  </r>
  <r>
    <s v="ORD1263"/>
    <x v="42"/>
    <s v="Gujarat"/>
    <x v="0"/>
    <x v="4"/>
    <x v="17"/>
    <n v="2"/>
    <n v="1651.02"/>
    <n v="0.08"/>
    <n v="3037.88"/>
    <s v="COD"/>
    <x v="1"/>
    <x v="0"/>
    <x v="0"/>
    <n v="3302.04"/>
    <x v="3"/>
    <x v="5"/>
    <x v="0"/>
  </r>
  <r>
    <s v="ORD1264"/>
    <x v="27"/>
    <s v="Delhi"/>
    <x v="1"/>
    <x v="4"/>
    <x v="18"/>
    <n v="3"/>
    <n v="4294.28"/>
    <n v="0.12"/>
    <n v="11336.9"/>
    <s v="Net Banking"/>
    <x v="0"/>
    <x v="1"/>
    <x v="1"/>
    <n v="12882.84"/>
    <x v="3"/>
    <x v="5"/>
    <x v="0"/>
  </r>
  <r>
    <s v="ORD1265"/>
    <x v="174"/>
    <s v="Karnataka"/>
    <x v="2"/>
    <x v="3"/>
    <x v="12"/>
    <n v="2"/>
    <n v="2951.05"/>
    <n v="0.23"/>
    <n v="4544.62"/>
    <s v="Credit Card"/>
    <x v="0"/>
    <x v="0"/>
    <x v="3"/>
    <n v="5902.1"/>
    <x v="4"/>
    <x v="3"/>
    <x v="0"/>
  </r>
  <r>
    <s v="ORD1266"/>
    <x v="143"/>
    <s v="Tamil Nadu"/>
    <x v="1"/>
    <x v="1"/>
    <x v="10"/>
    <n v="1"/>
    <n v="1073.24"/>
    <n v="0.02"/>
    <n v="1051.78"/>
    <s v="COD"/>
    <x v="1"/>
    <x v="0"/>
    <x v="1"/>
    <n v="1073.24"/>
    <x v="4"/>
    <x v="5"/>
    <x v="0"/>
  </r>
  <r>
    <s v="ORD1267"/>
    <x v="125"/>
    <s v="Gujarat"/>
    <x v="2"/>
    <x v="3"/>
    <x v="9"/>
    <n v="2"/>
    <n v="4614.17"/>
    <n v="0.03"/>
    <n v="8951.49"/>
    <s v="UPI"/>
    <x v="2"/>
    <x v="0"/>
    <x v="0"/>
    <n v="9228.34"/>
    <x v="4"/>
    <x v="5"/>
    <x v="0"/>
  </r>
  <r>
    <s v="ORD1268"/>
    <x v="60"/>
    <s v="Delhi"/>
    <x v="0"/>
    <x v="0"/>
    <x v="2"/>
    <n v="2"/>
    <n v="2785.14"/>
    <n v="0.17"/>
    <n v="4623.33"/>
    <s v="Net Banking"/>
    <x v="0"/>
    <x v="1"/>
    <x v="0"/>
    <n v="5570.28"/>
    <x v="5"/>
    <x v="3"/>
    <x v="0"/>
  </r>
  <r>
    <s v="ORD1269"/>
    <x v="13"/>
    <s v="Delhi"/>
    <x v="1"/>
    <x v="3"/>
    <x v="12"/>
    <n v="2"/>
    <n v="812.35"/>
    <n v="7.0000000000000007E-2"/>
    <n v="1510.97"/>
    <s v="Net Banking"/>
    <x v="1"/>
    <x v="2"/>
    <x v="3"/>
    <n v="1624.7"/>
    <x v="6"/>
    <x v="4"/>
    <x v="0"/>
  </r>
  <r>
    <s v="ORD1270"/>
    <x v="101"/>
    <s v="Tamil Nadu"/>
    <x v="2"/>
    <x v="2"/>
    <x v="11"/>
    <n v="5"/>
    <n v="2058.12"/>
    <n v="0.14000000000000001"/>
    <n v="8849.92"/>
    <s v="Debit Card"/>
    <x v="1"/>
    <x v="1"/>
    <x v="0"/>
    <n v="10290.599999999999"/>
    <x v="5"/>
    <x v="5"/>
    <x v="0"/>
  </r>
  <r>
    <s v="ORD1271"/>
    <x v="132"/>
    <s v="Tamil Nadu"/>
    <x v="3"/>
    <x v="4"/>
    <x v="17"/>
    <n v="2"/>
    <n v="1668.76"/>
    <n v="0.09"/>
    <n v="3037.14"/>
    <s v="UPI"/>
    <x v="2"/>
    <x v="0"/>
    <x v="0"/>
    <n v="3337.52"/>
    <x v="3"/>
    <x v="5"/>
    <x v="0"/>
  </r>
  <r>
    <s v="ORD1272"/>
    <x v="92"/>
    <s v="Maharashtra"/>
    <x v="3"/>
    <x v="3"/>
    <x v="12"/>
    <n v="4"/>
    <n v="2723.26"/>
    <n v="0.03"/>
    <n v="10566.25"/>
    <s v="COD"/>
    <x v="1"/>
    <x v="0"/>
    <x v="0"/>
    <n v="10893.04"/>
    <x v="0"/>
    <x v="4"/>
    <x v="0"/>
  </r>
  <r>
    <s v="ORD1273"/>
    <x v="58"/>
    <s v="Tamil Nadu"/>
    <x v="1"/>
    <x v="1"/>
    <x v="10"/>
    <n v="1"/>
    <n v="2355.17"/>
    <n v="0.11"/>
    <n v="2096.1"/>
    <s v="UPI"/>
    <x v="1"/>
    <x v="0"/>
    <x v="0"/>
    <n v="2355.17"/>
    <x v="4"/>
    <x v="0"/>
    <x v="0"/>
  </r>
  <r>
    <s v="ORD1274"/>
    <x v="134"/>
    <s v="Gujarat"/>
    <x v="3"/>
    <x v="3"/>
    <x v="8"/>
    <n v="1"/>
    <n v="4489.62"/>
    <n v="0.12"/>
    <n v="3950.87"/>
    <s v="Net Banking"/>
    <x v="1"/>
    <x v="0"/>
    <x v="0"/>
    <n v="4489.62"/>
    <x v="2"/>
    <x v="1"/>
    <x v="0"/>
  </r>
  <r>
    <s v="ORD1275"/>
    <x v="78"/>
    <s v="Karnataka"/>
    <x v="3"/>
    <x v="4"/>
    <x v="19"/>
    <n v="1"/>
    <n v="3596.7"/>
    <n v="0.12"/>
    <n v="3165.1"/>
    <s v="COD"/>
    <x v="2"/>
    <x v="0"/>
    <x v="2"/>
    <n v="3596.7"/>
    <x v="5"/>
    <x v="0"/>
    <x v="0"/>
  </r>
  <r>
    <s v="ORD1276"/>
    <x v="3"/>
    <s v="Karnataka"/>
    <x v="1"/>
    <x v="3"/>
    <x v="15"/>
    <n v="3"/>
    <n v="1719.61"/>
    <n v="0.14000000000000001"/>
    <n v="4436.59"/>
    <s v="COD"/>
    <x v="1"/>
    <x v="0"/>
    <x v="0"/>
    <n v="5158.83"/>
    <x v="3"/>
    <x v="0"/>
    <x v="0"/>
  </r>
  <r>
    <s v="ORD1277"/>
    <x v="8"/>
    <s v="Maharashtra"/>
    <x v="0"/>
    <x v="1"/>
    <x v="1"/>
    <n v="3"/>
    <n v="2978.49"/>
    <n v="0.19"/>
    <n v="7237.73"/>
    <s v="COD"/>
    <x v="0"/>
    <x v="2"/>
    <x v="0"/>
    <n v="8935.4699999999993"/>
    <x v="0"/>
    <x v="1"/>
    <x v="0"/>
  </r>
  <r>
    <s v="ORD1278"/>
    <x v="40"/>
    <s v="Delhi"/>
    <x v="0"/>
    <x v="3"/>
    <x v="12"/>
    <n v="2"/>
    <n v="244.49"/>
    <n v="0.23"/>
    <n v="376.51"/>
    <s v="COD"/>
    <x v="0"/>
    <x v="0"/>
    <x v="0"/>
    <n v="488.98"/>
    <x v="4"/>
    <x v="0"/>
    <x v="1"/>
  </r>
  <r>
    <s v="ORD1279"/>
    <x v="73"/>
    <s v="Gujarat"/>
    <x v="3"/>
    <x v="0"/>
    <x v="3"/>
    <n v="4"/>
    <n v="3512.43"/>
    <n v="0.03"/>
    <n v="13628.23"/>
    <s v="Net Banking"/>
    <x v="2"/>
    <x v="1"/>
    <x v="0"/>
    <n v="14049.72"/>
    <x v="0"/>
    <x v="2"/>
    <x v="0"/>
  </r>
  <r>
    <s v="ORD1280"/>
    <x v="109"/>
    <s v="Tamil Nadu"/>
    <x v="2"/>
    <x v="4"/>
    <x v="16"/>
    <n v="1"/>
    <n v="1004.38"/>
    <n v="0.1"/>
    <n v="903.94"/>
    <s v="UPI"/>
    <x v="2"/>
    <x v="2"/>
    <x v="2"/>
    <n v="1004.38"/>
    <x v="6"/>
    <x v="0"/>
    <x v="1"/>
  </r>
  <r>
    <s v="ORD1281"/>
    <x v="73"/>
    <s v="Tamil Nadu"/>
    <x v="0"/>
    <x v="0"/>
    <x v="2"/>
    <n v="3"/>
    <n v="199.96"/>
    <n v="0.15"/>
    <n v="509.9"/>
    <s v="Credit Card"/>
    <x v="1"/>
    <x v="0"/>
    <x v="0"/>
    <n v="599.88"/>
    <x v="0"/>
    <x v="2"/>
    <x v="1"/>
  </r>
  <r>
    <s v="ORD1282"/>
    <x v="46"/>
    <s v="Maharashtra"/>
    <x v="2"/>
    <x v="0"/>
    <x v="4"/>
    <n v="1"/>
    <n v="1701.61"/>
    <n v="0.08"/>
    <n v="1565.48"/>
    <s v="COD"/>
    <x v="0"/>
    <x v="0"/>
    <x v="1"/>
    <n v="1701.61"/>
    <x v="6"/>
    <x v="2"/>
    <x v="0"/>
  </r>
  <r>
    <s v="ORD1283"/>
    <x v="65"/>
    <s v="Gujarat"/>
    <x v="3"/>
    <x v="3"/>
    <x v="12"/>
    <n v="5"/>
    <n v="1170.03"/>
    <n v="0.09"/>
    <n v="5323.64"/>
    <s v="Net Banking"/>
    <x v="0"/>
    <x v="0"/>
    <x v="0"/>
    <n v="5850.15"/>
    <x v="6"/>
    <x v="0"/>
    <x v="0"/>
  </r>
  <r>
    <s v="ORD1284"/>
    <x v="53"/>
    <s v="Tamil Nadu"/>
    <x v="0"/>
    <x v="1"/>
    <x v="10"/>
    <n v="2"/>
    <n v="4090.37"/>
    <n v="0.11"/>
    <n v="7280.86"/>
    <s v="Debit Card"/>
    <x v="1"/>
    <x v="0"/>
    <x v="1"/>
    <n v="8180.74"/>
    <x v="4"/>
    <x v="1"/>
    <x v="0"/>
  </r>
  <r>
    <s v="ORD1285"/>
    <x v="38"/>
    <s v="Karnataka"/>
    <x v="1"/>
    <x v="0"/>
    <x v="2"/>
    <n v="2"/>
    <n v="2991.52"/>
    <n v="0.04"/>
    <n v="5743.72"/>
    <s v="Credit Card"/>
    <x v="2"/>
    <x v="2"/>
    <x v="0"/>
    <n v="5983.04"/>
    <x v="6"/>
    <x v="2"/>
    <x v="0"/>
  </r>
  <r>
    <s v="ORD1286"/>
    <x v="133"/>
    <s v="Tamil Nadu"/>
    <x v="2"/>
    <x v="3"/>
    <x v="9"/>
    <n v="4"/>
    <n v="4725.6499999999996"/>
    <n v="0.17"/>
    <n v="15689.16"/>
    <s v="COD"/>
    <x v="2"/>
    <x v="2"/>
    <x v="0"/>
    <n v="18902.599999999999"/>
    <x v="2"/>
    <x v="2"/>
    <x v="0"/>
  </r>
  <r>
    <s v="ORD1287"/>
    <x v="79"/>
    <s v="Tamil Nadu"/>
    <x v="0"/>
    <x v="3"/>
    <x v="12"/>
    <n v="1"/>
    <n v="1855.77"/>
    <n v="0.23"/>
    <n v="1428.94"/>
    <s v="Debit Card"/>
    <x v="2"/>
    <x v="1"/>
    <x v="3"/>
    <n v="1855.77"/>
    <x v="0"/>
    <x v="2"/>
    <x v="0"/>
  </r>
  <r>
    <s v="ORD1288"/>
    <x v="54"/>
    <s v="Gujarat"/>
    <x v="3"/>
    <x v="0"/>
    <x v="2"/>
    <n v="5"/>
    <n v="2656.2"/>
    <n v="0.19"/>
    <n v="10757.61"/>
    <s v="COD"/>
    <x v="1"/>
    <x v="0"/>
    <x v="0"/>
    <n v="13281"/>
    <x v="6"/>
    <x v="4"/>
    <x v="0"/>
  </r>
  <r>
    <s v="ORD1289"/>
    <x v="160"/>
    <s v="Delhi"/>
    <x v="0"/>
    <x v="3"/>
    <x v="15"/>
    <n v="4"/>
    <n v="2080.77"/>
    <n v="0.09"/>
    <n v="7574"/>
    <s v="UPI"/>
    <x v="1"/>
    <x v="1"/>
    <x v="0"/>
    <n v="8323.08"/>
    <x v="1"/>
    <x v="1"/>
    <x v="0"/>
  </r>
  <r>
    <s v="ORD1290"/>
    <x v="38"/>
    <s v="Gujarat"/>
    <x v="0"/>
    <x v="4"/>
    <x v="18"/>
    <n v="4"/>
    <n v="4962.21"/>
    <n v="0.19"/>
    <n v="16077.56"/>
    <s v="Net Banking"/>
    <x v="2"/>
    <x v="0"/>
    <x v="0"/>
    <n v="19848.84"/>
    <x v="6"/>
    <x v="2"/>
    <x v="0"/>
  </r>
  <r>
    <s v="ORD1291"/>
    <x v="119"/>
    <s v="Maharashtra"/>
    <x v="0"/>
    <x v="0"/>
    <x v="4"/>
    <n v="5"/>
    <n v="2759.66"/>
    <n v="0.16"/>
    <n v="11590.57"/>
    <s v="UPI"/>
    <x v="1"/>
    <x v="0"/>
    <x v="0"/>
    <n v="13798.3"/>
    <x v="1"/>
    <x v="1"/>
    <x v="0"/>
  </r>
  <r>
    <s v="ORD1292"/>
    <x v="155"/>
    <s v="Tamil Nadu"/>
    <x v="3"/>
    <x v="0"/>
    <x v="2"/>
    <n v="5"/>
    <n v="356.93"/>
    <n v="0.21"/>
    <n v="1409.87"/>
    <s v="Debit Card"/>
    <x v="2"/>
    <x v="1"/>
    <x v="0"/>
    <n v="1784.65"/>
    <x v="6"/>
    <x v="5"/>
    <x v="0"/>
  </r>
  <r>
    <s v="ORD1293"/>
    <x v="27"/>
    <s v="Maharashtra"/>
    <x v="1"/>
    <x v="0"/>
    <x v="4"/>
    <n v="2"/>
    <n v="3590.81"/>
    <n v="0.02"/>
    <n v="7037.99"/>
    <s v="Net Banking"/>
    <x v="0"/>
    <x v="2"/>
    <x v="0"/>
    <n v="7181.62"/>
    <x v="3"/>
    <x v="5"/>
    <x v="0"/>
  </r>
  <r>
    <s v="ORD1294"/>
    <x v="82"/>
    <s v="Maharashtra"/>
    <x v="2"/>
    <x v="1"/>
    <x v="13"/>
    <n v="1"/>
    <n v="4629.13"/>
    <n v="0"/>
    <n v="4629.13"/>
    <s v="Net Banking"/>
    <x v="0"/>
    <x v="2"/>
    <x v="2"/>
    <n v="4629.13"/>
    <x v="1"/>
    <x v="0"/>
    <x v="0"/>
  </r>
  <r>
    <s v="ORD1295"/>
    <x v="111"/>
    <s v="Karnataka"/>
    <x v="2"/>
    <x v="2"/>
    <x v="11"/>
    <n v="2"/>
    <n v="794.18"/>
    <n v="0.06"/>
    <n v="1493.06"/>
    <s v="Net Banking"/>
    <x v="0"/>
    <x v="0"/>
    <x v="1"/>
    <n v="1588.36"/>
    <x v="3"/>
    <x v="4"/>
    <x v="0"/>
  </r>
  <r>
    <s v="ORD1296"/>
    <x v="153"/>
    <s v="Delhi"/>
    <x v="3"/>
    <x v="2"/>
    <x v="6"/>
    <n v="1"/>
    <n v="2137.85"/>
    <n v="0.1"/>
    <n v="1924.07"/>
    <s v="UPI"/>
    <x v="2"/>
    <x v="1"/>
    <x v="3"/>
    <n v="2137.85"/>
    <x v="1"/>
    <x v="4"/>
    <x v="0"/>
  </r>
  <r>
    <s v="ORD1297"/>
    <x v="55"/>
    <s v="Gujarat"/>
    <x v="3"/>
    <x v="2"/>
    <x v="6"/>
    <n v="4"/>
    <n v="304.82"/>
    <n v="0.19"/>
    <n v="987.62"/>
    <s v="Credit Card"/>
    <x v="1"/>
    <x v="2"/>
    <x v="0"/>
    <n v="1219.28"/>
    <x v="1"/>
    <x v="2"/>
    <x v="1"/>
  </r>
  <r>
    <s v="ORD1298"/>
    <x v="15"/>
    <s v="Delhi"/>
    <x v="2"/>
    <x v="0"/>
    <x v="0"/>
    <n v="2"/>
    <n v="2731"/>
    <n v="0.04"/>
    <n v="5243.52"/>
    <s v="Net Banking"/>
    <x v="0"/>
    <x v="0"/>
    <x v="2"/>
    <n v="5462"/>
    <x v="5"/>
    <x v="1"/>
    <x v="0"/>
  </r>
  <r>
    <s v="ORD1299"/>
    <x v="66"/>
    <s v="Gujarat"/>
    <x v="3"/>
    <x v="2"/>
    <x v="6"/>
    <n v="5"/>
    <n v="1381.35"/>
    <n v="0.19"/>
    <n v="5594.47"/>
    <s v="UPI"/>
    <x v="2"/>
    <x v="1"/>
    <x v="2"/>
    <n v="6906.75"/>
    <x v="6"/>
    <x v="2"/>
    <x v="0"/>
  </r>
  <r>
    <s v="ORD1300"/>
    <x v="165"/>
    <s v="Delhi"/>
    <x v="0"/>
    <x v="1"/>
    <x v="14"/>
    <n v="1"/>
    <n v="2397.89"/>
    <n v="0.03"/>
    <n v="2325.9499999999998"/>
    <s v="Debit Card"/>
    <x v="1"/>
    <x v="2"/>
    <x v="3"/>
    <n v="2397.89"/>
    <x v="5"/>
    <x v="2"/>
    <x v="0"/>
  </r>
  <r>
    <s v="ORD1301"/>
    <x v="146"/>
    <s v="Maharashtra"/>
    <x v="0"/>
    <x v="3"/>
    <x v="8"/>
    <n v="5"/>
    <n v="1917.42"/>
    <n v="0.18"/>
    <n v="7861.42"/>
    <s v="Debit Card"/>
    <x v="2"/>
    <x v="1"/>
    <x v="0"/>
    <n v="9587.1"/>
    <x v="2"/>
    <x v="0"/>
    <x v="0"/>
  </r>
  <r>
    <s v="ORD1302"/>
    <x v="28"/>
    <s v="Delhi"/>
    <x v="3"/>
    <x v="1"/>
    <x v="10"/>
    <n v="5"/>
    <n v="169.63"/>
    <n v="0.04"/>
    <n v="814.22"/>
    <s v="UPI"/>
    <x v="0"/>
    <x v="1"/>
    <x v="0"/>
    <n v="848.15"/>
    <x v="0"/>
    <x v="2"/>
    <x v="1"/>
  </r>
  <r>
    <s v="ORD1303"/>
    <x v="26"/>
    <s v="Tamil Nadu"/>
    <x v="3"/>
    <x v="3"/>
    <x v="8"/>
    <n v="3"/>
    <n v="2577.41"/>
    <n v="0.06"/>
    <n v="7268.3"/>
    <s v="Net Banking"/>
    <x v="0"/>
    <x v="0"/>
    <x v="0"/>
    <n v="7732.23"/>
    <x v="3"/>
    <x v="0"/>
    <x v="0"/>
  </r>
  <r>
    <s v="ORD1304"/>
    <x v="68"/>
    <s v="Tamil Nadu"/>
    <x v="2"/>
    <x v="2"/>
    <x v="7"/>
    <n v="5"/>
    <n v="2689.93"/>
    <n v="0.14000000000000001"/>
    <n v="11566.7"/>
    <s v="Credit Card"/>
    <x v="0"/>
    <x v="2"/>
    <x v="0"/>
    <n v="13449.65"/>
    <x v="0"/>
    <x v="3"/>
    <x v="0"/>
  </r>
  <r>
    <s v="ORD1305"/>
    <x v="69"/>
    <s v="Gujarat"/>
    <x v="2"/>
    <x v="0"/>
    <x v="3"/>
    <n v="5"/>
    <n v="3630.36"/>
    <n v="0.18"/>
    <n v="14884.48"/>
    <s v="COD"/>
    <x v="0"/>
    <x v="1"/>
    <x v="0"/>
    <n v="18151.8"/>
    <x v="2"/>
    <x v="4"/>
    <x v="0"/>
  </r>
  <r>
    <s v="ORD1306"/>
    <x v="64"/>
    <s v="Maharashtra"/>
    <x v="0"/>
    <x v="0"/>
    <x v="4"/>
    <n v="5"/>
    <n v="386.25"/>
    <n v="0.1"/>
    <n v="1738.12"/>
    <s v="Net Banking"/>
    <x v="0"/>
    <x v="0"/>
    <x v="1"/>
    <n v="1931.25"/>
    <x v="5"/>
    <x v="1"/>
    <x v="0"/>
  </r>
  <r>
    <s v="ORD1307"/>
    <x v="82"/>
    <s v="Maharashtra"/>
    <x v="3"/>
    <x v="0"/>
    <x v="0"/>
    <n v="4"/>
    <n v="1484.1"/>
    <n v="0.15"/>
    <n v="5045.9399999999996"/>
    <s v="Net Banking"/>
    <x v="1"/>
    <x v="1"/>
    <x v="0"/>
    <n v="5936.4"/>
    <x v="1"/>
    <x v="0"/>
    <x v="0"/>
  </r>
  <r>
    <s v="ORD1308"/>
    <x v="19"/>
    <s v="Karnataka"/>
    <x v="3"/>
    <x v="1"/>
    <x v="1"/>
    <n v="2"/>
    <n v="2325.69"/>
    <n v="0.22"/>
    <n v="3628.08"/>
    <s v="Net Banking"/>
    <x v="2"/>
    <x v="2"/>
    <x v="0"/>
    <n v="4651.38"/>
    <x v="3"/>
    <x v="2"/>
    <x v="0"/>
  </r>
  <r>
    <s v="ORD1309"/>
    <x v="52"/>
    <s v="Karnataka"/>
    <x v="1"/>
    <x v="3"/>
    <x v="15"/>
    <n v="1"/>
    <n v="2215.5100000000002"/>
    <n v="7.0000000000000007E-2"/>
    <n v="2060.42"/>
    <s v="Debit Card"/>
    <x v="2"/>
    <x v="2"/>
    <x v="0"/>
    <n v="2215.5100000000002"/>
    <x v="2"/>
    <x v="6"/>
    <x v="0"/>
  </r>
  <r>
    <s v="ORD1310"/>
    <x v="46"/>
    <s v="Tamil Nadu"/>
    <x v="1"/>
    <x v="1"/>
    <x v="10"/>
    <n v="3"/>
    <n v="1119.69"/>
    <n v="0.1"/>
    <n v="3023.16"/>
    <s v="Debit Card"/>
    <x v="1"/>
    <x v="1"/>
    <x v="0"/>
    <n v="3359.07"/>
    <x v="6"/>
    <x v="2"/>
    <x v="0"/>
  </r>
  <r>
    <s v="ORD1311"/>
    <x v="154"/>
    <s v="Tamil Nadu"/>
    <x v="3"/>
    <x v="2"/>
    <x v="5"/>
    <n v="3"/>
    <n v="3360.33"/>
    <n v="0.03"/>
    <n v="9778.56"/>
    <s v="UPI"/>
    <x v="2"/>
    <x v="0"/>
    <x v="0"/>
    <n v="10080.99"/>
    <x v="0"/>
    <x v="3"/>
    <x v="0"/>
  </r>
  <r>
    <s v="ORD1312"/>
    <x v="110"/>
    <s v="Gujarat"/>
    <x v="2"/>
    <x v="3"/>
    <x v="12"/>
    <n v="5"/>
    <n v="4325.95"/>
    <n v="0.2"/>
    <n v="17303.8"/>
    <s v="UPI"/>
    <x v="2"/>
    <x v="1"/>
    <x v="0"/>
    <n v="21629.75"/>
    <x v="5"/>
    <x v="3"/>
    <x v="0"/>
  </r>
  <r>
    <s v="ORD1313"/>
    <x v="109"/>
    <s v="Maharashtra"/>
    <x v="1"/>
    <x v="3"/>
    <x v="15"/>
    <n v="4"/>
    <n v="1571.57"/>
    <n v="0.21"/>
    <n v="4966.16"/>
    <s v="COD"/>
    <x v="1"/>
    <x v="0"/>
    <x v="0"/>
    <n v="6286.28"/>
    <x v="6"/>
    <x v="0"/>
    <x v="0"/>
  </r>
  <r>
    <s v="ORD1314"/>
    <x v="13"/>
    <s v="Gujarat"/>
    <x v="0"/>
    <x v="3"/>
    <x v="9"/>
    <n v="4"/>
    <n v="4691.8999999999996"/>
    <n v="0.11"/>
    <n v="16703.16"/>
    <s v="Debit Card"/>
    <x v="1"/>
    <x v="1"/>
    <x v="0"/>
    <n v="18767.599999999999"/>
    <x v="6"/>
    <x v="4"/>
    <x v="0"/>
  </r>
  <r>
    <s v="ORD1315"/>
    <x v="65"/>
    <s v="Karnataka"/>
    <x v="1"/>
    <x v="2"/>
    <x v="11"/>
    <n v="4"/>
    <n v="2917.84"/>
    <n v="0.2"/>
    <n v="9337.09"/>
    <s v="COD"/>
    <x v="0"/>
    <x v="2"/>
    <x v="0"/>
    <n v="11671.36"/>
    <x v="6"/>
    <x v="0"/>
    <x v="0"/>
  </r>
  <r>
    <s v="ORD1316"/>
    <x v="33"/>
    <s v="Tamil Nadu"/>
    <x v="0"/>
    <x v="3"/>
    <x v="12"/>
    <n v="5"/>
    <n v="2699.88"/>
    <n v="0.16"/>
    <n v="11339.5"/>
    <s v="UPI"/>
    <x v="1"/>
    <x v="2"/>
    <x v="3"/>
    <n v="13499.400000000001"/>
    <x v="6"/>
    <x v="3"/>
    <x v="0"/>
  </r>
  <r>
    <s v="ORD1317"/>
    <x v="75"/>
    <s v="Maharashtra"/>
    <x v="3"/>
    <x v="0"/>
    <x v="0"/>
    <n v="1"/>
    <n v="1635.14"/>
    <n v="0.23"/>
    <n v="1259.06"/>
    <s v="Credit Card"/>
    <x v="2"/>
    <x v="2"/>
    <x v="2"/>
    <n v="1635.14"/>
    <x v="5"/>
    <x v="6"/>
    <x v="0"/>
  </r>
  <r>
    <s v="ORD1318"/>
    <x v="23"/>
    <s v="Karnataka"/>
    <x v="3"/>
    <x v="4"/>
    <x v="19"/>
    <n v="5"/>
    <n v="4532.12"/>
    <n v="0.11"/>
    <n v="20167.93"/>
    <s v="COD"/>
    <x v="2"/>
    <x v="1"/>
    <x v="0"/>
    <n v="22660.6"/>
    <x v="3"/>
    <x v="2"/>
    <x v="0"/>
  </r>
  <r>
    <s v="ORD1319"/>
    <x v="36"/>
    <s v="Delhi"/>
    <x v="1"/>
    <x v="0"/>
    <x v="4"/>
    <n v="1"/>
    <n v="2708.3"/>
    <n v="0.15"/>
    <n v="2302.06"/>
    <s v="Debit Card"/>
    <x v="2"/>
    <x v="2"/>
    <x v="0"/>
    <n v="2708.3"/>
    <x v="0"/>
    <x v="5"/>
    <x v="0"/>
  </r>
  <r>
    <s v="ORD1320"/>
    <x v="117"/>
    <s v="Maharashtra"/>
    <x v="1"/>
    <x v="4"/>
    <x v="16"/>
    <n v="1"/>
    <n v="3802.8"/>
    <n v="0.03"/>
    <n v="3688.72"/>
    <s v="Debit Card"/>
    <x v="2"/>
    <x v="1"/>
    <x v="0"/>
    <n v="3802.8"/>
    <x v="4"/>
    <x v="1"/>
    <x v="0"/>
  </r>
  <r>
    <s v="ORD1321"/>
    <x v="11"/>
    <s v="Gujarat"/>
    <x v="1"/>
    <x v="3"/>
    <x v="8"/>
    <n v="5"/>
    <n v="2902.36"/>
    <n v="0.11"/>
    <n v="12915.5"/>
    <s v="UPI"/>
    <x v="2"/>
    <x v="2"/>
    <x v="1"/>
    <n v="14511.800000000001"/>
    <x v="1"/>
    <x v="4"/>
    <x v="0"/>
  </r>
  <r>
    <s v="ORD1322"/>
    <x v="6"/>
    <s v="Karnataka"/>
    <x v="1"/>
    <x v="1"/>
    <x v="1"/>
    <n v="1"/>
    <n v="968.45"/>
    <n v="0.16"/>
    <n v="813.5"/>
    <s v="Credit Card"/>
    <x v="2"/>
    <x v="0"/>
    <x v="1"/>
    <n v="968.45"/>
    <x v="4"/>
    <x v="2"/>
    <x v="1"/>
  </r>
  <r>
    <s v="ORD1323"/>
    <x v="77"/>
    <s v="Karnataka"/>
    <x v="0"/>
    <x v="0"/>
    <x v="4"/>
    <n v="1"/>
    <n v="1838.09"/>
    <n v="0.25"/>
    <n v="1378.57"/>
    <s v="UPI"/>
    <x v="1"/>
    <x v="1"/>
    <x v="0"/>
    <n v="1838.09"/>
    <x v="5"/>
    <x v="0"/>
    <x v="0"/>
  </r>
  <r>
    <s v="ORD1324"/>
    <x v="176"/>
    <s v="Delhi"/>
    <x v="1"/>
    <x v="1"/>
    <x v="14"/>
    <n v="2"/>
    <n v="2615.77"/>
    <n v="0.25"/>
    <n v="3923.65"/>
    <s v="UPI"/>
    <x v="2"/>
    <x v="2"/>
    <x v="0"/>
    <n v="5231.54"/>
    <x v="1"/>
    <x v="1"/>
    <x v="0"/>
  </r>
  <r>
    <s v="ORD1325"/>
    <x v="174"/>
    <s v="Delhi"/>
    <x v="1"/>
    <x v="3"/>
    <x v="8"/>
    <n v="4"/>
    <n v="4981.1499999999996"/>
    <n v="0.08"/>
    <n v="18330.63"/>
    <s v="UPI"/>
    <x v="2"/>
    <x v="1"/>
    <x v="0"/>
    <n v="19924.599999999999"/>
    <x v="4"/>
    <x v="3"/>
    <x v="0"/>
  </r>
  <r>
    <s v="ORD1326"/>
    <x v="46"/>
    <s v="Delhi"/>
    <x v="1"/>
    <x v="4"/>
    <x v="19"/>
    <n v="5"/>
    <n v="194.14"/>
    <n v="0.1"/>
    <n v="873.63"/>
    <s v="COD"/>
    <x v="0"/>
    <x v="1"/>
    <x v="0"/>
    <n v="970.69999999999993"/>
    <x v="6"/>
    <x v="2"/>
    <x v="1"/>
  </r>
  <r>
    <s v="ORD1327"/>
    <x v="182"/>
    <s v="Karnataka"/>
    <x v="2"/>
    <x v="4"/>
    <x v="18"/>
    <n v="4"/>
    <n v="2095.2600000000002"/>
    <n v="0.09"/>
    <n v="7626.75"/>
    <s v="UPI"/>
    <x v="1"/>
    <x v="1"/>
    <x v="0"/>
    <n v="8381.0400000000009"/>
    <x v="5"/>
    <x v="3"/>
    <x v="0"/>
  </r>
  <r>
    <s v="ORD1328"/>
    <x v="7"/>
    <s v="Karnataka"/>
    <x v="0"/>
    <x v="2"/>
    <x v="6"/>
    <n v="1"/>
    <n v="4046.83"/>
    <n v="0.23"/>
    <n v="3116.06"/>
    <s v="Credit Card"/>
    <x v="2"/>
    <x v="0"/>
    <x v="0"/>
    <n v="4046.83"/>
    <x v="5"/>
    <x v="1"/>
    <x v="0"/>
  </r>
  <r>
    <s v="ORD1329"/>
    <x v="64"/>
    <s v="Delhi"/>
    <x v="0"/>
    <x v="3"/>
    <x v="8"/>
    <n v="3"/>
    <n v="418.3"/>
    <n v="0.14000000000000001"/>
    <n v="1079.21"/>
    <s v="Credit Card"/>
    <x v="0"/>
    <x v="2"/>
    <x v="1"/>
    <n v="1254.9000000000001"/>
    <x v="5"/>
    <x v="1"/>
    <x v="0"/>
  </r>
  <r>
    <s v="ORD1330"/>
    <x v="134"/>
    <s v="Karnataka"/>
    <x v="2"/>
    <x v="0"/>
    <x v="0"/>
    <n v="2"/>
    <n v="2955.5"/>
    <n v="0.24"/>
    <n v="4492.3599999999997"/>
    <s v="COD"/>
    <x v="0"/>
    <x v="1"/>
    <x v="3"/>
    <n v="5911"/>
    <x v="2"/>
    <x v="1"/>
    <x v="0"/>
  </r>
  <r>
    <s v="ORD1331"/>
    <x v="139"/>
    <s v="Maharashtra"/>
    <x v="0"/>
    <x v="0"/>
    <x v="0"/>
    <n v="1"/>
    <n v="1009.32"/>
    <n v="0.18"/>
    <n v="827.64"/>
    <s v="Debit Card"/>
    <x v="0"/>
    <x v="2"/>
    <x v="0"/>
    <n v="1009.32"/>
    <x v="2"/>
    <x v="2"/>
    <x v="1"/>
  </r>
  <r>
    <s v="ORD1332"/>
    <x v="110"/>
    <s v="Maharashtra"/>
    <x v="1"/>
    <x v="3"/>
    <x v="12"/>
    <n v="3"/>
    <n v="3164.71"/>
    <n v="0.05"/>
    <n v="9019.42"/>
    <s v="Credit Card"/>
    <x v="2"/>
    <x v="2"/>
    <x v="0"/>
    <n v="9494.130000000001"/>
    <x v="5"/>
    <x v="3"/>
    <x v="0"/>
  </r>
  <r>
    <s v="ORD1333"/>
    <x v="132"/>
    <s v="Karnataka"/>
    <x v="3"/>
    <x v="3"/>
    <x v="15"/>
    <n v="4"/>
    <n v="1006.15"/>
    <n v="0"/>
    <n v="4024.6"/>
    <s v="COD"/>
    <x v="0"/>
    <x v="2"/>
    <x v="0"/>
    <n v="4024.6"/>
    <x v="3"/>
    <x v="5"/>
    <x v="0"/>
  </r>
  <r>
    <s v="ORD1334"/>
    <x v="111"/>
    <s v="Maharashtra"/>
    <x v="3"/>
    <x v="1"/>
    <x v="10"/>
    <n v="2"/>
    <n v="4258.22"/>
    <n v="0.19"/>
    <n v="6898.32"/>
    <s v="Credit Card"/>
    <x v="0"/>
    <x v="2"/>
    <x v="0"/>
    <n v="8516.44"/>
    <x v="3"/>
    <x v="4"/>
    <x v="0"/>
  </r>
  <r>
    <s v="ORD1335"/>
    <x v="99"/>
    <s v="Gujarat"/>
    <x v="3"/>
    <x v="1"/>
    <x v="1"/>
    <n v="3"/>
    <n v="1169.47"/>
    <n v="0.06"/>
    <n v="3297.91"/>
    <s v="Net Banking"/>
    <x v="1"/>
    <x v="1"/>
    <x v="0"/>
    <n v="3508.41"/>
    <x v="0"/>
    <x v="0"/>
    <x v="0"/>
  </r>
  <r>
    <s v="ORD1336"/>
    <x v="182"/>
    <s v="Delhi"/>
    <x v="1"/>
    <x v="4"/>
    <x v="17"/>
    <n v="1"/>
    <n v="2520.2199999999998"/>
    <n v="0.23"/>
    <n v="1940.57"/>
    <s v="Credit Card"/>
    <x v="0"/>
    <x v="2"/>
    <x v="0"/>
    <n v="2520.2199999999998"/>
    <x v="5"/>
    <x v="3"/>
    <x v="0"/>
  </r>
  <r>
    <s v="ORD1337"/>
    <x v="92"/>
    <s v="Maharashtra"/>
    <x v="2"/>
    <x v="2"/>
    <x v="7"/>
    <n v="3"/>
    <n v="3520.57"/>
    <n v="0.15"/>
    <n v="8977.4500000000007"/>
    <s v="UPI"/>
    <x v="1"/>
    <x v="2"/>
    <x v="0"/>
    <n v="10561.710000000001"/>
    <x v="0"/>
    <x v="4"/>
    <x v="0"/>
  </r>
  <r>
    <s v="ORD1338"/>
    <x v="128"/>
    <s v="Karnataka"/>
    <x v="3"/>
    <x v="4"/>
    <x v="18"/>
    <n v="4"/>
    <n v="1571.21"/>
    <n v="0.12"/>
    <n v="5530.66"/>
    <s v="Net Banking"/>
    <x v="2"/>
    <x v="0"/>
    <x v="0"/>
    <n v="6284.84"/>
    <x v="3"/>
    <x v="3"/>
    <x v="0"/>
  </r>
  <r>
    <s v="ORD1339"/>
    <x v="55"/>
    <s v="Karnataka"/>
    <x v="1"/>
    <x v="3"/>
    <x v="8"/>
    <n v="4"/>
    <n v="1689.4"/>
    <n v="0.2"/>
    <n v="5406.08"/>
    <s v="Net Banking"/>
    <x v="2"/>
    <x v="1"/>
    <x v="1"/>
    <n v="6757.6"/>
    <x v="1"/>
    <x v="2"/>
    <x v="0"/>
  </r>
  <r>
    <s v="ORD1340"/>
    <x v="143"/>
    <s v="Delhi"/>
    <x v="2"/>
    <x v="2"/>
    <x v="5"/>
    <n v="4"/>
    <n v="2156.0300000000002"/>
    <n v="0.01"/>
    <n v="8537.8799999999992"/>
    <s v="Debit Card"/>
    <x v="1"/>
    <x v="2"/>
    <x v="0"/>
    <n v="8624.1200000000008"/>
    <x v="4"/>
    <x v="5"/>
    <x v="0"/>
  </r>
  <r>
    <s v="ORD1341"/>
    <x v="51"/>
    <s v="Karnataka"/>
    <x v="0"/>
    <x v="3"/>
    <x v="15"/>
    <n v="2"/>
    <n v="840.09"/>
    <n v="0.24"/>
    <n v="1276.94"/>
    <s v="Credit Card"/>
    <x v="2"/>
    <x v="2"/>
    <x v="0"/>
    <n v="1680.18"/>
    <x v="3"/>
    <x v="1"/>
    <x v="0"/>
  </r>
  <r>
    <s v="ORD1342"/>
    <x v="153"/>
    <s v="Karnataka"/>
    <x v="2"/>
    <x v="2"/>
    <x v="11"/>
    <n v="1"/>
    <n v="2536.88"/>
    <n v="0.04"/>
    <n v="2435.4"/>
    <s v="UPI"/>
    <x v="0"/>
    <x v="0"/>
    <x v="0"/>
    <n v="2536.88"/>
    <x v="1"/>
    <x v="4"/>
    <x v="0"/>
  </r>
  <r>
    <s v="ORD1343"/>
    <x v="82"/>
    <s v="Tamil Nadu"/>
    <x v="0"/>
    <x v="2"/>
    <x v="5"/>
    <n v="4"/>
    <n v="4848.59"/>
    <n v="0.01"/>
    <n v="19200.419999999998"/>
    <s v="Net Banking"/>
    <x v="0"/>
    <x v="2"/>
    <x v="2"/>
    <n v="19394.36"/>
    <x v="1"/>
    <x v="0"/>
    <x v="0"/>
  </r>
  <r>
    <s v="ORD1344"/>
    <x v="132"/>
    <s v="Delhi"/>
    <x v="2"/>
    <x v="2"/>
    <x v="6"/>
    <n v="4"/>
    <n v="4037.75"/>
    <n v="0.1"/>
    <n v="14535.9"/>
    <s v="Debit Card"/>
    <x v="1"/>
    <x v="2"/>
    <x v="0"/>
    <n v="16151"/>
    <x v="3"/>
    <x v="5"/>
    <x v="0"/>
  </r>
  <r>
    <s v="ORD1345"/>
    <x v="35"/>
    <s v="Gujarat"/>
    <x v="2"/>
    <x v="4"/>
    <x v="17"/>
    <n v="1"/>
    <n v="3035.67"/>
    <n v="0.13"/>
    <n v="2641.03"/>
    <s v="Net Banking"/>
    <x v="1"/>
    <x v="1"/>
    <x v="3"/>
    <n v="3035.67"/>
    <x v="6"/>
    <x v="0"/>
    <x v="0"/>
  </r>
  <r>
    <s v="ORD1346"/>
    <x v="157"/>
    <s v="Gujarat"/>
    <x v="2"/>
    <x v="3"/>
    <x v="9"/>
    <n v="1"/>
    <n v="2290.6799999999998"/>
    <n v="0.1"/>
    <n v="2061.61"/>
    <s v="Net Banking"/>
    <x v="0"/>
    <x v="2"/>
    <x v="0"/>
    <n v="2290.6799999999998"/>
    <x v="4"/>
    <x v="5"/>
    <x v="0"/>
  </r>
  <r>
    <s v="ORD1347"/>
    <x v="81"/>
    <s v="Karnataka"/>
    <x v="2"/>
    <x v="4"/>
    <x v="18"/>
    <n v="5"/>
    <n v="3989.71"/>
    <n v="0.17"/>
    <n v="16557.3"/>
    <s v="COD"/>
    <x v="2"/>
    <x v="2"/>
    <x v="3"/>
    <n v="19948.55"/>
    <x v="3"/>
    <x v="2"/>
    <x v="0"/>
  </r>
  <r>
    <s v="ORD1348"/>
    <x v="121"/>
    <s v="Gujarat"/>
    <x v="2"/>
    <x v="1"/>
    <x v="10"/>
    <n v="2"/>
    <n v="2494.08"/>
    <n v="0.12"/>
    <n v="4389.58"/>
    <s v="COD"/>
    <x v="0"/>
    <x v="2"/>
    <x v="0"/>
    <n v="4988.16"/>
    <x v="5"/>
    <x v="4"/>
    <x v="0"/>
  </r>
  <r>
    <s v="ORD1349"/>
    <x v="50"/>
    <s v="Delhi"/>
    <x v="2"/>
    <x v="0"/>
    <x v="3"/>
    <n v="1"/>
    <n v="2693.25"/>
    <n v="0.12"/>
    <n v="2370.06"/>
    <s v="COD"/>
    <x v="2"/>
    <x v="0"/>
    <x v="0"/>
    <n v="2693.25"/>
    <x v="5"/>
    <x v="4"/>
    <x v="0"/>
  </r>
  <r>
    <s v="ORD1350"/>
    <x v="104"/>
    <s v="Karnataka"/>
    <x v="2"/>
    <x v="2"/>
    <x v="11"/>
    <n v="1"/>
    <n v="2421.36"/>
    <n v="0.06"/>
    <n v="2276.08"/>
    <s v="Debit Card"/>
    <x v="2"/>
    <x v="2"/>
    <x v="0"/>
    <n v="2421.36"/>
    <x v="2"/>
    <x v="4"/>
    <x v="0"/>
  </r>
  <r>
    <s v="ORD1351"/>
    <x v="143"/>
    <s v="Gujarat"/>
    <x v="3"/>
    <x v="1"/>
    <x v="14"/>
    <n v="3"/>
    <n v="2475.02"/>
    <n v="0.08"/>
    <n v="6831.06"/>
    <s v="Debit Card"/>
    <x v="2"/>
    <x v="0"/>
    <x v="3"/>
    <n v="7425.0599999999995"/>
    <x v="4"/>
    <x v="5"/>
    <x v="0"/>
  </r>
  <r>
    <s v="ORD1352"/>
    <x v="53"/>
    <s v="Karnataka"/>
    <x v="1"/>
    <x v="3"/>
    <x v="8"/>
    <n v="2"/>
    <n v="2665.16"/>
    <n v="0.13"/>
    <n v="4637.38"/>
    <s v="Credit Card"/>
    <x v="1"/>
    <x v="2"/>
    <x v="0"/>
    <n v="5330.32"/>
    <x v="4"/>
    <x v="1"/>
    <x v="0"/>
  </r>
  <r>
    <s v="ORD1353"/>
    <x v="21"/>
    <s v="Karnataka"/>
    <x v="0"/>
    <x v="0"/>
    <x v="2"/>
    <n v="3"/>
    <n v="223.89"/>
    <n v="0.16"/>
    <n v="564.20000000000005"/>
    <s v="Debit Card"/>
    <x v="0"/>
    <x v="1"/>
    <x v="0"/>
    <n v="671.67"/>
    <x v="2"/>
    <x v="4"/>
    <x v="1"/>
  </r>
  <r>
    <s v="ORD1354"/>
    <x v="169"/>
    <s v="Tamil Nadu"/>
    <x v="1"/>
    <x v="3"/>
    <x v="15"/>
    <n v="5"/>
    <n v="2276.2800000000002"/>
    <n v="0.08"/>
    <n v="10470.89"/>
    <s v="COD"/>
    <x v="0"/>
    <x v="1"/>
    <x v="0"/>
    <n v="11381.400000000001"/>
    <x v="1"/>
    <x v="1"/>
    <x v="0"/>
  </r>
  <r>
    <s v="ORD1355"/>
    <x v="168"/>
    <s v="Karnataka"/>
    <x v="2"/>
    <x v="1"/>
    <x v="14"/>
    <n v="2"/>
    <n v="1681.74"/>
    <n v="0"/>
    <n v="3363.48"/>
    <s v="Debit Card"/>
    <x v="1"/>
    <x v="2"/>
    <x v="0"/>
    <n v="3363.48"/>
    <x v="2"/>
    <x v="3"/>
    <x v="0"/>
  </r>
  <r>
    <s v="ORD1356"/>
    <x v="101"/>
    <s v="Karnataka"/>
    <x v="3"/>
    <x v="4"/>
    <x v="16"/>
    <n v="1"/>
    <n v="3181.56"/>
    <n v="0.16"/>
    <n v="2672.51"/>
    <s v="Net Banking"/>
    <x v="1"/>
    <x v="1"/>
    <x v="0"/>
    <n v="3181.56"/>
    <x v="5"/>
    <x v="5"/>
    <x v="0"/>
  </r>
  <r>
    <s v="ORD1357"/>
    <x v="135"/>
    <s v="Karnataka"/>
    <x v="3"/>
    <x v="0"/>
    <x v="2"/>
    <n v="1"/>
    <n v="4427.97"/>
    <n v="0.01"/>
    <n v="4383.6899999999996"/>
    <s v="COD"/>
    <x v="1"/>
    <x v="0"/>
    <x v="0"/>
    <n v="4427.97"/>
    <x v="6"/>
    <x v="0"/>
    <x v="0"/>
  </r>
  <r>
    <s v="ORD1358"/>
    <x v="83"/>
    <s v="Delhi"/>
    <x v="2"/>
    <x v="0"/>
    <x v="4"/>
    <n v="2"/>
    <n v="4706.6000000000004"/>
    <n v="0.06"/>
    <n v="8848.41"/>
    <s v="Credit Card"/>
    <x v="1"/>
    <x v="1"/>
    <x v="0"/>
    <n v="9413.2000000000007"/>
    <x v="5"/>
    <x v="5"/>
    <x v="0"/>
  </r>
  <r>
    <s v="ORD1359"/>
    <x v="45"/>
    <s v="Maharashtra"/>
    <x v="3"/>
    <x v="2"/>
    <x v="6"/>
    <n v="5"/>
    <n v="404.54"/>
    <n v="0.1"/>
    <n v="1820.43"/>
    <s v="Net Banking"/>
    <x v="2"/>
    <x v="1"/>
    <x v="0"/>
    <n v="2022.7"/>
    <x v="0"/>
    <x v="4"/>
    <x v="0"/>
  </r>
  <r>
    <s v="ORD1360"/>
    <x v="115"/>
    <s v="Tamil Nadu"/>
    <x v="0"/>
    <x v="0"/>
    <x v="4"/>
    <n v="3"/>
    <n v="1214.24"/>
    <n v="0.01"/>
    <n v="3606.29"/>
    <s v="Debit Card"/>
    <x v="0"/>
    <x v="0"/>
    <x v="0"/>
    <n v="3642.7200000000003"/>
    <x v="5"/>
    <x v="2"/>
    <x v="0"/>
  </r>
  <r>
    <s v="ORD1361"/>
    <x v="16"/>
    <s v="Maharashtra"/>
    <x v="2"/>
    <x v="3"/>
    <x v="15"/>
    <n v="2"/>
    <n v="4754.83"/>
    <n v="0.24"/>
    <n v="7227.34"/>
    <s v="Credit Card"/>
    <x v="0"/>
    <x v="2"/>
    <x v="0"/>
    <n v="9509.66"/>
    <x v="0"/>
    <x v="1"/>
    <x v="0"/>
  </r>
  <r>
    <s v="ORD1362"/>
    <x v="105"/>
    <s v="Gujarat"/>
    <x v="0"/>
    <x v="2"/>
    <x v="7"/>
    <n v="1"/>
    <n v="3381.25"/>
    <n v="0.17"/>
    <n v="2806.44"/>
    <s v="UPI"/>
    <x v="2"/>
    <x v="0"/>
    <x v="0"/>
    <n v="3381.25"/>
    <x v="3"/>
    <x v="1"/>
    <x v="0"/>
  </r>
  <r>
    <s v="ORD1363"/>
    <x v="66"/>
    <s v="Delhi"/>
    <x v="2"/>
    <x v="1"/>
    <x v="13"/>
    <n v="4"/>
    <n v="135.05000000000001"/>
    <n v="0.18"/>
    <n v="442.96"/>
    <s v="Debit Card"/>
    <x v="1"/>
    <x v="0"/>
    <x v="0"/>
    <n v="540.20000000000005"/>
    <x v="6"/>
    <x v="2"/>
    <x v="1"/>
  </r>
  <r>
    <s v="ORD1364"/>
    <x v="74"/>
    <s v="Delhi"/>
    <x v="2"/>
    <x v="3"/>
    <x v="15"/>
    <n v="1"/>
    <n v="4584.4799999999996"/>
    <n v="0.19"/>
    <n v="3713.43"/>
    <s v="Debit Card"/>
    <x v="1"/>
    <x v="1"/>
    <x v="0"/>
    <n v="4584.4799999999996"/>
    <x v="2"/>
    <x v="0"/>
    <x v="0"/>
  </r>
  <r>
    <s v="ORD1365"/>
    <x v="162"/>
    <s v="Delhi"/>
    <x v="1"/>
    <x v="1"/>
    <x v="14"/>
    <n v="3"/>
    <n v="1738.98"/>
    <n v="0.08"/>
    <n v="4799.58"/>
    <s v="Debit Card"/>
    <x v="1"/>
    <x v="1"/>
    <x v="0"/>
    <n v="5216.9400000000005"/>
    <x v="4"/>
    <x v="3"/>
    <x v="0"/>
  </r>
  <r>
    <s v="ORD1366"/>
    <x v="60"/>
    <s v="Maharashtra"/>
    <x v="0"/>
    <x v="4"/>
    <x v="18"/>
    <n v="5"/>
    <n v="3873.08"/>
    <n v="0.05"/>
    <n v="18397.13"/>
    <s v="Net Banking"/>
    <x v="1"/>
    <x v="2"/>
    <x v="0"/>
    <n v="19365.400000000001"/>
    <x v="5"/>
    <x v="3"/>
    <x v="0"/>
  </r>
  <r>
    <s v="ORD1367"/>
    <x v="152"/>
    <s v="Delhi"/>
    <x v="2"/>
    <x v="0"/>
    <x v="4"/>
    <n v="3"/>
    <n v="4181.3599999999997"/>
    <n v="0.17"/>
    <n v="10411.59"/>
    <s v="COD"/>
    <x v="1"/>
    <x v="0"/>
    <x v="0"/>
    <n v="12544.079999999998"/>
    <x v="5"/>
    <x v="4"/>
    <x v="0"/>
  </r>
  <r>
    <s v="ORD1368"/>
    <x v="13"/>
    <s v="Gujarat"/>
    <x v="2"/>
    <x v="0"/>
    <x v="4"/>
    <n v="5"/>
    <n v="216.68"/>
    <n v="0"/>
    <n v="1083.4000000000001"/>
    <s v="UPI"/>
    <x v="0"/>
    <x v="2"/>
    <x v="0"/>
    <n v="1083.4000000000001"/>
    <x v="6"/>
    <x v="4"/>
    <x v="0"/>
  </r>
  <r>
    <s v="ORD1369"/>
    <x v="2"/>
    <s v="Tamil Nadu"/>
    <x v="2"/>
    <x v="2"/>
    <x v="6"/>
    <n v="2"/>
    <n v="4612.01"/>
    <n v="0.12"/>
    <n v="8117.14"/>
    <s v="Net Banking"/>
    <x v="1"/>
    <x v="0"/>
    <x v="3"/>
    <n v="9224.02"/>
    <x v="2"/>
    <x v="1"/>
    <x v="0"/>
  </r>
  <r>
    <s v="ORD1370"/>
    <x v="40"/>
    <s v="Gujarat"/>
    <x v="0"/>
    <x v="3"/>
    <x v="8"/>
    <n v="1"/>
    <n v="3134.46"/>
    <n v="0.21"/>
    <n v="2476.2199999999998"/>
    <s v="Credit Card"/>
    <x v="0"/>
    <x v="1"/>
    <x v="0"/>
    <n v="3134.46"/>
    <x v="4"/>
    <x v="0"/>
    <x v="0"/>
  </r>
  <r>
    <s v="ORD1371"/>
    <x v="74"/>
    <s v="Maharashtra"/>
    <x v="2"/>
    <x v="2"/>
    <x v="11"/>
    <n v="2"/>
    <n v="3264.28"/>
    <n v="0.24"/>
    <n v="4961.71"/>
    <s v="Credit Card"/>
    <x v="2"/>
    <x v="0"/>
    <x v="0"/>
    <n v="6528.56"/>
    <x v="2"/>
    <x v="0"/>
    <x v="0"/>
  </r>
  <r>
    <s v="ORD1372"/>
    <x v="87"/>
    <s v="Karnataka"/>
    <x v="0"/>
    <x v="2"/>
    <x v="7"/>
    <n v="3"/>
    <n v="795.01"/>
    <n v="0.11"/>
    <n v="2122.6799999999998"/>
    <s v="Credit Card"/>
    <x v="0"/>
    <x v="2"/>
    <x v="1"/>
    <n v="2385.0299999999997"/>
    <x v="0"/>
    <x v="3"/>
    <x v="0"/>
  </r>
  <r>
    <s v="ORD1373"/>
    <x v="81"/>
    <s v="Delhi"/>
    <x v="2"/>
    <x v="0"/>
    <x v="3"/>
    <n v="1"/>
    <n v="3651.56"/>
    <n v="0.11"/>
    <n v="3249.89"/>
    <s v="Credit Card"/>
    <x v="0"/>
    <x v="0"/>
    <x v="0"/>
    <n v="3651.56"/>
    <x v="3"/>
    <x v="2"/>
    <x v="0"/>
  </r>
  <r>
    <s v="ORD1374"/>
    <x v="152"/>
    <s v="Maharashtra"/>
    <x v="1"/>
    <x v="1"/>
    <x v="14"/>
    <n v="1"/>
    <n v="2047.94"/>
    <n v="0.09"/>
    <n v="1863.63"/>
    <s v="Debit Card"/>
    <x v="0"/>
    <x v="2"/>
    <x v="0"/>
    <n v="2047.94"/>
    <x v="5"/>
    <x v="4"/>
    <x v="0"/>
  </r>
  <r>
    <s v="ORD1375"/>
    <x v="169"/>
    <s v="Delhi"/>
    <x v="2"/>
    <x v="2"/>
    <x v="5"/>
    <n v="1"/>
    <n v="3317.39"/>
    <n v="0.24"/>
    <n v="2521.2199999999998"/>
    <s v="Credit Card"/>
    <x v="1"/>
    <x v="1"/>
    <x v="0"/>
    <n v="3317.39"/>
    <x v="1"/>
    <x v="1"/>
    <x v="0"/>
  </r>
  <r>
    <s v="ORD1376"/>
    <x v="40"/>
    <s v="Maharashtra"/>
    <x v="0"/>
    <x v="3"/>
    <x v="9"/>
    <n v="2"/>
    <n v="3479.41"/>
    <n v="0.2"/>
    <n v="5567.06"/>
    <s v="UPI"/>
    <x v="0"/>
    <x v="0"/>
    <x v="1"/>
    <n v="6958.82"/>
    <x v="4"/>
    <x v="0"/>
    <x v="0"/>
  </r>
  <r>
    <s v="ORD1377"/>
    <x v="106"/>
    <s v="Delhi"/>
    <x v="3"/>
    <x v="2"/>
    <x v="5"/>
    <n v="3"/>
    <n v="533.24"/>
    <n v="0.09"/>
    <n v="1455.75"/>
    <s v="Credit Card"/>
    <x v="2"/>
    <x v="1"/>
    <x v="0"/>
    <n v="1599.72"/>
    <x v="5"/>
    <x v="0"/>
    <x v="0"/>
  </r>
  <r>
    <s v="ORD1378"/>
    <x v="122"/>
    <s v="Karnataka"/>
    <x v="2"/>
    <x v="4"/>
    <x v="16"/>
    <n v="2"/>
    <n v="2943.04"/>
    <n v="0.09"/>
    <n v="5356.33"/>
    <s v="UPI"/>
    <x v="2"/>
    <x v="1"/>
    <x v="0"/>
    <n v="5886.08"/>
    <x v="5"/>
    <x v="2"/>
    <x v="0"/>
  </r>
  <r>
    <s v="ORD1379"/>
    <x v="153"/>
    <s v="Karnataka"/>
    <x v="1"/>
    <x v="2"/>
    <x v="5"/>
    <n v="5"/>
    <n v="1340.68"/>
    <n v="0.03"/>
    <n v="6502.3"/>
    <s v="Net Banking"/>
    <x v="0"/>
    <x v="1"/>
    <x v="0"/>
    <n v="6703.4000000000005"/>
    <x v="1"/>
    <x v="4"/>
    <x v="0"/>
  </r>
  <r>
    <s v="ORD1380"/>
    <x v="144"/>
    <s v="Maharashtra"/>
    <x v="3"/>
    <x v="1"/>
    <x v="10"/>
    <n v="2"/>
    <n v="3034.08"/>
    <n v="0.14000000000000001"/>
    <n v="5218.62"/>
    <s v="UPI"/>
    <x v="1"/>
    <x v="0"/>
    <x v="1"/>
    <n v="6068.16"/>
    <x v="6"/>
    <x v="4"/>
    <x v="0"/>
  </r>
  <r>
    <s v="ORD1381"/>
    <x v="25"/>
    <s v="Delhi"/>
    <x v="0"/>
    <x v="1"/>
    <x v="10"/>
    <n v="4"/>
    <n v="4415.54"/>
    <n v="0.25"/>
    <n v="13246.62"/>
    <s v="Net Banking"/>
    <x v="0"/>
    <x v="0"/>
    <x v="0"/>
    <n v="17662.16"/>
    <x v="1"/>
    <x v="0"/>
    <x v="0"/>
  </r>
  <r>
    <s v="ORD1382"/>
    <x v="143"/>
    <s v="Karnataka"/>
    <x v="1"/>
    <x v="1"/>
    <x v="13"/>
    <n v="2"/>
    <n v="3724.59"/>
    <n v="0.17"/>
    <n v="6182.82"/>
    <s v="COD"/>
    <x v="1"/>
    <x v="1"/>
    <x v="0"/>
    <n v="7449.18"/>
    <x v="4"/>
    <x v="5"/>
    <x v="0"/>
  </r>
  <r>
    <s v="ORD1383"/>
    <x v="91"/>
    <s v="Gujarat"/>
    <x v="3"/>
    <x v="4"/>
    <x v="18"/>
    <n v="5"/>
    <n v="1820.56"/>
    <n v="0.1"/>
    <n v="8192.52"/>
    <s v="Net Banking"/>
    <x v="0"/>
    <x v="2"/>
    <x v="0"/>
    <n v="9102.7999999999993"/>
    <x v="6"/>
    <x v="3"/>
    <x v="0"/>
  </r>
  <r>
    <s v="ORD1384"/>
    <x v="28"/>
    <s v="Delhi"/>
    <x v="2"/>
    <x v="2"/>
    <x v="11"/>
    <n v="1"/>
    <n v="2526.4899999999998"/>
    <n v="0.23"/>
    <n v="1945.4"/>
    <s v="Credit Card"/>
    <x v="1"/>
    <x v="0"/>
    <x v="0"/>
    <n v="2526.4899999999998"/>
    <x v="0"/>
    <x v="2"/>
    <x v="0"/>
  </r>
  <r>
    <s v="ORD1385"/>
    <x v="159"/>
    <s v="Delhi"/>
    <x v="0"/>
    <x v="2"/>
    <x v="6"/>
    <n v="1"/>
    <n v="4762.6000000000004"/>
    <n v="0.05"/>
    <n v="4524.47"/>
    <s v="COD"/>
    <x v="1"/>
    <x v="2"/>
    <x v="0"/>
    <n v="4762.6000000000004"/>
    <x v="1"/>
    <x v="2"/>
    <x v="0"/>
  </r>
  <r>
    <s v="ORD1386"/>
    <x v="100"/>
    <s v="Maharashtra"/>
    <x v="1"/>
    <x v="3"/>
    <x v="12"/>
    <n v="4"/>
    <n v="4759.96"/>
    <n v="0.11"/>
    <n v="16945.46"/>
    <s v="Credit Card"/>
    <x v="2"/>
    <x v="1"/>
    <x v="0"/>
    <n v="19039.84"/>
    <x v="4"/>
    <x v="4"/>
    <x v="0"/>
  </r>
  <r>
    <s v="ORD1387"/>
    <x v="118"/>
    <s v="Karnataka"/>
    <x v="0"/>
    <x v="1"/>
    <x v="1"/>
    <n v="2"/>
    <n v="1588.55"/>
    <n v="0.15"/>
    <n v="2700.53"/>
    <s v="Net Banking"/>
    <x v="2"/>
    <x v="1"/>
    <x v="0"/>
    <n v="3177.1"/>
    <x v="1"/>
    <x v="5"/>
    <x v="0"/>
  </r>
  <r>
    <s v="ORD1388"/>
    <x v="70"/>
    <s v="Karnataka"/>
    <x v="0"/>
    <x v="0"/>
    <x v="3"/>
    <n v="3"/>
    <n v="3533.09"/>
    <n v="0.22"/>
    <n v="8267.43"/>
    <s v="UPI"/>
    <x v="0"/>
    <x v="1"/>
    <x v="0"/>
    <n v="10599.27"/>
    <x v="2"/>
    <x v="0"/>
    <x v="0"/>
  </r>
  <r>
    <s v="ORD1389"/>
    <x v="136"/>
    <s v="Tamil Nadu"/>
    <x v="1"/>
    <x v="1"/>
    <x v="1"/>
    <n v="1"/>
    <n v="4817.5600000000004"/>
    <n v="0.19"/>
    <n v="3902.22"/>
    <s v="Credit Card"/>
    <x v="2"/>
    <x v="2"/>
    <x v="0"/>
    <n v="4817.5600000000004"/>
    <x v="2"/>
    <x v="3"/>
    <x v="0"/>
  </r>
  <r>
    <s v="ORD1390"/>
    <x v="104"/>
    <s v="Delhi"/>
    <x v="0"/>
    <x v="0"/>
    <x v="0"/>
    <n v="4"/>
    <n v="3770.36"/>
    <n v="0.06"/>
    <n v="14176.55"/>
    <s v="Credit Card"/>
    <x v="2"/>
    <x v="1"/>
    <x v="0"/>
    <n v="15081.44"/>
    <x v="2"/>
    <x v="4"/>
    <x v="0"/>
  </r>
  <r>
    <s v="ORD1391"/>
    <x v="105"/>
    <s v="Delhi"/>
    <x v="0"/>
    <x v="1"/>
    <x v="14"/>
    <n v="1"/>
    <n v="150.44"/>
    <n v="0.03"/>
    <n v="145.93"/>
    <s v="COD"/>
    <x v="2"/>
    <x v="0"/>
    <x v="1"/>
    <n v="150.44"/>
    <x v="3"/>
    <x v="1"/>
    <x v="1"/>
  </r>
  <r>
    <s v="ORD1392"/>
    <x v="153"/>
    <s v="Gujarat"/>
    <x v="0"/>
    <x v="2"/>
    <x v="7"/>
    <n v="3"/>
    <n v="3515.94"/>
    <n v="0.1"/>
    <n v="9493.0400000000009"/>
    <s v="Debit Card"/>
    <x v="2"/>
    <x v="0"/>
    <x v="0"/>
    <n v="10547.82"/>
    <x v="1"/>
    <x v="4"/>
    <x v="0"/>
  </r>
  <r>
    <s v="ORD1393"/>
    <x v="173"/>
    <s v="Delhi"/>
    <x v="0"/>
    <x v="0"/>
    <x v="3"/>
    <n v="2"/>
    <n v="295.10000000000002"/>
    <n v="0.15"/>
    <n v="501.67"/>
    <s v="Net Banking"/>
    <x v="2"/>
    <x v="1"/>
    <x v="0"/>
    <n v="590.20000000000005"/>
    <x v="2"/>
    <x v="5"/>
    <x v="1"/>
  </r>
  <r>
    <s v="ORD1394"/>
    <x v="155"/>
    <s v="Tamil Nadu"/>
    <x v="3"/>
    <x v="0"/>
    <x v="4"/>
    <n v="1"/>
    <n v="1997.79"/>
    <n v="0.19"/>
    <n v="1618.21"/>
    <s v="Net Banking"/>
    <x v="0"/>
    <x v="0"/>
    <x v="3"/>
    <n v="1997.79"/>
    <x v="6"/>
    <x v="5"/>
    <x v="0"/>
  </r>
  <r>
    <s v="ORD1395"/>
    <x v="148"/>
    <s v="Delhi"/>
    <x v="0"/>
    <x v="0"/>
    <x v="2"/>
    <n v="5"/>
    <n v="4243.1400000000003"/>
    <n v="0.06"/>
    <n v="19942.759999999998"/>
    <s v="Debit Card"/>
    <x v="2"/>
    <x v="1"/>
    <x v="0"/>
    <n v="21215.7"/>
    <x v="4"/>
    <x v="5"/>
    <x v="0"/>
  </r>
  <r>
    <s v="ORD1396"/>
    <x v="83"/>
    <s v="Gujarat"/>
    <x v="0"/>
    <x v="3"/>
    <x v="12"/>
    <n v="4"/>
    <n v="2531.11"/>
    <n v="0.2"/>
    <n v="8099.55"/>
    <s v="COD"/>
    <x v="0"/>
    <x v="1"/>
    <x v="0"/>
    <n v="10124.44"/>
    <x v="5"/>
    <x v="5"/>
    <x v="0"/>
  </r>
  <r>
    <s v="ORD1397"/>
    <x v="74"/>
    <s v="Tamil Nadu"/>
    <x v="0"/>
    <x v="4"/>
    <x v="19"/>
    <n v="3"/>
    <n v="2237.83"/>
    <n v="0.18"/>
    <n v="5505.06"/>
    <s v="Net Banking"/>
    <x v="0"/>
    <x v="2"/>
    <x v="0"/>
    <n v="6713.49"/>
    <x v="2"/>
    <x v="0"/>
    <x v="0"/>
  </r>
  <r>
    <s v="ORD1398"/>
    <x v="123"/>
    <s v="Tamil Nadu"/>
    <x v="3"/>
    <x v="4"/>
    <x v="18"/>
    <n v="2"/>
    <n v="692.95"/>
    <n v="0.04"/>
    <n v="1330.46"/>
    <s v="COD"/>
    <x v="0"/>
    <x v="0"/>
    <x v="0"/>
    <n v="1385.9"/>
    <x v="5"/>
    <x v="1"/>
    <x v="0"/>
  </r>
  <r>
    <s v="ORD1399"/>
    <x v="68"/>
    <s v="Gujarat"/>
    <x v="1"/>
    <x v="2"/>
    <x v="6"/>
    <n v="1"/>
    <n v="4857.24"/>
    <n v="0.16"/>
    <n v="4080.08"/>
    <s v="UPI"/>
    <x v="2"/>
    <x v="0"/>
    <x v="0"/>
    <n v="4857.24"/>
    <x v="0"/>
    <x v="3"/>
    <x v="0"/>
  </r>
  <r>
    <s v="ORD1400"/>
    <x v="34"/>
    <s v="Delhi"/>
    <x v="0"/>
    <x v="0"/>
    <x v="4"/>
    <n v="2"/>
    <n v="3758.55"/>
    <n v="0.1"/>
    <n v="6765.39"/>
    <s v="Debit Card"/>
    <x v="2"/>
    <x v="1"/>
    <x v="0"/>
    <n v="7517.1"/>
    <x v="3"/>
    <x v="2"/>
    <x v="0"/>
  </r>
  <r>
    <s v="ORD1401"/>
    <x v="148"/>
    <s v="Gujarat"/>
    <x v="2"/>
    <x v="0"/>
    <x v="0"/>
    <n v="5"/>
    <n v="143.4"/>
    <n v="0.22"/>
    <n v="559.26"/>
    <s v="UPI"/>
    <x v="1"/>
    <x v="2"/>
    <x v="1"/>
    <n v="717"/>
    <x v="4"/>
    <x v="5"/>
    <x v="1"/>
  </r>
  <r>
    <s v="ORD1402"/>
    <x v="155"/>
    <s v="Delhi"/>
    <x v="0"/>
    <x v="2"/>
    <x v="11"/>
    <n v="4"/>
    <n v="1149.2"/>
    <n v="0.04"/>
    <n v="4412.93"/>
    <s v="Net Banking"/>
    <x v="2"/>
    <x v="0"/>
    <x v="0"/>
    <n v="4596.8"/>
    <x v="6"/>
    <x v="5"/>
    <x v="0"/>
  </r>
  <r>
    <s v="ORD1403"/>
    <x v="175"/>
    <s v="Maharashtra"/>
    <x v="2"/>
    <x v="3"/>
    <x v="12"/>
    <n v="1"/>
    <n v="2874.17"/>
    <n v="0.06"/>
    <n v="2701.72"/>
    <s v="Net Banking"/>
    <x v="1"/>
    <x v="1"/>
    <x v="1"/>
    <n v="2874.17"/>
    <x v="4"/>
    <x v="0"/>
    <x v="0"/>
  </r>
  <r>
    <s v="ORD1404"/>
    <x v="95"/>
    <s v="Maharashtra"/>
    <x v="2"/>
    <x v="4"/>
    <x v="18"/>
    <n v="3"/>
    <n v="3925.1"/>
    <n v="0.01"/>
    <n v="11657.55"/>
    <s v="Net Banking"/>
    <x v="0"/>
    <x v="0"/>
    <x v="0"/>
    <n v="11775.3"/>
    <x v="0"/>
    <x v="4"/>
    <x v="0"/>
  </r>
  <r>
    <s v="ORD1405"/>
    <x v="165"/>
    <s v="Delhi"/>
    <x v="3"/>
    <x v="1"/>
    <x v="10"/>
    <n v="5"/>
    <n v="4454.8500000000004"/>
    <n v="0.16"/>
    <n v="18710.37"/>
    <s v="Net Banking"/>
    <x v="1"/>
    <x v="0"/>
    <x v="0"/>
    <n v="22274.25"/>
    <x v="5"/>
    <x v="2"/>
    <x v="0"/>
  </r>
  <r>
    <s v="ORD1406"/>
    <x v="65"/>
    <s v="Tamil Nadu"/>
    <x v="3"/>
    <x v="1"/>
    <x v="1"/>
    <n v="5"/>
    <n v="251.48"/>
    <n v="0.02"/>
    <n v="1232.25"/>
    <s v="Credit Card"/>
    <x v="2"/>
    <x v="2"/>
    <x v="3"/>
    <n v="1257.3999999999999"/>
    <x v="6"/>
    <x v="0"/>
    <x v="0"/>
  </r>
  <r>
    <s v="ORD1407"/>
    <x v="89"/>
    <s v="Karnataka"/>
    <x v="2"/>
    <x v="0"/>
    <x v="2"/>
    <n v="4"/>
    <n v="3285.82"/>
    <n v="0.25"/>
    <n v="9857.4599999999991"/>
    <s v="Net Banking"/>
    <x v="2"/>
    <x v="1"/>
    <x v="3"/>
    <n v="13143.28"/>
    <x v="1"/>
    <x v="5"/>
    <x v="0"/>
  </r>
  <r>
    <s v="ORD1408"/>
    <x v="29"/>
    <s v="Karnataka"/>
    <x v="3"/>
    <x v="1"/>
    <x v="1"/>
    <n v="4"/>
    <n v="1991.86"/>
    <n v="0.22"/>
    <n v="6214.6"/>
    <s v="Net Banking"/>
    <x v="1"/>
    <x v="0"/>
    <x v="0"/>
    <n v="7967.44"/>
    <x v="3"/>
    <x v="3"/>
    <x v="0"/>
  </r>
  <r>
    <s v="ORD1409"/>
    <x v="32"/>
    <s v="Karnataka"/>
    <x v="2"/>
    <x v="0"/>
    <x v="3"/>
    <n v="5"/>
    <n v="3193.69"/>
    <n v="0.06"/>
    <n v="15010.34"/>
    <s v="COD"/>
    <x v="1"/>
    <x v="1"/>
    <x v="1"/>
    <n v="15968.45"/>
    <x v="1"/>
    <x v="0"/>
    <x v="0"/>
  </r>
  <r>
    <s v="ORD1410"/>
    <x v="138"/>
    <s v="Karnataka"/>
    <x v="2"/>
    <x v="1"/>
    <x v="10"/>
    <n v="5"/>
    <n v="1037.21"/>
    <n v="0.24"/>
    <n v="3941.4"/>
    <s v="UPI"/>
    <x v="0"/>
    <x v="2"/>
    <x v="0"/>
    <n v="5186.05"/>
    <x v="4"/>
    <x v="4"/>
    <x v="0"/>
  </r>
  <r>
    <s v="ORD1411"/>
    <x v="169"/>
    <s v="Karnataka"/>
    <x v="2"/>
    <x v="2"/>
    <x v="6"/>
    <n v="2"/>
    <n v="3864.74"/>
    <n v="0.22"/>
    <n v="6028.99"/>
    <s v="COD"/>
    <x v="2"/>
    <x v="2"/>
    <x v="0"/>
    <n v="7729.48"/>
    <x v="1"/>
    <x v="1"/>
    <x v="0"/>
  </r>
  <r>
    <s v="ORD1412"/>
    <x v="69"/>
    <s v="Delhi"/>
    <x v="3"/>
    <x v="4"/>
    <x v="17"/>
    <n v="5"/>
    <n v="949.74"/>
    <n v="0.18"/>
    <n v="3893.93"/>
    <s v="Net Banking"/>
    <x v="1"/>
    <x v="1"/>
    <x v="0"/>
    <n v="4748.7"/>
    <x v="2"/>
    <x v="4"/>
    <x v="0"/>
  </r>
  <r>
    <s v="ORD1413"/>
    <x v="105"/>
    <s v="Tamil Nadu"/>
    <x v="1"/>
    <x v="4"/>
    <x v="16"/>
    <n v="4"/>
    <n v="2473.2800000000002"/>
    <n v="7.0000000000000007E-2"/>
    <n v="9200.6"/>
    <s v="UPI"/>
    <x v="0"/>
    <x v="0"/>
    <x v="0"/>
    <n v="9893.1200000000008"/>
    <x v="3"/>
    <x v="1"/>
    <x v="0"/>
  </r>
  <r>
    <s v="ORD1414"/>
    <x v="88"/>
    <s v="Gujarat"/>
    <x v="0"/>
    <x v="3"/>
    <x v="9"/>
    <n v="1"/>
    <n v="4835.92"/>
    <n v="0.2"/>
    <n v="3868.74"/>
    <s v="Credit Card"/>
    <x v="2"/>
    <x v="1"/>
    <x v="0"/>
    <n v="4835.92"/>
    <x v="0"/>
    <x v="5"/>
    <x v="0"/>
  </r>
  <r>
    <s v="ORD1415"/>
    <x v="180"/>
    <s v="Tamil Nadu"/>
    <x v="0"/>
    <x v="4"/>
    <x v="18"/>
    <n v="3"/>
    <n v="2604.48"/>
    <n v="0.11"/>
    <n v="6953.96"/>
    <s v="COD"/>
    <x v="1"/>
    <x v="1"/>
    <x v="2"/>
    <n v="7813.4400000000005"/>
    <x v="1"/>
    <x v="2"/>
    <x v="0"/>
  </r>
  <r>
    <s v="ORD1416"/>
    <x v="83"/>
    <s v="Tamil Nadu"/>
    <x v="0"/>
    <x v="2"/>
    <x v="7"/>
    <n v="3"/>
    <n v="685.28"/>
    <n v="0.05"/>
    <n v="1953.05"/>
    <s v="Net Banking"/>
    <x v="2"/>
    <x v="1"/>
    <x v="0"/>
    <n v="2055.84"/>
    <x v="5"/>
    <x v="5"/>
    <x v="0"/>
  </r>
  <r>
    <s v="ORD1417"/>
    <x v="117"/>
    <s v="Maharashtra"/>
    <x v="1"/>
    <x v="0"/>
    <x v="2"/>
    <n v="3"/>
    <n v="724.37"/>
    <n v="0.02"/>
    <n v="2129.65"/>
    <s v="COD"/>
    <x v="1"/>
    <x v="0"/>
    <x v="0"/>
    <n v="2173.11"/>
    <x v="4"/>
    <x v="1"/>
    <x v="0"/>
  </r>
  <r>
    <s v="ORD1418"/>
    <x v="67"/>
    <s v="Maharashtra"/>
    <x v="3"/>
    <x v="1"/>
    <x v="13"/>
    <n v="5"/>
    <n v="3625.9"/>
    <n v="7.0000000000000007E-2"/>
    <n v="16860.43"/>
    <s v="Credit Card"/>
    <x v="2"/>
    <x v="2"/>
    <x v="0"/>
    <n v="18129.5"/>
    <x v="3"/>
    <x v="3"/>
    <x v="0"/>
  </r>
  <r>
    <s v="ORD1419"/>
    <x v="157"/>
    <s v="Gujarat"/>
    <x v="3"/>
    <x v="1"/>
    <x v="1"/>
    <n v="2"/>
    <n v="212.47"/>
    <n v="0.15"/>
    <n v="361.2"/>
    <s v="UPI"/>
    <x v="0"/>
    <x v="2"/>
    <x v="3"/>
    <n v="424.94"/>
    <x v="4"/>
    <x v="5"/>
    <x v="1"/>
  </r>
  <r>
    <s v="ORD1420"/>
    <x v="60"/>
    <s v="Gujarat"/>
    <x v="1"/>
    <x v="2"/>
    <x v="11"/>
    <n v="2"/>
    <n v="546.77"/>
    <n v="0.19"/>
    <n v="885.77"/>
    <s v="COD"/>
    <x v="0"/>
    <x v="1"/>
    <x v="0"/>
    <n v="1093.54"/>
    <x v="5"/>
    <x v="3"/>
    <x v="1"/>
  </r>
  <r>
    <s v="ORD1421"/>
    <x v="149"/>
    <s v="Delhi"/>
    <x v="2"/>
    <x v="3"/>
    <x v="15"/>
    <n v="5"/>
    <n v="911.65"/>
    <n v="0.04"/>
    <n v="4375.92"/>
    <s v="Debit Card"/>
    <x v="2"/>
    <x v="2"/>
    <x v="0"/>
    <n v="4558.25"/>
    <x v="4"/>
    <x v="4"/>
    <x v="0"/>
  </r>
  <r>
    <s v="ORD1422"/>
    <x v="182"/>
    <s v="Tamil Nadu"/>
    <x v="1"/>
    <x v="3"/>
    <x v="9"/>
    <n v="4"/>
    <n v="2286.21"/>
    <n v="0.06"/>
    <n v="8596.15"/>
    <s v="COD"/>
    <x v="1"/>
    <x v="2"/>
    <x v="0"/>
    <n v="9144.84"/>
    <x v="5"/>
    <x v="3"/>
    <x v="0"/>
  </r>
  <r>
    <s v="ORD1423"/>
    <x v="119"/>
    <s v="Tamil Nadu"/>
    <x v="1"/>
    <x v="2"/>
    <x v="11"/>
    <n v="1"/>
    <n v="2752.2"/>
    <n v="7.0000000000000007E-2"/>
    <n v="2559.5500000000002"/>
    <s v="COD"/>
    <x v="2"/>
    <x v="0"/>
    <x v="0"/>
    <n v="2752.2"/>
    <x v="1"/>
    <x v="1"/>
    <x v="0"/>
  </r>
  <r>
    <s v="ORD1424"/>
    <x v="94"/>
    <s v="Karnataka"/>
    <x v="3"/>
    <x v="1"/>
    <x v="1"/>
    <n v="5"/>
    <n v="3116.63"/>
    <n v="0.21"/>
    <n v="12310.69"/>
    <s v="Credit Card"/>
    <x v="2"/>
    <x v="0"/>
    <x v="0"/>
    <n v="15583.150000000001"/>
    <x v="4"/>
    <x v="0"/>
    <x v="0"/>
  </r>
  <r>
    <s v="ORD1425"/>
    <x v="30"/>
    <s v="Delhi"/>
    <x v="2"/>
    <x v="0"/>
    <x v="3"/>
    <n v="2"/>
    <n v="1639.64"/>
    <n v="0.1"/>
    <n v="2951.35"/>
    <s v="Net Banking"/>
    <x v="0"/>
    <x v="2"/>
    <x v="1"/>
    <n v="3279.28"/>
    <x v="1"/>
    <x v="3"/>
    <x v="0"/>
  </r>
  <r>
    <s v="ORD1426"/>
    <x v="11"/>
    <s v="Maharashtra"/>
    <x v="2"/>
    <x v="2"/>
    <x v="5"/>
    <n v="1"/>
    <n v="2316"/>
    <n v="0.2"/>
    <n v="1852.8"/>
    <s v="COD"/>
    <x v="0"/>
    <x v="1"/>
    <x v="0"/>
    <n v="2316"/>
    <x v="1"/>
    <x v="4"/>
    <x v="0"/>
  </r>
  <r>
    <s v="ORD1427"/>
    <x v="49"/>
    <s v="Tamil Nadu"/>
    <x v="2"/>
    <x v="0"/>
    <x v="3"/>
    <n v="1"/>
    <n v="2243.08"/>
    <n v="0.09"/>
    <n v="2041.2"/>
    <s v="Net Banking"/>
    <x v="2"/>
    <x v="1"/>
    <x v="1"/>
    <n v="2243.08"/>
    <x v="0"/>
    <x v="4"/>
    <x v="0"/>
  </r>
  <r>
    <s v="ORD1428"/>
    <x v="178"/>
    <s v="Delhi"/>
    <x v="0"/>
    <x v="4"/>
    <x v="18"/>
    <n v="5"/>
    <n v="3260.54"/>
    <n v="0.15"/>
    <n v="13857.3"/>
    <s v="Debit Card"/>
    <x v="0"/>
    <x v="2"/>
    <x v="2"/>
    <n v="16302.7"/>
    <x v="3"/>
    <x v="5"/>
    <x v="0"/>
  </r>
  <r>
    <s v="ORD1429"/>
    <x v="86"/>
    <s v="Delhi"/>
    <x v="2"/>
    <x v="4"/>
    <x v="19"/>
    <n v="2"/>
    <n v="552.65"/>
    <n v="0.17"/>
    <n v="917.4"/>
    <s v="Credit Card"/>
    <x v="1"/>
    <x v="2"/>
    <x v="0"/>
    <n v="1105.3"/>
    <x v="3"/>
    <x v="1"/>
    <x v="1"/>
  </r>
  <r>
    <s v="ORD1430"/>
    <x v="156"/>
    <s v="Delhi"/>
    <x v="1"/>
    <x v="4"/>
    <x v="18"/>
    <n v="4"/>
    <n v="1464.72"/>
    <n v="0.23"/>
    <n v="4511.34"/>
    <s v="UPI"/>
    <x v="0"/>
    <x v="2"/>
    <x v="0"/>
    <n v="5858.88"/>
    <x v="4"/>
    <x v="2"/>
    <x v="0"/>
  </r>
  <r>
    <s v="ORD1431"/>
    <x v="144"/>
    <s v="Delhi"/>
    <x v="3"/>
    <x v="1"/>
    <x v="13"/>
    <n v="1"/>
    <n v="2905.78"/>
    <n v="0.2"/>
    <n v="2324.62"/>
    <s v="Credit Card"/>
    <x v="1"/>
    <x v="0"/>
    <x v="0"/>
    <n v="2905.78"/>
    <x v="6"/>
    <x v="4"/>
    <x v="0"/>
  </r>
  <r>
    <s v="ORD1432"/>
    <x v="61"/>
    <s v="Delhi"/>
    <x v="2"/>
    <x v="2"/>
    <x v="5"/>
    <n v="2"/>
    <n v="3052.91"/>
    <n v="0.02"/>
    <n v="5983.7"/>
    <s v="Debit Card"/>
    <x v="0"/>
    <x v="2"/>
    <x v="3"/>
    <n v="6105.82"/>
    <x v="1"/>
    <x v="5"/>
    <x v="0"/>
  </r>
  <r>
    <s v="ORD1433"/>
    <x v="58"/>
    <s v="Tamil Nadu"/>
    <x v="0"/>
    <x v="3"/>
    <x v="8"/>
    <n v="2"/>
    <n v="848.32"/>
    <n v="0.23"/>
    <n v="1306.4100000000001"/>
    <s v="COD"/>
    <x v="2"/>
    <x v="2"/>
    <x v="0"/>
    <n v="1696.64"/>
    <x v="4"/>
    <x v="0"/>
    <x v="0"/>
  </r>
  <r>
    <s v="ORD1434"/>
    <x v="106"/>
    <s v="Gujarat"/>
    <x v="0"/>
    <x v="3"/>
    <x v="9"/>
    <n v="5"/>
    <n v="4484.71"/>
    <n v="0.1"/>
    <n v="20181.189999999999"/>
    <s v="Credit Card"/>
    <x v="1"/>
    <x v="2"/>
    <x v="0"/>
    <n v="22423.55"/>
    <x v="5"/>
    <x v="0"/>
    <x v="0"/>
  </r>
  <r>
    <s v="ORD1435"/>
    <x v="95"/>
    <s v="Gujarat"/>
    <x v="0"/>
    <x v="3"/>
    <x v="12"/>
    <n v="3"/>
    <n v="2365.79"/>
    <n v="0.11"/>
    <n v="6316.66"/>
    <s v="UPI"/>
    <x v="1"/>
    <x v="0"/>
    <x v="0"/>
    <n v="7097.37"/>
    <x v="0"/>
    <x v="4"/>
    <x v="0"/>
  </r>
  <r>
    <s v="ORD1436"/>
    <x v="109"/>
    <s v="Maharashtra"/>
    <x v="1"/>
    <x v="3"/>
    <x v="8"/>
    <n v="1"/>
    <n v="1507.29"/>
    <n v="0.13"/>
    <n v="1311.34"/>
    <s v="Net Banking"/>
    <x v="0"/>
    <x v="1"/>
    <x v="0"/>
    <n v="1507.29"/>
    <x v="6"/>
    <x v="0"/>
    <x v="0"/>
  </r>
  <r>
    <s v="ORD1437"/>
    <x v="143"/>
    <s v="Gujarat"/>
    <x v="1"/>
    <x v="2"/>
    <x v="5"/>
    <n v="5"/>
    <n v="3619.94"/>
    <n v="0.19"/>
    <n v="14660.76"/>
    <s v="UPI"/>
    <x v="1"/>
    <x v="1"/>
    <x v="0"/>
    <n v="18099.7"/>
    <x v="4"/>
    <x v="5"/>
    <x v="0"/>
  </r>
  <r>
    <s v="ORD1438"/>
    <x v="32"/>
    <s v="Maharashtra"/>
    <x v="1"/>
    <x v="2"/>
    <x v="11"/>
    <n v="5"/>
    <n v="4974.1000000000004"/>
    <n v="0.21"/>
    <n v="19647.689999999999"/>
    <s v="Debit Card"/>
    <x v="0"/>
    <x v="2"/>
    <x v="0"/>
    <n v="24870.5"/>
    <x v="1"/>
    <x v="0"/>
    <x v="0"/>
  </r>
  <r>
    <s v="ORD1439"/>
    <x v="86"/>
    <s v="Maharashtra"/>
    <x v="3"/>
    <x v="4"/>
    <x v="17"/>
    <n v="2"/>
    <n v="3776.53"/>
    <n v="0.05"/>
    <n v="7175.41"/>
    <s v="UPI"/>
    <x v="2"/>
    <x v="0"/>
    <x v="0"/>
    <n v="7553.06"/>
    <x v="3"/>
    <x v="1"/>
    <x v="0"/>
  </r>
  <r>
    <s v="ORD1440"/>
    <x v="140"/>
    <s v="Karnataka"/>
    <x v="2"/>
    <x v="1"/>
    <x v="10"/>
    <n v="2"/>
    <n v="180.25"/>
    <n v="0.06"/>
    <n v="338.87"/>
    <s v="Net Banking"/>
    <x v="0"/>
    <x v="1"/>
    <x v="0"/>
    <n v="360.5"/>
    <x v="2"/>
    <x v="2"/>
    <x v="1"/>
  </r>
  <r>
    <s v="ORD1441"/>
    <x v="46"/>
    <s v="Karnataka"/>
    <x v="0"/>
    <x v="2"/>
    <x v="5"/>
    <n v="2"/>
    <n v="2137.42"/>
    <n v="0.01"/>
    <n v="4232.09"/>
    <s v="Debit Card"/>
    <x v="2"/>
    <x v="2"/>
    <x v="0"/>
    <n v="4274.84"/>
    <x v="6"/>
    <x v="2"/>
    <x v="0"/>
  </r>
  <r>
    <s v="ORD1442"/>
    <x v="138"/>
    <s v="Tamil Nadu"/>
    <x v="1"/>
    <x v="0"/>
    <x v="2"/>
    <n v="4"/>
    <n v="482.81"/>
    <n v="7.0000000000000007E-2"/>
    <n v="1796.05"/>
    <s v="Net Banking"/>
    <x v="1"/>
    <x v="0"/>
    <x v="0"/>
    <n v="1931.24"/>
    <x v="4"/>
    <x v="4"/>
    <x v="0"/>
  </r>
  <r>
    <s v="ORD1443"/>
    <x v="151"/>
    <s v="Karnataka"/>
    <x v="3"/>
    <x v="2"/>
    <x v="7"/>
    <n v="3"/>
    <n v="4617.7299999999996"/>
    <n v="0.04"/>
    <n v="13299.06"/>
    <s v="UPI"/>
    <x v="0"/>
    <x v="2"/>
    <x v="0"/>
    <n v="13853.189999999999"/>
    <x v="2"/>
    <x v="1"/>
    <x v="0"/>
  </r>
  <r>
    <s v="ORD1444"/>
    <x v="131"/>
    <s v="Maharashtra"/>
    <x v="1"/>
    <x v="1"/>
    <x v="1"/>
    <n v="2"/>
    <n v="3190.31"/>
    <n v="0.09"/>
    <n v="5806.36"/>
    <s v="Credit Card"/>
    <x v="1"/>
    <x v="1"/>
    <x v="0"/>
    <n v="6380.62"/>
    <x v="0"/>
    <x v="6"/>
    <x v="0"/>
  </r>
  <r>
    <s v="ORD1445"/>
    <x v="165"/>
    <s v="Karnataka"/>
    <x v="0"/>
    <x v="1"/>
    <x v="14"/>
    <n v="3"/>
    <n v="1903.04"/>
    <n v="0.2"/>
    <n v="4567.3"/>
    <s v="COD"/>
    <x v="2"/>
    <x v="0"/>
    <x v="1"/>
    <n v="5709.12"/>
    <x v="5"/>
    <x v="2"/>
    <x v="0"/>
  </r>
  <r>
    <s v="ORD1446"/>
    <x v="143"/>
    <s v="Gujarat"/>
    <x v="3"/>
    <x v="2"/>
    <x v="5"/>
    <n v="5"/>
    <n v="3670.46"/>
    <n v="0.14000000000000001"/>
    <n v="15782.98"/>
    <s v="Credit Card"/>
    <x v="1"/>
    <x v="2"/>
    <x v="1"/>
    <n v="18352.3"/>
    <x v="4"/>
    <x v="5"/>
    <x v="0"/>
  </r>
  <r>
    <s v="ORD1447"/>
    <x v="59"/>
    <s v="Tamil Nadu"/>
    <x v="1"/>
    <x v="2"/>
    <x v="6"/>
    <n v="2"/>
    <n v="3834.33"/>
    <n v="0.05"/>
    <n v="7285.23"/>
    <s v="UPI"/>
    <x v="0"/>
    <x v="0"/>
    <x v="0"/>
    <n v="7668.66"/>
    <x v="3"/>
    <x v="3"/>
    <x v="0"/>
  </r>
  <r>
    <s v="ORD1448"/>
    <x v="35"/>
    <s v="Maharashtra"/>
    <x v="3"/>
    <x v="3"/>
    <x v="8"/>
    <n v="2"/>
    <n v="1053.02"/>
    <n v="0.14000000000000001"/>
    <n v="1811.19"/>
    <s v="UPI"/>
    <x v="0"/>
    <x v="1"/>
    <x v="0"/>
    <n v="2106.04"/>
    <x v="6"/>
    <x v="0"/>
    <x v="0"/>
  </r>
  <r>
    <s v="ORD1449"/>
    <x v="129"/>
    <s v="Delhi"/>
    <x v="0"/>
    <x v="1"/>
    <x v="1"/>
    <n v="2"/>
    <n v="4308.32"/>
    <n v="7.0000000000000007E-2"/>
    <n v="8013.48"/>
    <s v="Credit Card"/>
    <x v="0"/>
    <x v="1"/>
    <x v="0"/>
    <n v="8616.64"/>
    <x v="3"/>
    <x v="4"/>
    <x v="0"/>
  </r>
  <r>
    <s v="ORD1450"/>
    <x v="145"/>
    <s v="Maharashtra"/>
    <x v="2"/>
    <x v="3"/>
    <x v="15"/>
    <n v="4"/>
    <n v="4077.28"/>
    <n v="0.09"/>
    <n v="14841.3"/>
    <s v="Credit Card"/>
    <x v="1"/>
    <x v="0"/>
    <x v="1"/>
    <n v="16309.12"/>
    <x v="6"/>
    <x v="1"/>
    <x v="0"/>
  </r>
  <r>
    <s v="ORD1451"/>
    <x v="16"/>
    <s v="Karnataka"/>
    <x v="3"/>
    <x v="4"/>
    <x v="17"/>
    <n v="5"/>
    <n v="2648.24"/>
    <n v="7.0000000000000007E-2"/>
    <n v="12314.32"/>
    <s v="COD"/>
    <x v="0"/>
    <x v="0"/>
    <x v="0"/>
    <n v="13241.199999999999"/>
    <x v="0"/>
    <x v="1"/>
    <x v="0"/>
  </r>
  <r>
    <s v="ORD1452"/>
    <x v="57"/>
    <s v="Tamil Nadu"/>
    <x v="0"/>
    <x v="0"/>
    <x v="3"/>
    <n v="5"/>
    <n v="1572.79"/>
    <n v="0.24"/>
    <n v="5976.6"/>
    <s v="UPI"/>
    <x v="2"/>
    <x v="1"/>
    <x v="2"/>
    <n v="7863.95"/>
    <x v="3"/>
    <x v="0"/>
    <x v="0"/>
  </r>
  <r>
    <s v="ORD1453"/>
    <x v="78"/>
    <s v="Maharashtra"/>
    <x v="1"/>
    <x v="4"/>
    <x v="17"/>
    <n v="2"/>
    <n v="4237.99"/>
    <n v="0.05"/>
    <n v="8052.18"/>
    <s v="Debit Card"/>
    <x v="1"/>
    <x v="2"/>
    <x v="1"/>
    <n v="8475.98"/>
    <x v="5"/>
    <x v="0"/>
    <x v="0"/>
  </r>
  <r>
    <s v="ORD1454"/>
    <x v="158"/>
    <s v="Tamil Nadu"/>
    <x v="1"/>
    <x v="0"/>
    <x v="2"/>
    <n v="5"/>
    <n v="1722.94"/>
    <n v="0.02"/>
    <n v="8442.41"/>
    <s v="Net Banking"/>
    <x v="2"/>
    <x v="2"/>
    <x v="1"/>
    <n v="8614.7000000000007"/>
    <x v="4"/>
    <x v="3"/>
    <x v="0"/>
  </r>
  <r>
    <s v="ORD1455"/>
    <x v="133"/>
    <s v="Maharashtra"/>
    <x v="2"/>
    <x v="0"/>
    <x v="2"/>
    <n v="4"/>
    <n v="854.83"/>
    <n v="0.12"/>
    <n v="3009"/>
    <s v="Net Banking"/>
    <x v="2"/>
    <x v="2"/>
    <x v="1"/>
    <n v="3419.32"/>
    <x v="2"/>
    <x v="2"/>
    <x v="0"/>
  </r>
  <r>
    <s v="ORD1456"/>
    <x v="146"/>
    <s v="Delhi"/>
    <x v="2"/>
    <x v="0"/>
    <x v="2"/>
    <n v="4"/>
    <n v="2983.27"/>
    <n v="0.1"/>
    <n v="10739.77"/>
    <s v="Net Banking"/>
    <x v="2"/>
    <x v="2"/>
    <x v="0"/>
    <n v="11933.08"/>
    <x v="2"/>
    <x v="0"/>
    <x v="0"/>
  </r>
  <r>
    <s v="ORD1457"/>
    <x v="38"/>
    <s v="Delhi"/>
    <x v="0"/>
    <x v="3"/>
    <x v="9"/>
    <n v="5"/>
    <n v="1946.55"/>
    <n v="0.02"/>
    <n v="9538.09"/>
    <s v="COD"/>
    <x v="2"/>
    <x v="2"/>
    <x v="3"/>
    <n v="9732.75"/>
    <x v="6"/>
    <x v="2"/>
    <x v="0"/>
  </r>
  <r>
    <s v="ORD1458"/>
    <x v="142"/>
    <s v="Gujarat"/>
    <x v="3"/>
    <x v="0"/>
    <x v="4"/>
    <n v="1"/>
    <n v="4678.43"/>
    <n v="0.2"/>
    <n v="3742.74"/>
    <s v="Net Banking"/>
    <x v="2"/>
    <x v="0"/>
    <x v="2"/>
    <n v="4678.43"/>
    <x v="2"/>
    <x v="5"/>
    <x v="0"/>
  </r>
  <r>
    <s v="ORD1459"/>
    <x v="138"/>
    <s v="Delhi"/>
    <x v="2"/>
    <x v="0"/>
    <x v="3"/>
    <n v="3"/>
    <n v="4920.1400000000003"/>
    <n v="0.09"/>
    <n v="13431.98"/>
    <s v="Credit Card"/>
    <x v="0"/>
    <x v="0"/>
    <x v="0"/>
    <n v="14760.420000000002"/>
    <x v="4"/>
    <x v="4"/>
    <x v="0"/>
  </r>
  <r>
    <s v="ORD1460"/>
    <x v="116"/>
    <s v="Delhi"/>
    <x v="0"/>
    <x v="0"/>
    <x v="0"/>
    <n v="1"/>
    <n v="290.82"/>
    <n v="0.15"/>
    <n v="247.2"/>
    <s v="UPI"/>
    <x v="2"/>
    <x v="2"/>
    <x v="3"/>
    <n v="290.82"/>
    <x v="6"/>
    <x v="1"/>
    <x v="1"/>
  </r>
  <r>
    <s v="ORD1461"/>
    <x v="54"/>
    <s v="Tamil Nadu"/>
    <x v="0"/>
    <x v="3"/>
    <x v="12"/>
    <n v="3"/>
    <n v="3007.51"/>
    <n v="0.15"/>
    <n v="7669.15"/>
    <s v="Net Banking"/>
    <x v="0"/>
    <x v="0"/>
    <x v="3"/>
    <n v="9022.5300000000007"/>
    <x v="6"/>
    <x v="4"/>
    <x v="0"/>
  </r>
  <r>
    <s v="ORD1462"/>
    <x v="155"/>
    <s v="Maharashtra"/>
    <x v="0"/>
    <x v="4"/>
    <x v="16"/>
    <n v="3"/>
    <n v="871.23"/>
    <n v="0.19"/>
    <n v="2117.09"/>
    <s v="Net Banking"/>
    <x v="1"/>
    <x v="0"/>
    <x v="0"/>
    <n v="2613.69"/>
    <x v="6"/>
    <x v="5"/>
    <x v="0"/>
  </r>
  <r>
    <s v="ORD1463"/>
    <x v="17"/>
    <s v="Maharashtra"/>
    <x v="2"/>
    <x v="3"/>
    <x v="9"/>
    <n v="2"/>
    <n v="3505.05"/>
    <n v="0.2"/>
    <n v="5608.08"/>
    <s v="Net Banking"/>
    <x v="2"/>
    <x v="1"/>
    <x v="0"/>
    <n v="7010.1"/>
    <x v="2"/>
    <x v="1"/>
    <x v="0"/>
  </r>
  <r>
    <s v="ORD1464"/>
    <x v="6"/>
    <s v="Delhi"/>
    <x v="3"/>
    <x v="2"/>
    <x v="5"/>
    <n v="3"/>
    <n v="1131.68"/>
    <n v="0.12"/>
    <n v="2987.64"/>
    <s v="UPI"/>
    <x v="1"/>
    <x v="0"/>
    <x v="0"/>
    <n v="3395.04"/>
    <x v="4"/>
    <x v="2"/>
    <x v="0"/>
  </r>
  <r>
    <s v="ORD1465"/>
    <x v="84"/>
    <s v="Delhi"/>
    <x v="2"/>
    <x v="0"/>
    <x v="0"/>
    <n v="2"/>
    <n v="831.7"/>
    <n v="0.02"/>
    <n v="1630.13"/>
    <s v="Credit Card"/>
    <x v="2"/>
    <x v="1"/>
    <x v="0"/>
    <n v="1663.4"/>
    <x v="6"/>
    <x v="3"/>
    <x v="0"/>
  </r>
  <r>
    <s v="ORD1466"/>
    <x v="91"/>
    <s v="Tamil Nadu"/>
    <x v="3"/>
    <x v="2"/>
    <x v="5"/>
    <n v="5"/>
    <n v="3673.96"/>
    <n v="0.08"/>
    <n v="16900.22"/>
    <s v="Credit Card"/>
    <x v="1"/>
    <x v="0"/>
    <x v="1"/>
    <n v="18369.8"/>
    <x v="6"/>
    <x v="3"/>
    <x v="0"/>
  </r>
  <r>
    <s v="ORD1467"/>
    <x v="117"/>
    <s v="Delhi"/>
    <x v="1"/>
    <x v="0"/>
    <x v="2"/>
    <n v="3"/>
    <n v="423.67"/>
    <n v="0.01"/>
    <n v="1258.3"/>
    <s v="Net Banking"/>
    <x v="0"/>
    <x v="1"/>
    <x v="0"/>
    <n v="1271.01"/>
    <x v="4"/>
    <x v="1"/>
    <x v="0"/>
  </r>
  <r>
    <s v="ORD1468"/>
    <x v="49"/>
    <s v="Tamil Nadu"/>
    <x v="1"/>
    <x v="2"/>
    <x v="5"/>
    <n v="2"/>
    <n v="4097.33"/>
    <n v="0.19"/>
    <n v="6637.67"/>
    <s v="UPI"/>
    <x v="2"/>
    <x v="0"/>
    <x v="0"/>
    <n v="8194.66"/>
    <x v="0"/>
    <x v="4"/>
    <x v="0"/>
  </r>
  <r>
    <s v="ORD1469"/>
    <x v="117"/>
    <s v="Maharashtra"/>
    <x v="3"/>
    <x v="1"/>
    <x v="10"/>
    <n v="4"/>
    <n v="556.76"/>
    <n v="0.22"/>
    <n v="1737.09"/>
    <s v="Debit Card"/>
    <x v="2"/>
    <x v="1"/>
    <x v="0"/>
    <n v="2227.04"/>
    <x v="4"/>
    <x v="1"/>
    <x v="0"/>
  </r>
  <r>
    <s v="ORD1470"/>
    <x v="77"/>
    <s v="Gujarat"/>
    <x v="0"/>
    <x v="3"/>
    <x v="12"/>
    <n v="3"/>
    <n v="4545.8"/>
    <n v="0.18"/>
    <n v="11182.67"/>
    <s v="COD"/>
    <x v="2"/>
    <x v="1"/>
    <x v="3"/>
    <n v="13637.400000000001"/>
    <x v="5"/>
    <x v="0"/>
    <x v="0"/>
  </r>
  <r>
    <s v="ORD1471"/>
    <x v="56"/>
    <s v="Gujarat"/>
    <x v="3"/>
    <x v="4"/>
    <x v="17"/>
    <n v="1"/>
    <n v="612.53"/>
    <n v="0.19"/>
    <n v="496.15"/>
    <s v="UPI"/>
    <x v="2"/>
    <x v="0"/>
    <x v="0"/>
    <n v="612.53"/>
    <x v="1"/>
    <x v="3"/>
    <x v="1"/>
  </r>
  <r>
    <s v="ORD1472"/>
    <x v="108"/>
    <s v="Gujarat"/>
    <x v="0"/>
    <x v="4"/>
    <x v="17"/>
    <n v="5"/>
    <n v="3101.07"/>
    <n v="0.15"/>
    <n v="13179.55"/>
    <s v="Net Banking"/>
    <x v="1"/>
    <x v="1"/>
    <x v="0"/>
    <n v="15505.35"/>
    <x v="4"/>
    <x v="2"/>
    <x v="0"/>
  </r>
  <r>
    <s v="ORD1473"/>
    <x v="95"/>
    <s v="Gujarat"/>
    <x v="0"/>
    <x v="1"/>
    <x v="1"/>
    <n v="3"/>
    <n v="1729.77"/>
    <n v="0.1"/>
    <n v="4670.38"/>
    <s v="Net Banking"/>
    <x v="0"/>
    <x v="0"/>
    <x v="0"/>
    <n v="5189.3099999999995"/>
    <x v="0"/>
    <x v="4"/>
    <x v="0"/>
  </r>
  <r>
    <s v="ORD1474"/>
    <x v="75"/>
    <s v="Gujarat"/>
    <x v="2"/>
    <x v="2"/>
    <x v="5"/>
    <n v="3"/>
    <n v="4190.53"/>
    <n v="0.06"/>
    <n v="11817.29"/>
    <s v="COD"/>
    <x v="0"/>
    <x v="1"/>
    <x v="1"/>
    <n v="12571.59"/>
    <x v="5"/>
    <x v="6"/>
    <x v="0"/>
  </r>
  <r>
    <s v="ORD1475"/>
    <x v="24"/>
    <s v="Gujarat"/>
    <x v="1"/>
    <x v="0"/>
    <x v="4"/>
    <n v="3"/>
    <n v="121"/>
    <n v="0.06"/>
    <n v="341.22"/>
    <s v="UPI"/>
    <x v="2"/>
    <x v="2"/>
    <x v="0"/>
    <n v="363"/>
    <x v="5"/>
    <x v="0"/>
    <x v="1"/>
  </r>
  <r>
    <s v="ORD1476"/>
    <x v="55"/>
    <s v="Maharashtra"/>
    <x v="0"/>
    <x v="0"/>
    <x v="3"/>
    <n v="5"/>
    <n v="4090.68"/>
    <n v="0.14000000000000001"/>
    <n v="17589.919999999998"/>
    <s v="Credit Card"/>
    <x v="2"/>
    <x v="1"/>
    <x v="0"/>
    <n v="20453.399999999998"/>
    <x v="1"/>
    <x v="2"/>
    <x v="0"/>
  </r>
  <r>
    <s v="ORD1477"/>
    <x v="20"/>
    <s v="Tamil Nadu"/>
    <x v="3"/>
    <x v="4"/>
    <x v="19"/>
    <n v="5"/>
    <n v="3340.31"/>
    <n v="7.0000000000000007E-2"/>
    <n v="15532.44"/>
    <s v="COD"/>
    <x v="0"/>
    <x v="2"/>
    <x v="1"/>
    <n v="16701.55"/>
    <x v="1"/>
    <x v="4"/>
    <x v="0"/>
  </r>
  <r>
    <s v="ORD1478"/>
    <x v="26"/>
    <s v="Delhi"/>
    <x v="3"/>
    <x v="2"/>
    <x v="6"/>
    <n v="2"/>
    <n v="169.64"/>
    <n v="0.11"/>
    <n v="301.95999999999998"/>
    <s v="COD"/>
    <x v="1"/>
    <x v="1"/>
    <x v="1"/>
    <n v="339.28"/>
    <x v="3"/>
    <x v="0"/>
    <x v="1"/>
  </r>
  <r>
    <s v="ORD1479"/>
    <x v="4"/>
    <s v="Delhi"/>
    <x v="3"/>
    <x v="0"/>
    <x v="0"/>
    <n v="3"/>
    <n v="3391.87"/>
    <n v="0.1"/>
    <n v="9158.0499999999993"/>
    <s v="UPI"/>
    <x v="0"/>
    <x v="1"/>
    <x v="0"/>
    <n v="10175.61"/>
    <x v="2"/>
    <x v="2"/>
    <x v="0"/>
  </r>
  <r>
    <s v="ORD1480"/>
    <x v="178"/>
    <s v="Karnataka"/>
    <x v="0"/>
    <x v="4"/>
    <x v="19"/>
    <n v="5"/>
    <n v="3231.21"/>
    <n v="0.02"/>
    <n v="15832.93"/>
    <s v="UPI"/>
    <x v="1"/>
    <x v="2"/>
    <x v="1"/>
    <n v="16156.05"/>
    <x v="3"/>
    <x v="5"/>
    <x v="0"/>
  </r>
  <r>
    <s v="ORD1481"/>
    <x v="162"/>
    <s v="Maharashtra"/>
    <x v="1"/>
    <x v="0"/>
    <x v="4"/>
    <n v="1"/>
    <n v="3848.01"/>
    <n v="0.08"/>
    <n v="3540.17"/>
    <s v="UPI"/>
    <x v="0"/>
    <x v="0"/>
    <x v="0"/>
    <n v="3848.01"/>
    <x v="4"/>
    <x v="3"/>
    <x v="0"/>
  </r>
  <r>
    <s v="ORD1482"/>
    <x v="163"/>
    <s v="Maharashtra"/>
    <x v="2"/>
    <x v="2"/>
    <x v="6"/>
    <n v="3"/>
    <n v="964.35"/>
    <n v="0.2"/>
    <n v="2314.44"/>
    <s v="UPI"/>
    <x v="0"/>
    <x v="0"/>
    <x v="0"/>
    <n v="2893.05"/>
    <x v="6"/>
    <x v="4"/>
    <x v="0"/>
  </r>
  <r>
    <s v="ORD1483"/>
    <x v="153"/>
    <s v="Maharashtra"/>
    <x v="3"/>
    <x v="1"/>
    <x v="13"/>
    <n v="3"/>
    <n v="885.67"/>
    <n v="0.2"/>
    <n v="2125.61"/>
    <s v="Debit Card"/>
    <x v="0"/>
    <x v="0"/>
    <x v="0"/>
    <n v="2657.0099999999998"/>
    <x v="1"/>
    <x v="4"/>
    <x v="0"/>
  </r>
  <r>
    <s v="ORD1484"/>
    <x v="5"/>
    <s v="Karnataka"/>
    <x v="3"/>
    <x v="4"/>
    <x v="19"/>
    <n v="1"/>
    <n v="4055.65"/>
    <n v="0.19"/>
    <n v="3285.08"/>
    <s v="Net Banking"/>
    <x v="2"/>
    <x v="1"/>
    <x v="0"/>
    <n v="4055.65"/>
    <x v="0"/>
    <x v="2"/>
    <x v="0"/>
  </r>
  <r>
    <s v="ORD1485"/>
    <x v="69"/>
    <s v="Gujarat"/>
    <x v="1"/>
    <x v="1"/>
    <x v="14"/>
    <n v="2"/>
    <n v="4189.1000000000004"/>
    <n v="0.23"/>
    <n v="6451.21"/>
    <s v="Credit Card"/>
    <x v="1"/>
    <x v="1"/>
    <x v="0"/>
    <n v="8378.2000000000007"/>
    <x v="2"/>
    <x v="4"/>
    <x v="0"/>
  </r>
  <r>
    <s v="ORD1486"/>
    <x v="54"/>
    <s v="Maharashtra"/>
    <x v="2"/>
    <x v="4"/>
    <x v="16"/>
    <n v="2"/>
    <n v="118.24"/>
    <n v="0.09"/>
    <n v="215.2"/>
    <s v="Credit Card"/>
    <x v="2"/>
    <x v="0"/>
    <x v="0"/>
    <n v="236.48"/>
    <x v="6"/>
    <x v="4"/>
    <x v="1"/>
  </r>
  <r>
    <s v="ORD1487"/>
    <x v="176"/>
    <s v="Karnataka"/>
    <x v="0"/>
    <x v="2"/>
    <x v="7"/>
    <n v="2"/>
    <n v="4230.8100000000004"/>
    <n v="0.15"/>
    <n v="7192.38"/>
    <s v="Net Banking"/>
    <x v="0"/>
    <x v="0"/>
    <x v="0"/>
    <n v="8461.6200000000008"/>
    <x v="1"/>
    <x v="1"/>
    <x v="0"/>
  </r>
  <r>
    <s v="ORD1488"/>
    <x v="112"/>
    <s v="Gujarat"/>
    <x v="2"/>
    <x v="2"/>
    <x v="5"/>
    <n v="3"/>
    <n v="686.79"/>
    <n v="0.2"/>
    <n v="1648.3"/>
    <s v="COD"/>
    <x v="1"/>
    <x v="0"/>
    <x v="0"/>
    <n v="2060.37"/>
    <x v="2"/>
    <x v="5"/>
    <x v="0"/>
  </r>
  <r>
    <s v="ORD1489"/>
    <x v="63"/>
    <s v="Karnataka"/>
    <x v="2"/>
    <x v="1"/>
    <x v="14"/>
    <n v="1"/>
    <n v="4701.34"/>
    <n v="0.17"/>
    <n v="3902.11"/>
    <s v="Credit Card"/>
    <x v="0"/>
    <x v="2"/>
    <x v="3"/>
    <n v="4701.34"/>
    <x v="6"/>
    <x v="2"/>
    <x v="0"/>
  </r>
  <r>
    <s v="ORD1490"/>
    <x v="52"/>
    <s v="Karnataka"/>
    <x v="2"/>
    <x v="3"/>
    <x v="9"/>
    <n v="5"/>
    <n v="1882.55"/>
    <n v="0.12"/>
    <n v="8283.2199999999993"/>
    <s v="Net Banking"/>
    <x v="0"/>
    <x v="0"/>
    <x v="0"/>
    <n v="9412.75"/>
    <x v="2"/>
    <x v="6"/>
    <x v="0"/>
  </r>
  <r>
    <s v="ORD1491"/>
    <x v="21"/>
    <s v="Karnataka"/>
    <x v="0"/>
    <x v="0"/>
    <x v="2"/>
    <n v="1"/>
    <n v="4360.57"/>
    <n v="0.23"/>
    <n v="3357.64"/>
    <s v="Debit Card"/>
    <x v="1"/>
    <x v="0"/>
    <x v="0"/>
    <n v="4360.57"/>
    <x v="2"/>
    <x v="4"/>
    <x v="0"/>
  </r>
  <r>
    <s v="ORD1492"/>
    <x v="20"/>
    <s v="Karnataka"/>
    <x v="3"/>
    <x v="0"/>
    <x v="2"/>
    <n v="2"/>
    <n v="2924.42"/>
    <n v="0.15"/>
    <n v="4971.51"/>
    <s v="UPI"/>
    <x v="0"/>
    <x v="2"/>
    <x v="0"/>
    <n v="5848.84"/>
    <x v="1"/>
    <x v="4"/>
    <x v="0"/>
  </r>
  <r>
    <s v="ORD1493"/>
    <x v="97"/>
    <s v="Gujarat"/>
    <x v="0"/>
    <x v="4"/>
    <x v="19"/>
    <n v="5"/>
    <n v="1556.31"/>
    <n v="0.14000000000000001"/>
    <n v="6692.13"/>
    <s v="COD"/>
    <x v="1"/>
    <x v="1"/>
    <x v="1"/>
    <n v="7781.5499999999993"/>
    <x v="2"/>
    <x v="0"/>
    <x v="0"/>
  </r>
  <r>
    <s v="ORD1494"/>
    <x v="93"/>
    <s v="Tamil Nadu"/>
    <x v="0"/>
    <x v="0"/>
    <x v="2"/>
    <n v="3"/>
    <n v="1418.34"/>
    <n v="0.01"/>
    <n v="4212.47"/>
    <s v="Credit Card"/>
    <x v="1"/>
    <x v="2"/>
    <x v="1"/>
    <n v="4255.0199999999995"/>
    <x v="6"/>
    <x v="3"/>
    <x v="0"/>
  </r>
  <r>
    <s v="ORD1495"/>
    <x v="103"/>
    <s v="Maharashtra"/>
    <x v="2"/>
    <x v="1"/>
    <x v="13"/>
    <n v="4"/>
    <n v="4066.55"/>
    <n v="0.1"/>
    <n v="14639.58"/>
    <s v="Net Banking"/>
    <x v="0"/>
    <x v="2"/>
    <x v="0"/>
    <n v="16266.2"/>
    <x v="0"/>
    <x v="1"/>
    <x v="0"/>
  </r>
  <r>
    <s v="ORD1496"/>
    <x v="60"/>
    <s v="Maharashtra"/>
    <x v="0"/>
    <x v="1"/>
    <x v="10"/>
    <n v="2"/>
    <n v="3277.58"/>
    <n v="0.14000000000000001"/>
    <n v="5637.44"/>
    <s v="UPI"/>
    <x v="0"/>
    <x v="2"/>
    <x v="0"/>
    <n v="6555.16"/>
    <x v="5"/>
    <x v="3"/>
    <x v="0"/>
  </r>
  <r>
    <s v="ORD1497"/>
    <x v="64"/>
    <s v="Gujarat"/>
    <x v="3"/>
    <x v="3"/>
    <x v="12"/>
    <n v="1"/>
    <n v="3438.91"/>
    <n v="0.22"/>
    <n v="2682.35"/>
    <s v="Debit Card"/>
    <x v="2"/>
    <x v="0"/>
    <x v="0"/>
    <n v="3438.91"/>
    <x v="5"/>
    <x v="1"/>
    <x v="0"/>
  </r>
  <r>
    <s v="ORD1498"/>
    <x v="4"/>
    <s v="Tamil Nadu"/>
    <x v="3"/>
    <x v="3"/>
    <x v="8"/>
    <n v="4"/>
    <n v="1043.1099999999999"/>
    <n v="0.13"/>
    <n v="3630.02"/>
    <s v="Debit Card"/>
    <x v="1"/>
    <x v="1"/>
    <x v="0"/>
    <n v="4172.4399999999996"/>
    <x v="2"/>
    <x v="2"/>
    <x v="0"/>
  </r>
  <r>
    <s v="ORD1499"/>
    <x v="67"/>
    <s v="Gujarat"/>
    <x v="1"/>
    <x v="1"/>
    <x v="14"/>
    <n v="2"/>
    <n v="3120.29"/>
    <n v="0.22"/>
    <n v="4867.6499999999996"/>
    <s v="UPI"/>
    <x v="2"/>
    <x v="0"/>
    <x v="0"/>
    <n v="6240.58"/>
    <x v="3"/>
    <x v="3"/>
    <x v="0"/>
  </r>
  <r>
    <s v="ORD1500"/>
    <x v="110"/>
    <s v="Maharashtra"/>
    <x v="3"/>
    <x v="1"/>
    <x v="14"/>
    <n v="5"/>
    <n v="1036.71"/>
    <n v="0.06"/>
    <n v="4872.54"/>
    <s v="Credit Card"/>
    <x v="2"/>
    <x v="2"/>
    <x v="3"/>
    <n v="5183.55"/>
    <x v="5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F202A-C602-4560-8852-776C61BB141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B26" firstHeaderRow="1" firstDataRow="1" firstDataCol="1"/>
  <pivotFields count="20">
    <pivotField showAll="0"/>
    <pivotField numFmtId="15" showAll="0">
      <items count="184">
        <item x="119"/>
        <item x="31"/>
        <item x="116"/>
        <item x="130"/>
        <item x="2"/>
        <item x="16"/>
        <item x="15"/>
        <item x="169"/>
        <item x="47"/>
        <item x="107"/>
        <item x="86"/>
        <item x="134"/>
        <item x="90"/>
        <item x="64"/>
        <item x="160"/>
        <item x="53"/>
        <item x="12"/>
        <item x="105"/>
        <item x="17"/>
        <item x="8"/>
        <item x="123"/>
        <item x="1"/>
        <item x="117"/>
        <item x="145"/>
        <item x="51"/>
        <item x="151"/>
        <item x="103"/>
        <item x="7"/>
        <item x="176"/>
        <item x="108"/>
        <item x="38"/>
        <item x="34"/>
        <item x="139"/>
        <item x="79"/>
        <item x="122"/>
        <item x="159"/>
        <item x="156"/>
        <item x="63"/>
        <item x="23"/>
        <item x="140"/>
        <item x="73"/>
        <item x="39"/>
        <item x="18"/>
        <item x="6"/>
        <item x="66"/>
        <item x="19"/>
        <item x="133"/>
        <item x="5"/>
        <item x="115"/>
        <item x="180"/>
        <item x="171"/>
        <item x="46"/>
        <item x="81"/>
        <item x="4"/>
        <item x="28"/>
        <item x="165"/>
        <item x="55"/>
        <item x="125"/>
        <item x="172"/>
        <item x="132"/>
        <item x="142"/>
        <item x="88"/>
        <item x="83"/>
        <item x="179"/>
        <item x="148"/>
        <item x="41"/>
        <item x="37"/>
        <item x="173"/>
        <item x="72"/>
        <item x="43"/>
        <item x="61"/>
        <item x="71"/>
        <item x="126"/>
        <item x="42"/>
        <item x="112"/>
        <item x="164"/>
        <item x="96"/>
        <item x="89"/>
        <item x="157"/>
        <item x="155"/>
        <item x="178"/>
        <item x="14"/>
        <item x="36"/>
        <item x="101"/>
        <item x="118"/>
        <item x="143"/>
        <item x="161"/>
        <item x="27"/>
        <item x="69"/>
        <item x="49"/>
        <item x="113"/>
        <item x="153"/>
        <item x="137"/>
        <item x="163"/>
        <item x="129"/>
        <item x="104"/>
        <item x="95"/>
        <item x="121"/>
        <item x="20"/>
        <item x="149"/>
        <item x="144"/>
        <item x="170"/>
        <item x="114"/>
        <item x="80"/>
        <item x="50"/>
        <item x="11"/>
        <item x="138"/>
        <item x="54"/>
        <item x="22"/>
        <item x="98"/>
        <item x="92"/>
        <item x="152"/>
        <item x="62"/>
        <item x="100"/>
        <item x="13"/>
        <item x="111"/>
        <item x="21"/>
        <item x="45"/>
        <item x="78"/>
        <item x="181"/>
        <item x="58"/>
        <item x="109"/>
        <item x="57"/>
        <item x="70"/>
        <item x="0"/>
        <item x="77"/>
        <item x="25"/>
        <item x="94"/>
        <item x="65"/>
        <item x="150"/>
        <item x="74"/>
        <item x="9"/>
        <item x="76"/>
        <item x="82"/>
        <item x="175"/>
        <item x="35"/>
        <item x="26"/>
        <item x="146"/>
        <item x="141"/>
        <item x="24"/>
        <item x="120"/>
        <item x="48"/>
        <item x="135"/>
        <item x="3"/>
        <item x="97"/>
        <item x="99"/>
        <item x="106"/>
        <item x="32"/>
        <item x="40"/>
        <item x="85"/>
        <item x="67"/>
        <item x="127"/>
        <item x="154"/>
        <item x="110"/>
        <item x="177"/>
        <item x="158"/>
        <item x="33"/>
        <item x="29"/>
        <item x="136"/>
        <item x="87"/>
        <item x="182"/>
        <item x="56"/>
        <item x="162"/>
        <item x="84"/>
        <item x="44"/>
        <item x="166"/>
        <item x="68"/>
        <item x="60"/>
        <item x="30"/>
        <item x="124"/>
        <item x="93"/>
        <item x="59"/>
        <item x="168"/>
        <item x="10"/>
        <item x="102"/>
        <item x="147"/>
        <item x="174"/>
        <item x="91"/>
        <item x="128"/>
        <item x="52"/>
        <item x="131"/>
        <item x="75"/>
        <item x="1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otal Price (?)" fld="9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B73E7C-901A-41A9-8263-63EFF13BF02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3:P24" firstHeaderRow="1" firstDataRow="1" firstDataCol="1"/>
  <pivotFields count="20">
    <pivotField showAll="0"/>
    <pivotField numFmtId="15" showAll="0">
      <items count="184">
        <item x="119"/>
        <item x="31"/>
        <item x="116"/>
        <item x="130"/>
        <item x="2"/>
        <item x="16"/>
        <item x="15"/>
        <item x="169"/>
        <item x="47"/>
        <item x="107"/>
        <item x="86"/>
        <item x="134"/>
        <item x="90"/>
        <item x="64"/>
        <item x="160"/>
        <item x="53"/>
        <item x="12"/>
        <item x="105"/>
        <item x="17"/>
        <item x="8"/>
        <item x="123"/>
        <item x="1"/>
        <item x="117"/>
        <item x="145"/>
        <item x="51"/>
        <item x="151"/>
        <item x="103"/>
        <item x="7"/>
        <item x="176"/>
        <item x="108"/>
        <item x="38"/>
        <item x="34"/>
        <item x="139"/>
        <item x="79"/>
        <item x="122"/>
        <item x="159"/>
        <item x="156"/>
        <item x="63"/>
        <item x="23"/>
        <item x="140"/>
        <item x="73"/>
        <item x="39"/>
        <item x="18"/>
        <item x="6"/>
        <item x="66"/>
        <item x="19"/>
        <item x="133"/>
        <item x="5"/>
        <item x="115"/>
        <item x="180"/>
        <item x="171"/>
        <item x="46"/>
        <item x="81"/>
        <item x="4"/>
        <item x="28"/>
        <item x="165"/>
        <item x="55"/>
        <item x="125"/>
        <item x="172"/>
        <item x="132"/>
        <item x="142"/>
        <item x="88"/>
        <item x="83"/>
        <item x="179"/>
        <item x="148"/>
        <item x="41"/>
        <item x="37"/>
        <item x="173"/>
        <item x="72"/>
        <item x="43"/>
        <item x="61"/>
        <item x="71"/>
        <item x="126"/>
        <item x="42"/>
        <item x="112"/>
        <item x="164"/>
        <item x="96"/>
        <item x="89"/>
        <item x="157"/>
        <item x="155"/>
        <item x="178"/>
        <item x="14"/>
        <item x="36"/>
        <item x="101"/>
        <item x="118"/>
        <item x="143"/>
        <item x="161"/>
        <item x="27"/>
        <item x="69"/>
        <item x="49"/>
        <item x="113"/>
        <item x="153"/>
        <item x="137"/>
        <item x="163"/>
        <item x="129"/>
        <item x="104"/>
        <item x="95"/>
        <item x="121"/>
        <item x="20"/>
        <item x="149"/>
        <item x="144"/>
        <item x="170"/>
        <item x="114"/>
        <item x="80"/>
        <item x="50"/>
        <item x="11"/>
        <item x="138"/>
        <item x="54"/>
        <item x="22"/>
        <item x="98"/>
        <item x="92"/>
        <item x="152"/>
        <item x="62"/>
        <item x="100"/>
        <item x="13"/>
        <item x="111"/>
        <item x="21"/>
        <item x="45"/>
        <item x="78"/>
        <item x="181"/>
        <item x="58"/>
        <item x="109"/>
        <item x="57"/>
        <item x="70"/>
        <item x="0"/>
        <item x="77"/>
        <item x="25"/>
        <item x="94"/>
        <item x="65"/>
        <item x="150"/>
        <item x="74"/>
        <item x="9"/>
        <item x="76"/>
        <item x="82"/>
        <item x="175"/>
        <item x="35"/>
        <item x="26"/>
        <item x="146"/>
        <item x="141"/>
        <item x="24"/>
        <item x="120"/>
        <item x="48"/>
        <item x="135"/>
        <item x="3"/>
        <item x="97"/>
        <item x="99"/>
        <item x="106"/>
        <item x="32"/>
        <item x="40"/>
        <item x="85"/>
        <item x="67"/>
        <item x="127"/>
        <item x="154"/>
        <item x="110"/>
        <item x="177"/>
        <item x="158"/>
        <item x="33"/>
        <item x="29"/>
        <item x="136"/>
        <item x="87"/>
        <item x="182"/>
        <item x="56"/>
        <item x="162"/>
        <item x="84"/>
        <item x="44"/>
        <item x="166"/>
        <item x="68"/>
        <item x="60"/>
        <item x="30"/>
        <item x="124"/>
        <item x="93"/>
        <item x="59"/>
        <item x="168"/>
        <item x="10"/>
        <item x="102"/>
        <item x="147"/>
        <item x="174"/>
        <item x="91"/>
        <item x="128"/>
        <item x="52"/>
        <item x="131"/>
        <item x="75"/>
        <item x="167"/>
        <item t="default"/>
      </items>
    </pivotField>
    <pivotField showAll="0"/>
    <pivotField showAll="0"/>
    <pivotField showAll="0"/>
    <pivotField axis="axisRow" showAll="0" sortType="descending">
      <items count="21">
        <item x="5"/>
        <item x="14"/>
        <item x="6"/>
        <item x="17"/>
        <item x="9"/>
        <item x="2"/>
        <item x="15"/>
        <item x="12"/>
        <item x="19"/>
        <item x="4"/>
        <item x="1"/>
        <item x="7"/>
        <item x="10"/>
        <item x="13"/>
        <item x="0"/>
        <item x="3"/>
        <item x="16"/>
        <item x="18"/>
        <item x="11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21">
    <i>
      <x/>
    </i>
    <i>
      <x v="16"/>
    </i>
    <i>
      <x v="3"/>
    </i>
    <i>
      <x v="5"/>
    </i>
    <i>
      <x v="18"/>
    </i>
    <i>
      <x v="8"/>
    </i>
    <i>
      <x v="10"/>
    </i>
    <i>
      <x v="1"/>
    </i>
    <i>
      <x v="19"/>
    </i>
    <i>
      <x v="9"/>
    </i>
    <i>
      <x v="13"/>
    </i>
    <i>
      <x v="15"/>
    </i>
    <i>
      <x v="4"/>
    </i>
    <i>
      <x v="14"/>
    </i>
    <i>
      <x v="12"/>
    </i>
    <i>
      <x v="7"/>
    </i>
    <i>
      <x v="17"/>
    </i>
    <i>
      <x v="2"/>
    </i>
    <i>
      <x v="11"/>
    </i>
    <i>
      <x v="6"/>
    </i>
    <i t="grand">
      <x/>
    </i>
  </rowItems>
  <colItems count="1">
    <i/>
  </colItems>
  <dataFields count="1">
    <dataField name="Sum of Total Price (?)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8B790D-A61B-4D5D-A321-351B11F1B4A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3:E9" firstHeaderRow="1" firstDataRow="1" firstDataCol="1"/>
  <pivotFields count="20">
    <pivotField showAll="0"/>
    <pivotField numFmtId="15" showAll="0">
      <items count="184">
        <item x="119"/>
        <item x="31"/>
        <item x="116"/>
        <item x="130"/>
        <item x="2"/>
        <item x="16"/>
        <item x="15"/>
        <item x="169"/>
        <item x="47"/>
        <item x="107"/>
        <item x="86"/>
        <item x="134"/>
        <item x="90"/>
        <item x="64"/>
        <item x="160"/>
        <item x="53"/>
        <item x="12"/>
        <item x="105"/>
        <item x="17"/>
        <item x="8"/>
        <item x="123"/>
        <item x="1"/>
        <item x="117"/>
        <item x="145"/>
        <item x="51"/>
        <item x="151"/>
        <item x="103"/>
        <item x="7"/>
        <item x="176"/>
        <item x="108"/>
        <item x="38"/>
        <item x="34"/>
        <item x="139"/>
        <item x="79"/>
        <item x="122"/>
        <item x="159"/>
        <item x="156"/>
        <item x="63"/>
        <item x="23"/>
        <item x="140"/>
        <item x="73"/>
        <item x="39"/>
        <item x="18"/>
        <item x="6"/>
        <item x="66"/>
        <item x="19"/>
        <item x="133"/>
        <item x="5"/>
        <item x="115"/>
        <item x="180"/>
        <item x="171"/>
        <item x="46"/>
        <item x="81"/>
        <item x="4"/>
        <item x="28"/>
        <item x="165"/>
        <item x="55"/>
        <item x="125"/>
        <item x="172"/>
        <item x="132"/>
        <item x="142"/>
        <item x="88"/>
        <item x="83"/>
        <item x="179"/>
        <item x="148"/>
        <item x="41"/>
        <item x="37"/>
        <item x="173"/>
        <item x="72"/>
        <item x="43"/>
        <item x="61"/>
        <item x="71"/>
        <item x="126"/>
        <item x="42"/>
        <item x="112"/>
        <item x="164"/>
        <item x="96"/>
        <item x="89"/>
        <item x="157"/>
        <item x="155"/>
        <item x="178"/>
        <item x="14"/>
        <item x="36"/>
        <item x="101"/>
        <item x="118"/>
        <item x="143"/>
        <item x="161"/>
        <item x="27"/>
        <item x="69"/>
        <item x="49"/>
        <item x="113"/>
        <item x="153"/>
        <item x="137"/>
        <item x="163"/>
        <item x="129"/>
        <item x="104"/>
        <item x="95"/>
        <item x="121"/>
        <item x="20"/>
        <item x="149"/>
        <item x="144"/>
        <item x="170"/>
        <item x="114"/>
        <item x="80"/>
        <item x="50"/>
        <item x="11"/>
        <item x="138"/>
        <item x="54"/>
        <item x="22"/>
        <item x="98"/>
        <item x="92"/>
        <item x="152"/>
        <item x="62"/>
        <item x="100"/>
        <item x="13"/>
        <item x="111"/>
        <item x="21"/>
        <item x="45"/>
        <item x="78"/>
        <item x="181"/>
        <item x="58"/>
        <item x="109"/>
        <item x="57"/>
        <item x="70"/>
        <item x="0"/>
        <item x="77"/>
        <item x="25"/>
        <item x="94"/>
        <item x="65"/>
        <item x="150"/>
        <item x="74"/>
        <item x="9"/>
        <item x="76"/>
        <item x="82"/>
        <item x="175"/>
        <item x="35"/>
        <item x="26"/>
        <item x="146"/>
        <item x="141"/>
        <item x="24"/>
        <item x="120"/>
        <item x="48"/>
        <item x="135"/>
        <item x="3"/>
        <item x="97"/>
        <item x="99"/>
        <item x="106"/>
        <item x="32"/>
        <item x="40"/>
        <item x="85"/>
        <item x="67"/>
        <item x="127"/>
        <item x="154"/>
        <item x="110"/>
        <item x="177"/>
        <item x="158"/>
        <item x="33"/>
        <item x="29"/>
        <item x="136"/>
        <item x="87"/>
        <item x="182"/>
        <item x="56"/>
        <item x="162"/>
        <item x="84"/>
        <item x="44"/>
        <item x="166"/>
        <item x="68"/>
        <item x="60"/>
        <item x="30"/>
        <item x="124"/>
        <item x="93"/>
        <item x="59"/>
        <item x="168"/>
        <item x="10"/>
        <item x="102"/>
        <item x="147"/>
        <item x="174"/>
        <item x="91"/>
        <item x="128"/>
        <item x="52"/>
        <item x="131"/>
        <item x="75"/>
        <item x="167"/>
        <item t="default"/>
      </items>
    </pivotField>
    <pivotField showAll="0"/>
    <pivotField showAll="0"/>
    <pivotField axis="axisRow" showAll="0" sortType="descending">
      <items count="6">
        <item x="2"/>
        <item x="3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 v="4"/>
    </i>
    <i>
      <x v="2"/>
    </i>
    <i>
      <x v="3"/>
    </i>
    <i>
      <x/>
    </i>
    <i>
      <x v="1"/>
    </i>
    <i t="grand">
      <x/>
    </i>
  </rowItems>
  <colItems count="1">
    <i/>
  </colItems>
  <dataFields count="1">
    <dataField name="Sum of Total Price (?)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D1B568-DFA7-4D1B-B55C-62A6E9474EF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2:E28" firstHeaderRow="1" firstDataRow="1" firstDataCol="1"/>
  <pivotFields count="20">
    <pivotField showAll="0"/>
    <pivotField numFmtId="15" showAll="0">
      <items count="184">
        <item x="119"/>
        <item x="31"/>
        <item x="116"/>
        <item x="130"/>
        <item x="2"/>
        <item x="16"/>
        <item x="15"/>
        <item x="169"/>
        <item x="47"/>
        <item x="107"/>
        <item x="86"/>
        <item x="134"/>
        <item x="90"/>
        <item x="64"/>
        <item x="160"/>
        <item x="53"/>
        <item x="12"/>
        <item x="105"/>
        <item x="17"/>
        <item x="8"/>
        <item x="123"/>
        <item x="1"/>
        <item x="117"/>
        <item x="145"/>
        <item x="51"/>
        <item x="151"/>
        <item x="103"/>
        <item x="7"/>
        <item x="176"/>
        <item x="108"/>
        <item x="38"/>
        <item x="34"/>
        <item x="139"/>
        <item x="79"/>
        <item x="122"/>
        <item x="159"/>
        <item x="156"/>
        <item x="63"/>
        <item x="23"/>
        <item x="140"/>
        <item x="73"/>
        <item x="39"/>
        <item x="18"/>
        <item x="6"/>
        <item x="66"/>
        <item x="19"/>
        <item x="133"/>
        <item x="5"/>
        <item x="115"/>
        <item x="180"/>
        <item x="171"/>
        <item x="46"/>
        <item x="81"/>
        <item x="4"/>
        <item x="28"/>
        <item x="165"/>
        <item x="55"/>
        <item x="125"/>
        <item x="172"/>
        <item x="132"/>
        <item x="142"/>
        <item x="88"/>
        <item x="83"/>
        <item x="179"/>
        <item x="148"/>
        <item x="41"/>
        <item x="37"/>
        <item x="173"/>
        <item x="72"/>
        <item x="43"/>
        <item x="61"/>
        <item x="71"/>
        <item x="126"/>
        <item x="42"/>
        <item x="112"/>
        <item x="164"/>
        <item x="96"/>
        <item x="89"/>
        <item x="157"/>
        <item x="155"/>
        <item x="178"/>
        <item x="14"/>
        <item x="36"/>
        <item x="101"/>
        <item x="118"/>
        <item x="143"/>
        <item x="161"/>
        <item x="27"/>
        <item x="69"/>
        <item x="49"/>
        <item x="113"/>
        <item x="153"/>
        <item x="137"/>
        <item x="163"/>
        <item x="129"/>
        <item x="104"/>
        <item x="95"/>
        <item x="121"/>
        <item x="20"/>
        <item x="149"/>
        <item x="144"/>
        <item x="170"/>
        <item x="114"/>
        <item x="80"/>
        <item x="50"/>
        <item x="11"/>
        <item x="138"/>
        <item x="54"/>
        <item x="22"/>
        <item x="98"/>
        <item x="92"/>
        <item x="152"/>
        <item x="62"/>
        <item x="100"/>
        <item x="13"/>
        <item x="111"/>
        <item x="21"/>
        <item x="45"/>
        <item x="78"/>
        <item x="181"/>
        <item x="58"/>
        <item x="109"/>
        <item x="57"/>
        <item x="70"/>
        <item x="0"/>
        <item x="77"/>
        <item x="25"/>
        <item x="94"/>
        <item x="65"/>
        <item x="150"/>
        <item x="74"/>
        <item x="9"/>
        <item x="76"/>
        <item x="82"/>
        <item x="175"/>
        <item x="35"/>
        <item x="26"/>
        <item x="146"/>
        <item x="141"/>
        <item x="24"/>
        <item x="120"/>
        <item x="48"/>
        <item x="135"/>
        <item x="3"/>
        <item x="97"/>
        <item x="99"/>
        <item x="106"/>
        <item x="32"/>
        <item x="40"/>
        <item x="85"/>
        <item x="67"/>
        <item x="127"/>
        <item x="154"/>
        <item x="110"/>
        <item x="177"/>
        <item x="158"/>
        <item x="33"/>
        <item x="29"/>
        <item x="136"/>
        <item x="87"/>
        <item x="182"/>
        <item x="56"/>
        <item x="162"/>
        <item x="84"/>
        <item x="44"/>
        <item x="166"/>
        <item x="68"/>
        <item x="60"/>
        <item x="30"/>
        <item x="124"/>
        <item x="93"/>
        <item x="59"/>
        <item x="168"/>
        <item x="10"/>
        <item x="102"/>
        <item x="147"/>
        <item x="174"/>
        <item x="91"/>
        <item x="128"/>
        <item x="52"/>
        <item x="131"/>
        <item x="75"/>
        <item x="167"/>
        <item t="default"/>
      </items>
    </pivotField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Discount Rate" fld="8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6D363-013C-424D-B92F-67F7F5E02C0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O8" firstHeaderRow="1" firstDataRow="2" firstDataCol="1"/>
  <pivotFields count="20">
    <pivotField dataField="1" showAll="0"/>
    <pivotField numFmtId="15" showAll="0">
      <items count="184">
        <item x="119"/>
        <item x="31"/>
        <item x="116"/>
        <item x="130"/>
        <item x="2"/>
        <item x="16"/>
        <item x="15"/>
        <item x="169"/>
        <item x="47"/>
        <item x="107"/>
        <item x="86"/>
        <item x="134"/>
        <item x="90"/>
        <item x="64"/>
        <item x="160"/>
        <item x="53"/>
        <item x="12"/>
        <item x="105"/>
        <item x="17"/>
        <item x="8"/>
        <item x="123"/>
        <item x="1"/>
        <item x="117"/>
        <item x="145"/>
        <item x="51"/>
        <item x="151"/>
        <item x="103"/>
        <item x="7"/>
        <item x="176"/>
        <item x="108"/>
        <item x="38"/>
        <item x="34"/>
        <item x="139"/>
        <item x="79"/>
        <item x="122"/>
        <item x="159"/>
        <item x="156"/>
        <item x="63"/>
        <item x="23"/>
        <item x="140"/>
        <item x="73"/>
        <item x="39"/>
        <item x="18"/>
        <item x="6"/>
        <item x="66"/>
        <item x="19"/>
        <item x="133"/>
        <item x="5"/>
        <item x="115"/>
        <item x="180"/>
        <item x="171"/>
        <item x="46"/>
        <item x="81"/>
        <item x="4"/>
        <item x="28"/>
        <item x="165"/>
        <item x="55"/>
        <item x="125"/>
        <item x="172"/>
        <item x="132"/>
        <item x="142"/>
        <item x="88"/>
        <item x="83"/>
        <item x="179"/>
        <item x="148"/>
        <item x="41"/>
        <item x="37"/>
        <item x="173"/>
        <item x="72"/>
        <item x="43"/>
        <item x="61"/>
        <item x="71"/>
        <item x="126"/>
        <item x="42"/>
        <item x="112"/>
        <item x="164"/>
        <item x="96"/>
        <item x="89"/>
        <item x="157"/>
        <item x="155"/>
        <item x="178"/>
        <item x="14"/>
        <item x="36"/>
        <item x="101"/>
        <item x="118"/>
        <item x="143"/>
        <item x="161"/>
        <item x="27"/>
        <item x="69"/>
        <item x="49"/>
        <item x="113"/>
        <item x="153"/>
        <item x="137"/>
        <item x="163"/>
        <item x="129"/>
        <item x="104"/>
        <item x="95"/>
        <item x="121"/>
        <item x="20"/>
        <item x="149"/>
        <item x="144"/>
        <item x="170"/>
        <item x="114"/>
        <item x="80"/>
        <item x="50"/>
        <item x="11"/>
        <item x="138"/>
        <item x="54"/>
        <item x="22"/>
        <item x="98"/>
        <item x="92"/>
        <item x="152"/>
        <item x="62"/>
        <item x="100"/>
        <item x="13"/>
        <item x="111"/>
        <item x="21"/>
        <item x="45"/>
        <item x="78"/>
        <item x="181"/>
        <item x="58"/>
        <item x="109"/>
        <item x="57"/>
        <item x="70"/>
        <item x="0"/>
        <item x="77"/>
        <item x="25"/>
        <item x="94"/>
        <item x="65"/>
        <item x="150"/>
        <item x="74"/>
        <item x="9"/>
        <item x="76"/>
        <item x="82"/>
        <item x="175"/>
        <item x="35"/>
        <item x="26"/>
        <item x="146"/>
        <item x="141"/>
        <item x="24"/>
        <item x="120"/>
        <item x="48"/>
        <item x="135"/>
        <item x="3"/>
        <item x="97"/>
        <item x="99"/>
        <item x="106"/>
        <item x="32"/>
        <item x="40"/>
        <item x="85"/>
        <item x="67"/>
        <item x="127"/>
        <item x="154"/>
        <item x="110"/>
        <item x="177"/>
        <item x="158"/>
        <item x="33"/>
        <item x="29"/>
        <item x="136"/>
        <item x="87"/>
        <item x="182"/>
        <item x="56"/>
        <item x="162"/>
        <item x="84"/>
        <item x="44"/>
        <item x="166"/>
        <item x="68"/>
        <item x="60"/>
        <item x="30"/>
        <item x="124"/>
        <item x="93"/>
        <item x="59"/>
        <item x="168"/>
        <item x="10"/>
        <item x="102"/>
        <item x="147"/>
        <item x="174"/>
        <item x="91"/>
        <item x="128"/>
        <item x="52"/>
        <item x="131"/>
        <item x="75"/>
        <item x="1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Col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14825-F961-47FE-901A-0B820CCBE22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H8" firstHeaderRow="1" firstDataRow="2" firstDataCol="1"/>
  <pivotFields count="20">
    <pivotField dataField="1" showAll="0"/>
    <pivotField numFmtId="15" showAll="0">
      <items count="184">
        <item x="119"/>
        <item x="31"/>
        <item x="116"/>
        <item x="130"/>
        <item x="2"/>
        <item x="16"/>
        <item x="15"/>
        <item x="169"/>
        <item x="47"/>
        <item x="107"/>
        <item x="86"/>
        <item x="134"/>
        <item x="90"/>
        <item x="64"/>
        <item x="160"/>
        <item x="53"/>
        <item x="12"/>
        <item x="105"/>
        <item x="17"/>
        <item x="8"/>
        <item x="123"/>
        <item x="1"/>
        <item x="117"/>
        <item x="145"/>
        <item x="51"/>
        <item x="151"/>
        <item x="103"/>
        <item x="7"/>
        <item x="176"/>
        <item x="108"/>
        <item x="38"/>
        <item x="34"/>
        <item x="139"/>
        <item x="79"/>
        <item x="122"/>
        <item x="159"/>
        <item x="156"/>
        <item x="63"/>
        <item x="23"/>
        <item x="140"/>
        <item x="73"/>
        <item x="39"/>
        <item x="18"/>
        <item x="6"/>
        <item x="66"/>
        <item x="19"/>
        <item x="133"/>
        <item x="5"/>
        <item x="115"/>
        <item x="180"/>
        <item x="171"/>
        <item x="46"/>
        <item x="81"/>
        <item x="4"/>
        <item x="28"/>
        <item x="165"/>
        <item x="55"/>
        <item x="125"/>
        <item x="172"/>
        <item x="132"/>
        <item x="142"/>
        <item x="88"/>
        <item x="83"/>
        <item x="179"/>
        <item x="148"/>
        <item x="41"/>
        <item x="37"/>
        <item x="173"/>
        <item x="72"/>
        <item x="43"/>
        <item x="61"/>
        <item x="71"/>
        <item x="126"/>
        <item x="42"/>
        <item x="112"/>
        <item x="164"/>
        <item x="96"/>
        <item x="89"/>
        <item x="157"/>
        <item x="155"/>
        <item x="178"/>
        <item x="14"/>
        <item x="36"/>
        <item x="101"/>
        <item x="118"/>
        <item x="143"/>
        <item x="161"/>
        <item x="27"/>
        <item x="69"/>
        <item x="49"/>
        <item x="113"/>
        <item x="153"/>
        <item x="137"/>
        <item x="163"/>
        <item x="129"/>
        <item x="104"/>
        <item x="95"/>
        <item x="121"/>
        <item x="20"/>
        <item x="149"/>
        <item x="144"/>
        <item x="170"/>
        <item x="114"/>
        <item x="80"/>
        <item x="50"/>
        <item x="11"/>
        <item x="138"/>
        <item x="54"/>
        <item x="22"/>
        <item x="98"/>
        <item x="92"/>
        <item x="152"/>
        <item x="62"/>
        <item x="100"/>
        <item x="13"/>
        <item x="111"/>
        <item x="21"/>
        <item x="45"/>
        <item x="78"/>
        <item x="181"/>
        <item x="58"/>
        <item x="109"/>
        <item x="57"/>
        <item x="70"/>
        <item x="0"/>
        <item x="77"/>
        <item x="25"/>
        <item x="94"/>
        <item x="65"/>
        <item x="150"/>
        <item x="74"/>
        <item x="9"/>
        <item x="76"/>
        <item x="82"/>
        <item x="175"/>
        <item x="35"/>
        <item x="26"/>
        <item x="146"/>
        <item x="141"/>
        <item x="24"/>
        <item x="120"/>
        <item x="48"/>
        <item x="135"/>
        <item x="3"/>
        <item x="97"/>
        <item x="99"/>
        <item x="106"/>
        <item x="32"/>
        <item x="40"/>
        <item x="85"/>
        <item x="67"/>
        <item x="127"/>
        <item x="154"/>
        <item x="110"/>
        <item x="177"/>
        <item x="158"/>
        <item x="33"/>
        <item x="29"/>
        <item x="136"/>
        <item x="87"/>
        <item x="182"/>
        <item x="56"/>
        <item x="162"/>
        <item x="84"/>
        <item x="44"/>
        <item x="166"/>
        <item x="68"/>
        <item x="60"/>
        <item x="30"/>
        <item x="124"/>
        <item x="93"/>
        <item x="59"/>
        <item x="168"/>
        <item x="10"/>
        <item x="102"/>
        <item x="147"/>
        <item x="174"/>
        <item x="91"/>
        <item x="128"/>
        <item x="52"/>
        <item x="131"/>
        <item x="75"/>
        <item x="1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axis="axisCol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 ID" fld="0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8FC2D-935B-4A61-9F12-B3A2126DC99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2:G34" firstHeaderRow="1" firstDataRow="2" firstDataCol="1"/>
  <pivotFields count="20">
    <pivotField dataField="1" showAll="0"/>
    <pivotField numFmtId="15" showAll="0">
      <items count="184">
        <item x="119"/>
        <item x="31"/>
        <item x="116"/>
        <item x="130"/>
        <item x="2"/>
        <item x="16"/>
        <item x="15"/>
        <item x="169"/>
        <item x="47"/>
        <item x="107"/>
        <item x="86"/>
        <item x="134"/>
        <item x="90"/>
        <item x="64"/>
        <item x="160"/>
        <item x="53"/>
        <item x="12"/>
        <item x="105"/>
        <item x="17"/>
        <item x="8"/>
        <item x="123"/>
        <item x="1"/>
        <item x="117"/>
        <item x="145"/>
        <item x="51"/>
        <item x="151"/>
        <item x="103"/>
        <item x="7"/>
        <item x="176"/>
        <item x="108"/>
        <item x="38"/>
        <item x="34"/>
        <item x="139"/>
        <item x="79"/>
        <item x="122"/>
        <item x="159"/>
        <item x="156"/>
        <item x="63"/>
        <item x="23"/>
        <item x="140"/>
        <item x="73"/>
        <item x="39"/>
        <item x="18"/>
        <item x="6"/>
        <item x="66"/>
        <item x="19"/>
        <item x="133"/>
        <item x="5"/>
        <item x="115"/>
        <item x="180"/>
        <item x="171"/>
        <item x="46"/>
        <item x="81"/>
        <item x="4"/>
        <item x="28"/>
        <item x="165"/>
        <item x="55"/>
        <item x="125"/>
        <item x="172"/>
        <item x="132"/>
        <item x="142"/>
        <item x="88"/>
        <item x="83"/>
        <item x="179"/>
        <item x="148"/>
        <item x="41"/>
        <item x="37"/>
        <item x="173"/>
        <item x="72"/>
        <item x="43"/>
        <item x="61"/>
        <item x="71"/>
        <item x="126"/>
        <item x="42"/>
        <item x="112"/>
        <item x="164"/>
        <item x="96"/>
        <item x="89"/>
        <item x="157"/>
        <item x="155"/>
        <item x="178"/>
        <item x="14"/>
        <item x="36"/>
        <item x="101"/>
        <item x="118"/>
        <item x="143"/>
        <item x="161"/>
        <item x="27"/>
        <item x="69"/>
        <item x="49"/>
        <item x="113"/>
        <item x="153"/>
        <item x="137"/>
        <item x="163"/>
        <item x="129"/>
        <item x="104"/>
        <item x="95"/>
        <item x="121"/>
        <item x="20"/>
        <item x="149"/>
        <item x="144"/>
        <item x="170"/>
        <item x="114"/>
        <item x="80"/>
        <item x="50"/>
        <item x="11"/>
        <item x="138"/>
        <item x="54"/>
        <item x="22"/>
        <item x="98"/>
        <item x="92"/>
        <item x="152"/>
        <item x="62"/>
        <item x="100"/>
        <item x="13"/>
        <item x="111"/>
        <item x="21"/>
        <item x="45"/>
        <item x="78"/>
        <item x="181"/>
        <item x="58"/>
        <item x="109"/>
        <item x="57"/>
        <item x="70"/>
        <item x="0"/>
        <item x="77"/>
        <item x="25"/>
        <item x="94"/>
        <item x="65"/>
        <item x="150"/>
        <item x="74"/>
        <item x="9"/>
        <item x="76"/>
        <item x="82"/>
        <item x="175"/>
        <item x="35"/>
        <item x="26"/>
        <item x="146"/>
        <item x="141"/>
        <item x="24"/>
        <item x="120"/>
        <item x="48"/>
        <item x="135"/>
        <item x="3"/>
        <item x="97"/>
        <item x="99"/>
        <item x="106"/>
        <item x="32"/>
        <item x="40"/>
        <item x="85"/>
        <item x="67"/>
        <item x="127"/>
        <item x="154"/>
        <item x="110"/>
        <item x="177"/>
        <item x="158"/>
        <item x="33"/>
        <item x="29"/>
        <item x="136"/>
        <item x="87"/>
        <item x="182"/>
        <item x="56"/>
        <item x="162"/>
        <item x="84"/>
        <item x="44"/>
        <item x="166"/>
        <item x="68"/>
        <item x="60"/>
        <item x="30"/>
        <item x="124"/>
        <item x="93"/>
        <item x="59"/>
        <item x="168"/>
        <item x="10"/>
        <item x="102"/>
        <item x="147"/>
        <item x="174"/>
        <item x="91"/>
        <item x="128"/>
        <item x="52"/>
        <item x="131"/>
        <item x="75"/>
        <item x="167"/>
        <item t="default"/>
      </items>
    </pivotField>
    <pivotField showAll="0"/>
    <pivotField showAll="0"/>
    <pivotField showAll="0"/>
    <pivotField axis="axisRow" showAll="0">
      <items count="21">
        <item x="5"/>
        <item x="14"/>
        <item x="6"/>
        <item x="17"/>
        <item x="9"/>
        <item x="2"/>
        <item x="15"/>
        <item x="12"/>
        <item x="19"/>
        <item x="4"/>
        <item x="1"/>
        <item x="7"/>
        <item x="10"/>
        <item x="13"/>
        <item x="0"/>
        <item x="3"/>
        <item x="16"/>
        <item x="18"/>
        <item x="11"/>
        <item x="8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axis="axisCol" showAll="0">
      <items count="5">
        <item x="3"/>
        <item h="1" x="0"/>
        <item h="1" x="2"/>
        <item x="1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3"/>
  </colFields>
  <colItems count="3">
    <i>
      <x/>
    </i>
    <i>
      <x v="3"/>
    </i>
    <i t="grand">
      <x/>
    </i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383D7-9579-4A8A-B166-0CBD8E1B011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P14:Q40" firstHeaderRow="1" firstDataRow="1" firstDataCol="1"/>
  <pivotFields count="20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5" showAll="0">
      <items count="184">
        <item x="119"/>
        <item x="31"/>
        <item x="116"/>
        <item x="130"/>
        <item x="2"/>
        <item x="16"/>
        <item x="15"/>
        <item x="169"/>
        <item x="47"/>
        <item x="107"/>
        <item x="86"/>
        <item x="134"/>
        <item x="90"/>
        <item x="64"/>
        <item x="160"/>
        <item x="53"/>
        <item x="12"/>
        <item x="105"/>
        <item x="17"/>
        <item x="8"/>
        <item x="123"/>
        <item x="1"/>
        <item x="117"/>
        <item x="145"/>
        <item x="51"/>
        <item x="151"/>
        <item x="103"/>
        <item x="7"/>
        <item x="176"/>
        <item x="108"/>
        <item x="38"/>
        <item x="34"/>
        <item x="139"/>
        <item x="79"/>
        <item x="122"/>
        <item x="159"/>
        <item x="156"/>
        <item x="63"/>
        <item x="23"/>
        <item x="140"/>
        <item x="73"/>
        <item x="39"/>
        <item x="18"/>
        <item x="6"/>
        <item x="66"/>
        <item x="19"/>
        <item x="133"/>
        <item x="5"/>
        <item x="115"/>
        <item x="180"/>
        <item x="171"/>
        <item x="46"/>
        <item x="81"/>
        <item x="4"/>
        <item x="28"/>
        <item x="165"/>
        <item x="55"/>
        <item x="125"/>
        <item x="172"/>
        <item x="132"/>
        <item x="142"/>
        <item x="88"/>
        <item x="83"/>
        <item x="179"/>
        <item x="148"/>
        <item x="41"/>
        <item x="37"/>
        <item x="173"/>
        <item x="72"/>
        <item x="43"/>
        <item x="61"/>
        <item x="71"/>
        <item x="126"/>
        <item x="42"/>
        <item x="112"/>
        <item x="164"/>
        <item x="96"/>
        <item x="89"/>
        <item x="157"/>
        <item x="155"/>
        <item x="178"/>
        <item x="14"/>
        <item x="36"/>
        <item x="101"/>
        <item x="118"/>
        <item x="143"/>
        <item x="161"/>
        <item x="27"/>
        <item x="69"/>
        <item x="49"/>
        <item x="113"/>
        <item x="153"/>
        <item x="137"/>
        <item x="163"/>
        <item x="129"/>
        <item x="104"/>
        <item x="95"/>
        <item x="121"/>
        <item x="20"/>
        <item x="149"/>
        <item x="144"/>
        <item x="170"/>
        <item x="114"/>
        <item x="80"/>
        <item x="50"/>
        <item x="11"/>
        <item x="138"/>
        <item x="54"/>
        <item x="22"/>
        <item x="98"/>
        <item x="92"/>
        <item x="152"/>
        <item x="62"/>
        <item x="100"/>
        <item x="13"/>
        <item x="111"/>
        <item x="21"/>
        <item x="45"/>
        <item x="78"/>
        <item x="181"/>
        <item x="58"/>
        <item x="109"/>
        <item x="57"/>
        <item x="70"/>
        <item x="0"/>
        <item x="77"/>
        <item x="25"/>
        <item x="94"/>
        <item x="65"/>
        <item x="150"/>
        <item x="74"/>
        <item x="9"/>
        <item x="76"/>
        <item x="82"/>
        <item x="175"/>
        <item x="35"/>
        <item x="26"/>
        <item x="146"/>
        <item x="141"/>
        <item x="24"/>
        <item x="120"/>
        <item x="48"/>
        <item x="135"/>
        <item x="3"/>
        <item x="97"/>
        <item x="99"/>
        <item x="106"/>
        <item x="32"/>
        <item x="40"/>
        <item x="85"/>
        <item x="67"/>
        <item x="127"/>
        <item x="154"/>
        <item x="110"/>
        <item x="177"/>
        <item x="158"/>
        <item x="33"/>
        <item x="29"/>
        <item x="136"/>
        <item x="87"/>
        <item x="182"/>
        <item x="56"/>
        <item x="162"/>
        <item x="84"/>
        <item x="44"/>
        <item x="166"/>
        <item x="68"/>
        <item x="60"/>
        <item x="30"/>
        <item x="124"/>
        <item x="93"/>
        <item x="59"/>
        <item x="168"/>
        <item x="10"/>
        <item x="102"/>
        <item x="147"/>
        <item x="174"/>
        <item x="91"/>
        <item x="128"/>
        <item x="52"/>
        <item x="131"/>
        <item x="75"/>
        <item x="1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5">
        <item x="2"/>
        <item x="1"/>
        <item x="3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sortType="descending">
      <items count="6">
        <item x="2"/>
        <item x="3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items count="8">
        <item x="3"/>
        <item x="2"/>
        <item x="0"/>
        <item x="5"/>
        <item x="1"/>
        <item x="4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items count="8">
        <item x="1"/>
        <item x="2"/>
        <item x="5"/>
        <item x="4"/>
        <item x="0"/>
        <item x="3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3"/>
  </rowFields>
  <rowItems count="26">
    <i>
      <x v="1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Quantity" fld="6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8F546-997B-4DF9-A3D2-6CEC2F86714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T3:U6" firstHeaderRow="1" firstDataRow="1" firstDataCol="1"/>
  <pivotFields count="20">
    <pivotField dataField="1" showAll="0"/>
    <pivotField numFmtId="15" showAll="0">
      <items count="184">
        <item x="119"/>
        <item x="31"/>
        <item x="116"/>
        <item x="130"/>
        <item x="2"/>
        <item x="16"/>
        <item x="15"/>
        <item x="169"/>
        <item x="47"/>
        <item x="107"/>
        <item x="86"/>
        <item x="134"/>
        <item x="90"/>
        <item x="64"/>
        <item x="160"/>
        <item x="53"/>
        <item x="12"/>
        <item x="105"/>
        <item x="17"/>
        <item x="8"/>
        <item x="123"/>
        <item x="1"/>
        <item x="117"/>
        <item x="145"/>
        <item x="51"/>
        <item x="151"/>
        <item x="103"/>
        <item x="7"/>
        <item x="176"/>
        <item x="108"/>
        <item x="38"/>
        <item x="34"/>
        <item x="139"/>
        <item x="79"/>
        <item x="122"/>
        <item x="159"/>
        <item x="156"/>
        <item x="63"/>
        <item x="23"/>
        <item x="140"/>
        <item x="73"/>
        <item x="39"/>
        <item x="18"/>
        <item x="6"/>
        <item x="66"/>
        <item x="19"/>
        <item x="133"/>
        <item x="5"/>
        <item x="115"/>
        <item x="180"/>
        <item x="171"/>
        <item x="46"/>
        <item x="81"/>
        <item x="4"/>
        <item x="28"/>
        <item x="165"/>
        <item x="55"/>
        <item x="125"/>
        <item x="172"/>
        <item x="132"/>
        <item x="142"/>
        <item x="88"/>
        <item x="83"/>
        <item x="179"/>
        <item x="148"/>
        <item x="41"/>
        <item x="37"/>
        <item x="173"/>
        <item x="72"/>
        <item x="43"/>
        <item x="61"/>
        <item x="71"/>
        <item x="126"/>
        <item x="42"/>
        <item x="112"/>
        <item x="164"/>
        <item x="96"/>
        <item x="89"/>
        <item x="157"/>
        <item x="155"/>
        <item x="178"/>
        <item x="14"/>
        <item x="36"/>
        <item x="101"/>
        <item x="118"/>
        <item x="143"/>
        <item x="161"/>
        <item x="27"/>
        <item x="69"/>
        <item x="49"/>
        <item x="113"/>
        <item x="153"/>
        <item x="137"/>
        <item x="163"/>
        <item x="129"/>
        <item x="104"/>
        <item x="95"/>
        <item x="121"/>
        <item x="20"/>
        <item x="149"/>
        <item x="144"/>
        <item x="170"/>
        <item x="114"/>
        <item x="80"/>
        <item x="50"/>
        <item x="11"/>
        <item x="138"/>
        <item x="54"/>
        <item x="22"/>
        <item x="98"/>
        <item x="92"/>
        <item x="152"/>
        <item x="62"/>
        <item x="100"/>
        <item x="13"/>
        <item x="111"/>
        <item x="21"/>
        <item x="45"/>
        <item x="78"/>
        <item x="181"/>
        <item x="58"/>
        <item x="109"/>
        <item x="57"/>
        <item x="70"/>
        <item x="0"/>
        <item x="77"/>
        <item x="25"/>
        <item x="94"/>
        <item x="65"/>
        <item x="150"/>
        <item x="74"/>
        <item x="9"/>
        <item x="76"/>
        <item x="82"/>
        <item x="175"/>
        <item x="35"/>
        <item x="26"/>
        <item x="146"/>
        <item x="141"/>
        <item x="24"/>
        <item x="120"/>
        <item x="48"/>
        <item x="135"/>
        <item x="3"/>
        <item x="97"/>
        <item x="99"/>
        <item x="106"/>
        <item x="32"/>
        <item x="40"/>
        <item x="85"/>
        <item x="67"/>
        <item x="127"/>
        <item x="154"/>
        <item x="110"/>
        <item x="177"/>
        <item x="158"/>
        <item x="33"/>
        <item x="29"/>
        <item x="136"/>
        <item x="87"/>
        <item x="182"/>
        <item x="56"/>
        <item x="162"/>
        <item x="84"/>
        <item x="44"/>
        <item x="166"/>
        <item x="68"/>
        <item x="60"/>
        <item x="30"/>
        <item x="124"/>
        <item x="93"/>
        <item x="59"/>
        <item x="168"/>
        <item x="10"/>
        <item x="102"/>
        <item x="147"/>
        <item x="174"/>
        <item x="91"/>
        <item x="128"/>
        <item x="52"/>
        <item x="131"/>
        <item x="75"/>
        <item x="167"/>
        <item t="default"/>
      </items>
    </pivotField>
    <pivotField showAll="0"/>
    <pivotField showAll="0"/>
    <pivotField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3"/>
        <item x="2"/>
        <item x="0"/>
        <item x="5"/>
        <item x="1"/>
        <item x="4"/>
        <item x="6"/>
        <item t="default"/>
      </items>
    </pivotField>
    <pivotField showAll="0">
      <items count="8">
        <item x="1"/>
        <item x="2"/>
        <item x="5"/>
        <item x="4"/>
        <item x="0"/>
        <item x="3"/>
        <item x="6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99189-8DBE-4AC9-A161-1DE8727E208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I3:J11" firstHeaderRow="1" firstDataRow="1" firstDataCol="1"/>
  <pivotFields count="20">
    <pivotField showAll="0"/>
    <pivotField numFmtId="15" showAll="0">
      <items count="184">
        <item x="119"/>
        <item x="31"/>
        <item x="116"/>
        <item x="130"/>
        <item x="2"/>
        <item x="16"/>
        <item x="15"/>
        <item x="169"/>
        <item x="47"/>
        <item x="107"/>
        <item x="86"/>
        <item x="134"/>
        <item x="90"/>
        <item x="64"/>
        <item x="160"/>
        <item x="53"/>
        <item x="12"/>
        <item x="105"/>
        <item x="17"/>
        <item x="8"/>
        <item x="123"/>
        <item x="1"/>
        <item x="117"/>
        <item x="145"/>
        <item x="51"/>
        <item x="151"/>
        <item x="103"/>
        <item x="7"/>
        <item x="176"/>
        <item x="108"/>
        <item x="38"/>
        <item x="34"/>
        <item x="139"/>
        <item x="79"/>
        <item x="122"/>
        <item x="159"/>
        <item x="156"/>
        <item x="63"/>
        <item x="23"/>
        <item x="140"/>
        <item x="73"/>
        <item x="39"/>
        <item x="18"/>
        <item x="6"/>
        <item x="66"/>
        <item x="19"/>
        <item x="133"/>
        <item x="5"/>
        <item x="115"/>
        <item x="180"/>
        <item x="171"/>
        <item x="46"/>
        <item x="81"/>
        <item x="4"/>
        <item x="28"/>
        <item x="165"/>
        <item x="55"/>
        <item x="125"/>
        <item x="172"/>
        <item x="132"/>
        <item x="142"/>
        <item x="88"/>
        <item x="83"/>
        <item x="179"/>
        <item x="148"/>
        <item x="41"/>
        <item x="37"/>
        <item x="173"/>
        <item x="72"/>
        <item x="43"/>
        <item x="61"/>
        <item x="71"/>
        <item x="126"/>
        <item x="42"/>
        <item x="112"/>
        <item x="164"/>
        <item x="96"/>
        <item x="89"/>
        <item x="157"/>
        <item x="155"/>
        <item x="178"/>
        <item x="14"/>
        <item x="36"/>
        <item x="101"/>
        <item x="118"/>
        <item x="143"/>
        <item x="161"/>
        <item x="27"/>
        <item x="69"/>
        <item x="49"/>
        <item x="113"/>
        <item x="153"/>
        <item x="137"/>
        <item x="163"/>
        <item x="129"/>
        <item x="104"/>
        <item x="95"/>
        <item x="121"/>
        <item x="20"/>
        <item x="149"/>
        <item x="144"/>
        <item x="170"/>
        <item x="114"/>
        <item x="80"/>
        <item x="50"/>
        <item x="11"/>
        <item x="138"/>
        <item x="54"/>
        <item x="22"/>
        <item x="98"/>
        <item x="92"/>
        <item x="152"/>
        <item x="62"/>
        <item x="100"/>
        <item x="13"/>
        <item x="111"/>
        <item x="21"/>
        <item x="45"/>
        <item x="78"/>
        <item x="181"/>
        <item x="58"/>
        <item x="109"/>
        <item x="57"/>
        <item x="70"/>
        <item x="0"/>
        <item x="77"/>
        <item x="25"/>
        <item x="94"/>
        <item x="65"/>
        <item x="150"/>
        <item x="74"/>
        <item x="9"/>
        <item x="76"/>
        <item x="82"/>
        <item x="175"/>
        <item x="35"/>
        <item x="26"/>
        <item x="146"/>
        <item x="141"/>
        <item x="24"/>
        <item x="120"/>
        <item x="48"/>
        <item x="135"/>
        <item x="3"/>
        <item x="97"/>
        <item x="99"/>
        <item x="106"/>
        <item x="32"/>
        <item x="40"/>
        <item x="85"/>
        <item x="67"/>
        <item x="127"/>
        <item x="154"/>
        <item x="110"/>
        <item x="177"/>
        <item x="158"/>
        <item x="33"/>
        <item x="29"/>
        <item x="136"/>
        <item x="87"/>
        <item x="182"/>
        <item x="56"/>
        <item x="162"/>
        <item x="84"/>
        <item x="44"/>
        <item x="166"/>
        <item x="68"/>
        <item x="60"/>
        <item x="30"/>
        <item x="124"/>
        <item x="93"/>
        <item x="59"/>
        <item x="168"/>
        <item x="10"/>
        <item x="102"/>
        <item x="147"/>
        <item x="174"/>
        <item x="91"/>
        <item x="128"/>
        <item x="52"/>
        <item x="131"/>
        <item x="75"/>
        <item x="167"/>
        <item t="default"/>
      </items>
    </pivotField>
    <pivotField showAll="0"/>
    <pivotField showAll="0"/>
    <pivotField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8">
        <item x="3"/>
        <item x="2"/>
        <item x="0"/>
        <item x="5"/>
        <item x="1"/>
        <item x="4"/>
        <item x="6"/>
        <item t="default"/>
      </items>
    </pivotField>
    <pivotField showAll="0">
      <items count="8">
        <item x="1"/>
        <item x="2"/>
        <item x="5"/>
        <item x="4"/>
        <item x="0"/>
        <item x="3"/>
        <item x="6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Price (?)" fld="9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39A34D-5CBF-47A0-B053-123C74810A3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G12" firstHeaderRow="1" firstDataRow="2" firstDataCol="1"/>
  <pivotFields count="20">
    <pivotField showAll="0"/>
    <pivotField numFmtId="15" showAll="0">
      <items count="184">
        <item x="119"/>
        <item x="31"/>
        <item x="116"/>
        <item x="130"/>
        <item x="2"/>
        <item x="16"/>
        <item x="15"/>
        <item x="169"/>
        <item x="47"/>
        <item x="107"/>
        <item x="86"/>
        <item x="134"/>
        <item x="90"/>
        <item x="64"/>
        <item x="160"/>
        <item x="53"/>
        <item x="12"/>
        <item x="105"/>
        <item x="17"/>
        <item x="8"/>
        <item x="123"/>
        <item x="1"/>
        <item x="117"/>
        <item x="145"/>
        <item x="51"/>
        <item x="151"/>
        <item x="103"/>
        <item x="7"/>
        <item x="176"/>
        <item x="108"/>
        <item x="38"/>
        <item x="34"/>
        <item x="139"/>
        <item x="79"/>
        <item x="122"/>
        <item x="159"/>
        <item x="156"/>
        <item x="63"/>
        <item x="23"/>
        <item x="140"/>
        <item x="73"/>
        <item x="39"/>
        <item x="18"/>
        <item x="6"/>
        <item x="66"/>
        <item x="19"/>
        <item x="133"/>
        <item x="5"/>
        <item x="115"/>
        <item x="180"/>
        <item x="171"/>
        <item x="46"/>
        <item x="81"/>
        <item x="4"/>
        <item x="28"/>
        <item x="165"/>
        <item x="55"/>
        <item x="125"/>
        <item x="172"/>
        <item x="132"/>
        <item x="142"/>
        <item x="88"/>
        <item x="83"/>
        <item x="179"/>
        <item x="148"/>
        <item x="41"/>
        <item x="37"/>
        <item x="173"/>
        <item x="72"/>
        <item x="43"/>
        <item x="61"/>
        <item x="71"/>
        <item x="126"/>
        <item x="42"/>
        <item x="112"/>
        <item x="164"/>
        <item x="96"/>
        <item x="89"/>
        <item x="157"/>
        <item x="155"/>
        <item x="178"/>
        <item x="14"/>
        <item x="36"/>
        <item x="101"/>
        <item x="118"/>
        <item x="143"/>
        <item x="161"/>
        <item x="27"/>
        <item x="69"/>
        <item x="49"/>
        <item x="113"/>
        <item x="153"/>
        <item x="137"/>
        <item x="163"/>
        <item x="129"/>
        <item x="104"/>
        <item x="95"/>
        <item x="121"/>
        <item x="20"/>
        <item x="149"/>
        <item x="144"/>
        <item x="170"/>
        <item x="114"/>
        <item x="80"/>
        <item x="50"/>
        <item x="11"/>
        <item x="138"/>
        <item x="54"/>
        <item x="22"/>
        <item x="98"/>
        <item x="92"/>
        <item x="152"/>
        <item x="62"/>
        <item x="100"/>
        <item x="13"/>
        <item x="111"/>
        <item x="21"/>
        <item x="45"/>
        <item x="78"/>
        <item x="181"/>
        <item x="58"/>
        <item x="109"/>
        <item x="57"/>
        <item x="70"/>
        <item x="0"/>
        <item x="77"/>
        <item x="25"/>
        <item x="94"/>
        <item x="65"/>
        <item x="150"/>
        <item x="74"/>
        <item x="9"/>
        <item x="76"/>
        <item x="82"/>
        <item x="175"/>
        <item x="35"/>
        <item x="26"/>
        <item x="146"/>
        <item x="141"/>
        <item x="24"/>
        <item x="120"/>
        <item x="48"/>
        <item x="135"/>
        <item x="3"/>
        <item x="97"/>
        <item x="99"/>
        <item x="106"/>
        <item x="32"/>
        <item x="40"/>
        <item x="85"/>
        <item x="67"/>
        <item x="127"/>
        <item x="154"/>
        <item x="110"/>
        <item x="177"/>
        <item x="158"/>
        <item x="33"/>
        <item x="29"/>
        <item x="136"/>
        <item x="87"/>
        <item x="182"/>
        <item x="56"/>
        <item x="162"/>
        <item x="84"/>
        <item x="44"/>
        <item x="166"/>
        <item x="68"/>
        <item x="60"/>
        <item x="30"/>
        <item x="124"/>
        <item x="93"/>
        <item x="59"/>
        <item x="168"/>
        <item x="10"/>
        <item x="102"/>
        <item x="147"/>
        <item x="174"/>
        <item x="91"/>
        <item x="128"/>
        <item x="52"/>
        <item x="131"/>
        <item x="75"/>
        <item x="167"/>
        <item t="default"/>
      </items>
    </pivotField>
    <pivotField showAll="0"/>
    <pivotField showAll="0"/>
    <pivotField axis="axisCol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5"/>
        <item x="4"/>
        <item x="0"/>
        <item x="3"/>
        <item x="6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Price (?)" fld="9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02A987-6DF1-4A77-82B8-601C03A40C05}" name="Table1" displayName="Table1" ref="A1:R1501" totalsRowShown="0">
  <autoFilter ref="A1:R1501" xr:uid="{1802A987-6DF1-4A77-82B8-601C03A40C05}"/>
  <tableColumns count="18">
    <tableColumn id="1" xr3:uid="{750DDC4A-8392-4201-9083-A75CB2C8DB16}" name="Order ID"/>
    <tableColumn id="2" xr3:uid="{5366FD9D-BA2C-432C-A867-AF95F71E90C0}" name="Order Date" dataDxfId="5"/>
    <tableColumn id="3" xr3:uid="{10D36EDC-F357-45BB-9FC6-99927BE68695}" name="State"/>
    <tableColumn id="4" xr3:uid="{34CE5827-1689-463B-BFBC-6C8B3DAEB569}" name="Region"/>
    <tableColumn id="5" xr3:uid="{93529F36-C502-4734-91C4-C8A7A18F82C5}" name="Category"/>
    <tableColumn id="6" xr3:uid="{6BC89CCD-23A7-4D2E-94D6-1CE6CCAEA5F0}" name="Product"/>
    <tableColumn id="7" xr3:uid="{A6656D8C-A772-4F26-A2F3-D3ED307ECA05}" name="Quantity"/>
    <tableColumn id="8" xr3:uid="{9CF20D1C-9DF3-4873-A42B-0C1989D08525}" name="Unit Price (?)"/>
    <tableColumn id="9" xr3:uid="{3D65C3DD-22B5-4239-BAE0-0284A7BCE482}" name="Discount Rate"/>
    <tableColumn id="10" xr3:uid="{DD42D9F0-169F-40DB-B86C-7927C2F04466}" name="Total Price (?)"/>
    <tableColumn id="11" xr3:uid="{0EA11C50-81DD-485A-BD7F-D2F32FF83A95}" name="Payment Type"/>
    <tableColumn id="12" xr3:uid="{8965D12A-30A1-4401-B4B1-3C8F67E254D3}" name="Customer Segment"/>
    <tableColumn id="13" xr3:uid="{4CA7EA92-3921-4623-A83B-9244A71FD521}" name="Shipping Method"/>
    <tableColumn id="14" xr3:uid="{0258A78A-F115-44A8-9C3D-1EBEBC145CC1}" name="Delivery Status"/>
    <tableColumn id="15" xr3:uid="{968AB5A4-F793-4A52-A78B-2C86AF0C35E6}" name="Gross Revenue" dataDxfId="4">
      <calculatedColumnFormula>Table1[[#All],[Quantity]]*Table1[[#All],[Unit Price (?)]]</calculatedColumnFormula>
    </tableColumn>
    <tableColumn id="16" xr3:uid="{090A0763-366F-4F9B-A032-4037E82E9D21}" name="Day of Week" dataDxfId="3">
      <calculatedColumnFormula>TEXT(Table1[[#All],[Order Date]],"dddd")</calculatedColumnFormula>
    </tableColumn>
    <tableColumn id="17" xr3:uid="{226CC3FA-BA40-4827-8BBC-877E659962F9}" name="Month" dataDxfId="2">
      <calculatedColumnFormula>TEXT(Table1[[#All],[Order Date]],"mmm")</calculatedColumnFormula>
    </tableColumn>
    <tableColumn id="18" xr3:uid="{669F5080-A0B1-49E7-A507-2CDBBE9C3814}" name="High Value Flag" dataDxfId="1">
      <calculatedColumnFormula>IF(Table1[[#All],[Total Price (?)]]&gt;1000,"High Value","Normal")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2E3D-7C18-4BA5-87E2-8FBB224EBE47}">
  <dimension ref="A1:N1501"/>
  <sheetViews>
    <sheetView workbookViewId="0">
      <selection activeCell="P19" sqref="P19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45784</v>
      </c>
      <c r="C2" t="s">
        <v>15</v>
      </c>
      <c r="D2" t="s">
        <v>16</v>
      </c>
      <c r="E2" t="s">
        <v>17</v>
      </c>
      <c r="F2" t="s">
        <v>18</v>
      </c>
      <c r="G2">
        <v>2</v>
      </c>
      <c r="H2">
        <v>3708.71</v>
      </c>
      <c r="I2">
        <v>0.17</v>
      </c>
      <c r="J2">
        <v>6156.46</v>
      </c>
      <c r="K2" t="s">
        <v>19</v>
      </c>
      <c r="L2" t="s">
        <v>20</v>
      </c>
      <c r="M2" t="s">
        <v>21</v>
      </c>
      <c r="N2" t="s">
        <v>22</v>
      </c>
    </row>
    <row r="3" spans="1:14" x14ac:dyDescent="0.3">
      <c r="A3" t="s">
        <v>23</v>
      </c>
      <c r="B3" s="1">
        <v>45681</v>
      </c>
      <c r="C3" t="s">
        <v>24</v>
      </c>
      <c r="D3" t="s">
        <v>25</v>
      </c>
      <c r="E3" t="s">
        <v>17</v>
      </c>
      <c r="F3" t="s">
        <v>18</v>
      </c>
      <c r="G3">
        <v>5</v>
      </c>
      <c r="H3">
        <v>3049.89</v>
      </c>
      <c r="I3">
        <v>0.14000000000000001</v>
      </c>
      <c r="J3">
        <v>13114.53</v>
      </c>
      <c r="K3" t="s">
        <v>19</v>
      </c>
      <c r="L3" t="s">
        <v>20</v>
      </c>
      <c r="M3" t="s">
        <v>21</v>
      </c>
      <c r="N3" t="s">
        <v>22</v>
      </c>
    </row>
    <row r="4" spans="1:14" x14ac:dyDescent="0.3">
      <c r="A4" t="s">
        <v>26</v>
      </c>
      <c r="B4" s="1">
        <v>45664</v>
      </c>
      <c r="C4" t="s">
        <v>24</v>
      </c>
      <c r="D4" t="s">
        <v>16</v>
      </c>
      <c r="E4" t="s">
        <v>27</v>
      </c>
      <c r="F4" t="s">
        <v>28</v>
      </c>
      <c r="G4">
        <v>4</v>
      </c>
      <c r="H4">
        <v>1767.23</v>
      </c>
      <c r="I4">
        <v>0.04</v>
      </c>
      <c r="J4">
        <v>6786.16</v>
      </c>
      <c r="K4" t="s">
        <v>19</v>
      </c>
      <c r="L4" t="s">
        <v>29</v>
      </c>
      <c r="M4" t="s">
        <v>30</v>
      </c>
      <c r="N4" t="s">
        <v>22</v>
      </c>
    </row>
    <row r="5" spans="1:14" x14ac:dyDescent="0.3">
      <c r="A5" t="s">
        <v>31</v>
      </c>
      <c r="B5" s="1">
        <v>45803</v>
      </c>
      <c r="C5" t="s">
        <v>15</v>
      </c>
      <c r="D5" t="s">
        <v>16</v>
      </c>
      <c r="E5" t="s">
        <v>17</v>
      </c>
      <c r="F5" t="s">
        <v>32</v>
      </c>
      <c r="G5">
        <v>1</v>
      </c>
      <c r="H5">
        <v>3675.69</v>
      </c>
      <c r="I5">
        <v>0.13</v>
      </c>
      <c r="J5">
        <v>3197.85</v>
      </c>
      <c r="K5" t="s">
        <v>33</v>
      </c>
      <c r="L5" t="s">
        <v>34</v>
      </c>
      <c r="M5" t="s">
        <v>30</v>
      </c>
      <c r="N5" t="s">
        <v>22</v>
      </c>
    </row>
    <row r="6" spans="1:14" x14ac:dyDescent="0.3">
      <c r="A6" t="s">
        <v>35</v>
      </c>
      <c r="B6" s="1">
        <v>45713</v>
      </c>
      <c r="C6" t="s">
        <v>36</v>
      </c>
      <c r="D6" t="s">
        <v>16</v>
      </c>
      <c r="E6" t="s">
        <v>27</v>
      </c>
      <c r="F6" t="s">
        <v>28</v>
      </c>
      <c r="G6">
        <v>1</v>
      </c>
      <c r="H6">
        <v>324.54000000000002</v>
      </c>
      <c r="I6">
        <v>0.06</v>
      </c>
      <c r="J6">
        <v>305.07</v>
      </c>
      <c r="K6" t="s">
        <v>19</v>
      </c>
      <c r="L6" t="s">
        <v>29</v>
      </c>
      <c r="M6" t="s">
        <v>30</v>
      </c>
      <c r="N6" t="s">
        <v>37</v>
      </c>
    </row>
    <row r="7" spans="1:14" x14ac:dyDescent="0.3">
      <c r="A7" t="s">
        <v>38</v>
      </c>
      <c r="B7" s="1">
        <v>45707</v>
      </c>
      <c r="C7" t="s">
        <v>15</v>
      </c>
      <c r="D7" t="s">
        <v>39</v>
      </c>
      <c r="E7" t="s">
        <v>17</v>
      </c>
      <c r="F7" t="s">
        <v>40</v>
      </c>
      <c r="G7">
        <v>3</v>
      </c>
      <c r="H7">
        <v>897.01</v>
      </c>
      <c r="I7">
        <v>0.09</v>
      </c>
      <c r="J7">
        <v>2448.84</v>
      </c>
      <c r="K7" t="s">
        <v>41</v>
      </c>
      <c r="L7" t="s">
        <v>29</v>
      </c>
      <c r="M7" t="s">
        <v>21</v>
      </c>
      <c r="N7" t="s">
        <v>22</v>
      </c>
    </row>
    <row r="8" spans="1:14" x14ac:dyDescent="0.3">
      <c r="A8" t="s">
        <v>42</v>
      </c>
      <c r="B8" s="1">
        <v>45703</v>
      </c>
      <c r="C8" t="s">
        <v>36</v>
      </c>
      <c r="D8" t="s">
        <v>43</v>
      </c>
      <c r="E8" t="s">
        <v>17</v>
      </c>
      <c r="F8" t="s">
        <v>44</v>
      </c>
      <c r="G8">
        <v>4</v>
      </c>
      <c r="H8">
        <v>1959.33</v>
      </c>
      <c r="I8">
        <v>0.25</v>
      </c>
      <c r="J8">
        <v>5877.99</v>
      </c>
      <c r="K8" t="s">
        <v>19</v>
      </c>
      <c r="L8" t="s">
        <v>20</v>
      </c>
      <c r="M8" t="s">
        <v>21</v>
      </c>
      <c r="N8" t="s">
        <v>22</v>
      </c>
    </row>
    <row r="9" spans="1:14" x14ac:dyDescent="0.3">
      <c r="A9" t="s">
        <v>45</v>
      </c>
      <c r="B9" s="1">
        <v>45687</v>
      </c>
      <c r="C9" t="s">
        <v>24</v>
      </c>
      <c r="D9" t="s">
        <v>39</v>
      </c>
      <c r="E9" t="s">
        <v>17</v>
      </c>
      <c r="F9" t="s">
        <v>44</v>
      </c>
      <c r="G9">
        <v>3</v>
      </c>
      <c r="H9">
        <v>424.32</v>
      </c>
      <c r="I9">
        <v>0.23</v>
      </c>
      <c r="J9">
        <v>980.18</v>
      </c>
      <c r="K9" t="s">
        <v>46</v>
      </c>
      <c r="L9" t="s">
        <v>34</v>
      </c>
      <c r="M9" t="s">
        <v>21</v>
      </c>
      <c r="N9" t="s">
        <v>22</v>
      </c>
    </row>
    <row r="10" spans="1:14" x14ac:dyDescent="0.3">
      <c r="A10" t="s">
        <v>47</v>
      </c>
      <c r="B10" s="1">
        <v>45803</v>
      </c>
      <c r="C10" t="s">
        <v>48</v>
      </c>
      <c r="D10" t="s">
        <v>25</v>
      </c>
      <c r="E10" t="s">
        <v>49</v>
      </c>
      <c r="F10" t="s">
        <v>50</v>
      </c>
      <c r="G10">
        <v>2</v>
      </c>
      <c r="H10">
        <v>1308.47</v>
      </c>
      <c r="I10">
        <v>0.14000000000000001</v>
      </c>
      <c r="J10">
        <v>2250.5700000000002</v>
      </c>
      <c r="K10" t="s">
        <v>19</v>
      </c>
      <c r="L10" t="s">
        <v>34</v>
      </c>
      <c r="M10" t="s">
        <v>30</v>
      </c>
      <c r="N10" t="s">
        <v>37</v>
      </c>
    </row>
    <row r="11" spans="1:14" x14ac:dyDescent="0.3">
      <c r="A11" t="s">
        <v>51</v>
      </c>
      <c r="B11" s="1">
        <v>45679</v>
      </c>
      <c r="C11" t="s">
        <v>52</v>
      </c>
      <c r="D11" t="s">
        <v>43</v>
      </c>
      <c r="E11" t="s">
        <v>49</v>
      </c>
      <c r="F11" t="s">
        <v>53</v>
      </c>
      <c r="G11">
        <v>4</v>
      </c>
      <c r="H11">
        <v>545.46</v>
      </c>
      <c r="I11">
        <v>0.01</v>
      </c>
      <c r="J11">
        <v>2160.02</v>
      </c>
      <c r="K11" t="s">
        <v>19</v>
      </c>
      <c r="L11" t="s">
        <v>29</v>
      </c>
      <c r="M11" t="s">
        <v>54</v>
      </c>
      <c r="N11" t="s">
        <v>22</v>
      </c>
    </row>
    <row r="12" spans="1:14" x14ac:dyDescent="0.3">
      <c r="A12" t="s">
        <v>55</v>
      </c>
      <c r="B12" s="1">
        <v>45791</v>
      </c>
      <c r="C12" t="s">
        <v>48</v>
      </c>
      <c r="D12" t="s">
        <v>16</v>
      </c>
      <c r="E12" t="s">
        <v>49</v>
      </c>
      <c r="F12" t="s">
        <v>56</v>
      </c>
      <c r="G12">
        <v>4</v>
      </c>
      <c r="H12">
        <v>2692.66</v>
      </c>
      <c r="I12">
        <v>0.24</v>
      </c>
      <c r="J12">
        <v>8185.69</v>
      </c>
      <c r="K12" t="s">
        <v>41</v>
      </c>
      <c r="L12" t="s">
        <v>29</v>
      </c>
      <c r="M12" t="s">
        <v>54</v>
      </c>
      <c r="N12" t="s">
        <v>22</v>
      </c>
    </row>
    <row r="13" spans="1:14" x14ac:dyDescent="0.3">
      <c r="A13" t="s">
        <v>57</v>
      </c>
      <c r="B13" s="1">
        <v>45803</v>
      </c>
      <c r="C13" t="s">
        <v>15</v>
      </c>
      <c r="D13" t="s">
        <v>39</v>
      </c>
      <c r="E13" t="s">
        <v>27</v>
      </c>
      <c r="F13" t="s">
        <v>28</v>
      </c>
      <c r="G13">
        <v>4</v>
      </c>
      <c r="H13">
        <v>874.97</v>
      </c>
      <c r="I13">
        <v>0</v>
      </c>
      <c r="J13">
        <v>3499.88</v>
      </c>
      <c r="K13" t="s">
        <v>58</v>
      </c>
      <c r="L13" t="s">
        <v>34</v>
      </c>
      <c r="M13" t="s">
        <v>21</v>
      </c>
      <c r="N13" t="s">
        <v>59</v>
      </c>
    </row>
    <row r="14" spans="1:14" x14ac:dyDescent="0.3">
      <c r="A14" t="s">
        <v>60</v>
      </c>
      <c r="B14" s="1">
        <v>45833</v>
      </c>
      <c r="C14" t="s">
        <v>15</v>
      </c>
      <c r="D14" t="s">
        <v>16</v>
      </c>
      <c r="E14" t="s">
        <v>61</v>
      </c>
      <c r="F14" t="s">
        <v>62</v>
      </c>
      <c r="G14">
        <v>2</v>
      </c>
      <c r="H14">
        <v>848.91</v>
      </c>
      <c r="I14">
        <v>0.19</v>
      </c>
      <c r="J14">
        <v>1375.23</v>
      </c>
      <c r="K14" t="s">
        <v>33</v>
      </c>
      <c r="L14" t="s">
        <v>29</v>
      </c>
      <c r="M14" t="s">
        <v>21</v>
      </c>
      <c r="N14" t="s">
        <v>22</v>
      </c>
    </row>
    <row r="15" spans="1:14" x14ac:dyDescent="0.3">
      <c r="A15" t="s">
        <v>63</v>
      </c>
      <c r="B15" s="1">
        <v>45765</v>
      </c>
      <c r="C15" t="s">
        <v>24</v>
      </c>
      <c r="D15" t="s">
        <v>16</v>
      </c>
      <c r="E15" t="s">
        <v>49</v>
      </c>
      <c r="F15" t="s">
        <v>56</v>
      </c>
      <c r="G15">
        <v>2</v>
      </c>
      <c r="H15">
        <v>383.83</v>
      </c>
      <c r="I15">
        <v>0.22</v>
      </c>
      <c r="J15">
        <v>598.77</v>
      </c>
      <c r="K15" t="s">
        <v>46</v>
      </c>
      <c r="L15" t="s">
        <v>34</v>
      </c>
      <c r="M15" t="s">
        <v>54</v>
      </c>
      <c r="N15" t="s">
        <v>22</v>
      </c>
    </row>
    <row r="16" spans="1:14" x14ac:dyDescent="0.3">
      <c r="A16" t="s">
        <v>64</v>
      </c>
      <c r="B16" s="1">
        <v>45676</v>
      </c>
      <c r="C16" t="s">
        <v>52</v>
      </c>
      <c r="D16" t="s">
        <v>43</v>
      </c>
      <c r="E16" t="s">
        <v>17</v>
      </c>
      <c r="F16" t="s">
        <v>44</v>
      </c>
      <c r="G16">
        <v>2</v>
      </c>
      <c r="H16">
        <v>1398.78</v>
      </c>
      <c r="I16">
        <v>0.22</v>
      </c>
      <c r="J16">
        <v>2182.1</v>
      </c>
      <c r="K16" t="s">
        <v>41</v>
      </c>
      <c r="L16" t="s">
        <v>29</v>
      </c>
      <c r="M16" t="s">
        <v>30</v>
      </c>
      <c r="N16" t="s">
        <v>37</v>
      </c>
    </row>
    <row r="17" spans="1:14" x14ac:dyDescent="0.3">
      <c r="A17" t="s">
        <v>65</v>
      </c>
      <c r="B17" s="1">
        <v>45774</v>
      </c>
      <c r="C17" t="s">
        <v>48</v>
      </c>
      <c r="D17" t="s">
        <v>39</v>
      </c>
      <c r="E17" t="s">
        <v>61</v>
      </c>
      <c r="F17" t="s">
        <v>66</v>
      </c>
      <c r="G17">
        <v>5</v>
      </c>
      <c r="H17">
        <v>2312.2800000000002</v>
      </c>
      <c r="I17">
        <v>0.06</v>
      </c>
      <c r="J17">
        <v>10867.72</v>
      </c>
      <c r="K17" t="s">
        <v>46</v>
      </c>
      <c r="L17" t="s">
        <v>34</v>
      </c>
      <c r="M17" t="s">
        <v>54</v>
      </c>
      <c r="N17" t="s">
        <v>22</v>
      </c>
    </row>
    <row r="18" spans="1:14" x14ac:dyDescent="0.3">
      <c r="A18" t="s">
        <v>67</v>
      </c>
      <c r="B18" s="1">
        <v>45741</v>
      </c>
      <c r="C18" t="s">
        <v>36</v>
      </c>
      <c r="D18" t="s">
        <v>16</v>
      </c>
      <c r="E18" t="s">
        <v>27</v>
      </c>
      <c r="F18" t="s">
        <v>68</v>
      </c>
      <c r="G18">
        <v>1</v>
      </c>
      <c r="H18">
        <v>3568.42</v>
      </c>
      <c r="I18">
        <v>0.01</v>
      </c>
      <c r="J18">
        <v>3532.74</v>
      </c>
      <c r="K18" t="s">
        <v>19</v>
      </c>
      <c r="L18" t="s">
        <v>20</v>
      </c>
      <c r="M18" t="s">
        <v>54</v>
      </c>
      <c r="N18" t="s">
        <v>37</v>
      </c>
    </row>
    <row r="19" spans="1:14" x14ac:dyDescent="0.3">
      <c r="A19" t="s">
        <v>69</v>
      </c>
      <c r="B19" s="1">
        <v>45666</v>
      </c>
      <c r="C19" t="s">
        <v>15</v>
      </c>
      <c r="D19" t="s">
        <v>25</v>
      </c>
      <c r="E19" t="s">
        <v>17</v>
      </c>
      <c r="F19" t="s">
        <v>44</v>
      </c>
      <c r="G19">
        <v>5</v>
      </c>
      <c r="H19">
        <v>748.33</v>
      </c>
      <c r="I19">
        <v>0.23</v>
      </c>
      <c r="J19">
        <v>2881.07</v>
      </c>
      <c r="K19" t="s">
        <v>41</v>
      </c>
      <c r="L19" t="s">
        <v>20</v>
      </c>
      <c r="M19" t="s">
        <v>21</v>
      </c>
      <c r="N19" t="s">
        <v>22</v>
      </c>
    </row>
    <row r="20" spans="1:14" x14ac:dyDescent="0.3">
      <c r="A20" t="s">
        <v>70</v>
      </c>
      <c r="B20" s="1">
        <v>45665</v>
      </c>
      <c r="C20" t="s">
        <v>52</v>
      </c>
      <c r="D20" t="s">
        <v>16</v>
      </c>
      <c r="E20" t="s">
        <v>49</v>
      </c>
      <c r="F20" t="s">
        <v>50</v>
      </c>
      <c r="G20">
        <v>4</v>
      </c>
      <c r="H20">
        <v>1836.06</v>
      </c>
      <c r="I20">
        <v>0.1</v>
      </c>
      <c r="J20">
        <v>6609.82</v>
      </c>
      <c r="K20" t="s">
        <v>58</v>
      </c>
      <c r="L20" t="s">
        <v>20</v>
      </c>
      <c r="M20" t="s">
        <v>21</v>
      </c>
      <c r="N20" t="s">
        <v>22</v>
      </c>
    </row>
    <row r="21" spans="1:14" x14ac:dyDescent="0.3">
      <c r="A21" t="s">
        <v>71</v>
      </c>
      <c r="B21" s="1">
        <v>45678</v>
      </c>
      <c r="C21" t="s">
        <v>48</v>
      </c>
      <c r="D21" t="s">
        <v>25</v>
      </c>
      <c r="E21" t="s">
        <v>17</v>
      </c>
      <c r="F21" t="s">
        <v>18</v>
      </c>
      <c r="G21">
        <v>2</v>
      </c>
      <c r="H21">
        <v>1038.79</v>
      </c>
      <c r="I21">
        <v>0.13</v>
      </c>
      <c r="J21">
        <v>1807.49</v>
      </c>
      <c r="K21" t="s">
        <v>46</v>
      </c>
      <c r="L21" t="s">
        <v>20</v>
      </c>
      <c r="M21" t="s">
        <v>54</v>
      </c>
      <c r="N21" t="s">
        <v>22</v>
      </c>
    </row>
    <row r="22" spans="1:14" x14ac:dyDescent="0.3">
      <c r="A22" t="s">
        <v>72</v>
      </c>
      <c r="B22" s="1">
        <v>45702</v>
      </c>
      <c r="C22" t="s">
        <v>24</v>
      </c>
      <c r="D22" t="s">
        <v>16</v>
      </c>
      <c r="E22" t="s">
        <v>49</v>
      </c>
      <c r="F22" t="s">
        <v>73</v>
      </c>
      <c r="G22">
        <v>1</v>
      </c>
      <c r="H22">
        <v>347.88</v>
      </c>
      <c r="I22">
        <v>0.25</v>
      </c>
      <c r="J22">
        <v>260.91000000000003</v>
      </c>
      <c r="K22" t="s">
        <v>41</v>
      </c>
      <c r="L22" t="s">
        <v>29</v>
      </c>
      <c r="M22" t="s">
        <v>54</v>
      </c>
      <c r="N22" t="s">
        <v>37</v>
      </c>
    </row>
    <row r="23" spans="1:14" x14ac:dyDescent="0.3">
      <c r="A23" t="s">
        <v>74</v>
      </c>
      <c r="B23" s="1">
        <v>45705</v>
      </c>
      <c r="C23" t="s">
        <v>48</v>
      </c>
      <c r="D23" t="s">
        <v>25</v>
      </c>
      <c r="E23" t="s">
        <v>61</v>
      </c>
      <c r="F23" t="s">
        <v>75</v>
      </c>
      <c r="G23">
        <v>2</v>
      </c>
      <c r="H23">
        <v>4336.79</v>
      </c>
      <c r="I23">
        <v>0.23</v>
      </c>
      <c r="J23">
        <v>6678.66</v>
      </c>
      <c r="K23" t="s">
        <v>41</v>
      </c>
      <c r="L23" t="s">
        <v>34</v>
      </c>
      <c r="M23" t="s">
        <v>54</v>
      </c>
      <c r="N23" t="s">
        <v>22</v>
      </c>
    </row>
    <row r="24" spans="1:14" x14ac:dyDescent="0.3">
      <c r="A24" t="s">
        <v>76</v>
      </c>
      <c r="B24" s="1">
        <v>45758</v>
      </c>
      <c r="C24" t="s">
        <v>48</v>
      </c>
      <c r="D24" t="s">
        <v>39</v>
      </c>
      <c r="E24" t="s">
        <v>49</v>
      </c>
      <c r="F24" t="s">
        <v>53</v>
      </c>
      <c r="G24">
        <v>5</v>
      </c>
      <c r="H24">
        <v>3343.17</v>
      </c>
      <c r="I24">
        <v>0.12</v>
      </c>
      <c r="J24">
        <v>14709.95</v>
      </c>
      <c r="K24" t="s">
        <v>46</v>
      </c>
      <c r="L24" t="s">
        <v>34</v>
      </c>
      <c r="M24" t="s">
        <v>54</v>
      </c>
      <c r="N24" t="s">
        <v>22</v>
      </c>
    </row>
    <row r="25" spans="1:14" x14ac:dyDescent="0.3">
      <c r="A25" t="s">
        <v>77</v>
      </c>
      <c r="B25" s="1">
        <v>45776</v>
      </c>
      <c r="C25" t="s">
        <v>15</v>
      </c>
      <c r="D25" t="s">
        <v>43</v>
      </c>
      <c r="E25" t="s">
        <v>17</v>
      </c>
      <c r="F25" t="s">
        <v>18</v>
      </c>
      <c r="G25">
        <v>5</v>
      </c>
      <c r="H25">
        <v>2436.2600000000002</v>
      </c>
      <c r="I25">
        <v>0.23</v>
      </c>
      <c r="J25">
        <v>9379.6</v>
      </c>
      <c r="K25" t="s">
        <v>58</v>
      </c>
      <c r="L25" t="s">
        <v>20</v>
      </c>
      <c r="M25" t="s">
        <v>21</v>
      </c>
      <c r="N25" t="s">
        <v>22</v>
      </c>
    </row>
    <row r="26" spans="1:14" x14ac:dyDescent="0.3">
      <c r="A26" t="s">
        <v>78</v>
      </c>
      <c r="B26" s="1">
        <v>45665</v>
      </c>
      <c r="C26" t="s">
        <v>52</v>
      </c>
      <c r="D26" t="s">
        <v>43</v>
      </c>
      <c r="E26" t="s">
        <v>27</v>
      </c>
      <c r="F26" t="s">
        <v>79</v>
      </c>
      <c r="G26">
        <v>1</v>
      </c>
      <c r="H26">
        <v>3408.54</v>
      </c>
      <c r="I26">
        <v>0.06</v>
      </c>
      <c r="J26">
        <v>3204.03</v>
      </c>
      <c r="K26" t="s">
        <v>58</v>
      </c>
      <c r="L26" t="s">
        <v>29</v>
      </c>
      <c r="M26" t="s">
        <v>54</v>
      </c>
      <c r="N26" t="s">
        <v>22</v>
      </c>
    </row>
    <row r="27" spans="1:14" x14ac:dyDescent="0.3">
      <c r="A27" t="s">
        <v>80</v>
      </c>
      <c r="B27" s="1">
        <v>45768</v>
      </c>
      <c r="C27" t="s">
        <v>48</v>
      </c>
      <c r="D27" t="s">
        <v>39</v>
      </c>
      <c r="E27" t="s">
        <v>17</v>
      </c>
      <c r="F27" t="s">
        <v>18</v>
      </c>
      <c r="G27">
        <v>5</v>
      </c>
      <c r="H27">
        <v>1650.21</v>
      </c>
      <c r="I27">
        <v>7.0000000000000007E-2</v>
      </c>
      <c r="J27">
        <v>7673.48</v>
      </c>
      <c r="K27" t="s">
        <v>33</v>
      </c>
      <c r="L27" t="s">
        <v>29</v>
      </c>
      <c r="M27" t="s">
        <v>21</v>
      </c>
      <c r="N27" t="s">
        <v>22</v>
      </c>
    </row>
    <row r="28" spans="1:14" x14ac:dyDescent="0.3">
      <c r="A28" t="s">
        <v>81</v>
      </c>
      <c r="B28" s="1">
        <v>45698</v>
      </c>
      <c r="C28" t="s">
        <v>15</v>
      </c>
      <c r="D28" t="s">
        <v>16</v>
      </c>
      <c r="E28" t="s">
        <v>49</v>
      </c>
      <c r="F28" t="s">
        <v>73</v>
      </c>
      <c r="G28">
        <v>1</v>
      </c>
      <c r="H28">
        <v>145.65</v>
      </c>
      <c r="I28">
        <v>0.16</v>
      </c>
      <c r="J28">
        <v>122.35</v>
      </c>
      <c r="K28" t="s">
        <v>41</v>
      </c>
      <c r="L28" t="s">
        <v>34</v>
      </c>
      <c r="M28" t="s">
        <v>21</v>
      </c>
      <c r="N28" t="s">
        <v>22</v>
      </c>
    </row>
    <row r="29" spans="1:14" x14ac:dyDescent="0.3">
      <c r="A29" t="s">
        <v>82</v>
      </c>
      <c r="B29" s="1">
        <v>45799</v>
      </c>
      <c r="C29" t="s">
        <v>52</v>
      </c>
      <c r="D29" t="s">
        <v>39</v>
      </c>
      <c r="E29" t="s">
        <v>61</v>
      </c>
      <c r="F29" t="s">
        <v>66</v>
      </c>
      <c r="G29">
        <v>2</v>
      </c>
      <c r="H29">
        <v>1910.68</v>
      </c>
      <c r="I29">
        <v>0.04</v>
      </c>
      <c r="J29">
        <v>3668.51</v>
      </c>
      <c r="K29" t="s">
        <v>46</v>
      </c>
      <c r="L29" t="s">
        <v>20</v>
      </c>
      <c r="M29" t="s">
        <v>21</v>
      </c>
      <c r="N29" t="s">
        <v>22</v>
      </c>
    </row>
    <row r="30" spans="1:14" x14ac:dyDescent="0.3">
      <c r="A30" t="s">
        <v>83</v>
      </c>
      <c r="B30" s="1">
        <v>45786</v>
      </c>
      <c r="C30" t="s">
        <v>36</v>
      </c>
      <c r="D30" t="s">
        <v>16</v>
      </c>
      <c r="E30" t="s">
        <v>27</v>
      </c>
      <c r="F30" t="s">
        <v>79</v>
      </c>
      <c r="G30">
        <v>1</v>
      </c>
      <c r="H30">
        <v>4700.76</v>
      </c>
      <c r="I30">
        <v>0.03</v>
      </c>
      <c r="J30">
        <v>4559.74</v>
      </c>
      <c r="K30" t="s">
        <v>46</v>
      </c>
      <c r="L30" t="s">
        <v>29</v>
      </c>
      <c r="M30" t="s">
        <v>54</v>
      </c>
      <c r="N30" t="s">
        <v>22</v>
      </c>
    </row>
    <row r="31" spans="1:14" x14ac:dyDescent="0.3">
      <c r="A31" t="s">
        <v>84</v>
      </c>
      <c r="B31" s="1">
        <v>45796</v>
      </c>
      <c r="C31" t="s">
        <v>15</v>
      </c>
      <c r="D31" t="s">
        <v>25</v>
      </c>
      <c r="E31" t="s">
        <v>61</v>
      </c>
      <c r="F31" t="s">
        <v>66</v>
      </c>
      <c r="G31">
        <v>3</v>
      </c>
      <c r="H31">
        <v>1097.6300000000001</v>
      </c>
      <c r="I31">
        <v>0.16</v>
      </c>
      <c r="J31">
        <v>2766.03</v>
      </c>
      <c r="K31" t="s">
        <v>33</v>
      </c>
      <c r="L31" t="s">
        <v>20</v>
      </c>
      <c r="M31" t="s">
        <v>30</v>
      </c>
      <c r="N31" t="s">
        <v>22</v>
      </c>
    </row>
    <row r="32" spans="1:14" x14ac:dyDescent="0.3">
      <c r="A32" t="s">
        <v>85</v>
      </c>
      <c r="B32" s="1">
        <v>45765</v>
      </c>
      <c r="C32" t="s">
        <v>48</v>
      </c>
      <c r="D32" t="s">
        <v>43</v>
      </c>
      <c r="E32" t="s">
        <v>17</v>
      </c>
      <c r="F32" t="s">
        <v>18</v>
      </c>
      <c r="G32">
        <v>1</v>
      </c>
      <c r="H32">
        <v>1734.43</v>
      </c>
      <c r="I32">
        <v>0.03</v>
      </c>
      <c r="J32">
        <v>1682.4</v>
      </c>
      <c r="K32" t="s">
        <v>46</v>
      </c>
      <c r="L32" t="s">
        <v>20</v>
      </c>
      <c r="M32" t="s">
        <v>30</v>
      </c>
      <c r="N32" t="s">
        <v>22</v>
      </c>
    </row>
    <row r="33" spans="1:14" x14ac:dyDescent="0.3">
      <c r="A33" t="s">
        <v>86</v>
      </c>
      <c r="B33" s="1">
        <v>45741</v>
      </c>
      <c r="C33" t="s">
        <v>36</v>
      </c>
      <c r="D33" t="s">
        <v>16</v>
      </c>
      <c r="E33" t="s">
        <v>27</v>
      </c>
      <c r="F33" t="s">
        <v>87</v>
      </c>
      <c r="G33">
        <v>1</v>
      </c>
      <c r="H33">
        <v>4730.75</v>
      </c>
      <c r="I33">
        <v>0.17</v>
      </c>
      <c r="J33">
        <v>3926.52</v>
      </c>
      <c r="K33" t="s">
        <v>58</v>
      </c>
      <c r="L33" t="s">
        <v>20</v>
      </c>
      <c r="M33" t="s">
        <v>54</v>
      </c>
      <c r="N33" t="s">
        <v>88</v>
      </c>
    </row>
    <row r="34" spans="1:14" x14ac:dyDescent="0.3">
      <c r="A34" t="s">
        <v>89</v>
      </c>
      <c r="B34" s="1">
        <v>45702</v>
      </c>
      <c r="C34" t="s">
        <v>48</v>
      </c>
      <c r="D34" t="s">
        <v>39</v>
      </c>
      <c r="E34" t="s">
        <v>27</v>
      </c>
      <c r="F34" t="s">
        <v>68</v>
      </c>
      <c r="G34">
        <v>3</v>
      </c>
      <c r="H34">
        <v>1886.79</v>
      </c>
      <c r="I34">
        <v>0.23</v>
      </c>
      <c r="J34">
        <v>4358.4799999999996</v>
      </c>
      <c r="K34" t="s">
        <v>19</v>
      </c>
      <c r="L34" t="s">
        <v>20</v>
      </c>
      <c r="M34" t="s">
        <v>54</v>
      </c>
      <c r="N34" t="s">
        <v>22</v>
      </c>
    </row>
    <row r="35" spans="1:14" x14ac:dyDescent="0.3">
      <c r="A35" t="s">
        <v>90</v>
      </c>
      <c r="B35" s="1">
        <v>45747</v>
      </c>
      <c r="C35" t="s">
        <v>15</v>
      </c>
      <c r="D35" t="s">
        <v>43</v>
      </c>
      <c r="E35" t="s">
        <v>61</v>
      </c>
      <c r="F35" t="s">
        <v>62</v>
      </c>
      <c r="G35">
        <v>5</v>
      </c>
      <c r="H35">
        <v>3772.44</v>
      </c>
      <c r="I35">
        <v>0.23</v>
      </c>
      <c r="J35">
        <v>14523.89</v>
      </c>
      <c r="K35" t="s">
        <v>33</v>
      </c>
      <c r="L35" t="s">
        <v>34</v>
      </c>
      <c r="M35" t="s">
        <v>54</v>
      </c>
      <c r="N35" t="s">
        <v>59</v>
      </c>
    </row>
    <row r="36" spans="1:14" x14ac:dyDescent="0.3">
      <c r="A36" t="s">
        <v>91</v>
      </c>
      <c r="B36" s="1">
        <v>45774</v>
      </c>
      <c r="C36" t="s">
        <v>24</v>
      </c>
      <c r="D36" t="s">
        <v>43</v>
      </c>
      <c r="E36" t="s">
        <v>61</v>
      </c>
      <c r="F36" t="s">
        <v>92</v>
      </c>
      <c r="G36">
        <v>3</v>
      </c>
      <c r="H36">
        <v>3933.69</v>
      </c>
      <c r="I36">
        <v>0.1</v>
      </c>
      <c r="J36">
        <v>10620.96</v>
      </c>
      <c r="K36" t="s">
        <v>19</v>
      </c>
      <c r="L36" t="s">
        <v>29</v>
      </c>
      <c r="M36" t="s">
        <v>21</v>
      </c>
      <c r="N36" t="s">
        <v>22</v>
      </c>
    </row>
    <row r="37" spans="1:14" x14ac:dyDescent="0.3">
      <c r="A37" t="s">
        <v>93</v>
      </c>
      <c r="B37" s="1">
        <v>45714</v>
      </c>
      <c r="C37" t="s">
        <v>24</v>
      </c>
      <c r="D37" t="s">
        <v>43</v>
      </c>
      <c r="E37" t="s">
        <v>17</v>
      </c>
      <c r="F37" t="s">
        <v>40</v>
      </c>
      <c r="G37">
        <v>2</v>
      </c>
      <c r="H37">
        <v>4101.2700000000004</v>
      </c>
      <c r="I37">
        <v>0.12</v>
      </c>
      <c r="J37">
        <v>7218.24</v>
      </c>
      <c r="K37" t="s">
        <v>41</v>
      </c>
      <c r="L37" t="s">
        <v>20</v>
      </c>
      <c r="M37" t="s">
        <v>30</v>
      </c>
      <c r="N37" t="s">
        <v>22</v>
      </c>
    </row>
    <row r="38" spans="1:14" x14ac:dyDescent="0.3">
      <c r="A38" t="s">
        <v>94</v>
      </c>
      <c r="B38" s="1">
        <v>45817</v>
      </c>
      <c r="C38" t="s">
        <v>15</v>
      </c>
      <c r="D38" t="s">
        <v>39</v>
      </c>
      <c r="E38" t="s">
        <v>61</v>
      </c>
      <c r="F38" t="s">
        <v>92</v>
      </c>
      <c r="G38">
        <v>3</v>
      </c>
      <c r="H38">
        <v>1820.62</v>
      </c>
      <c r="I38">
        <v>0.13</v>
      </c>
      <c r="J38">
        <v>4751.82</v>
      </c>
      <c r="K38" t="s">
        <v>46</v>
      </c>
      <c r="L38" t="s">
        <v>20</v>
      </c>
      <c r="M38" t="s">
        <v>21</v>
      </c>
      <c r="N38" t="s">
        <v>37</v>
      </c>
    </row>
    <row r="39" spans="1:14" x14ac:dyDescent="0.3">
      <c r="A39" t="s">
        <v>95</v>
      </c>
      <c r="B39" s="1">
        <v>45828</v>
      </c>
      <c r="C39" t="s">
        <v>52</v>
      </c>
      <c r="D39" t="s">
        <v>39</v>
      </c>
      <c r="E39" t="s">
        <v>17</v>
      </c>
      <c r="F39" t="s">
        <v>32</v>
      </c>
      <c r="G39">
        <v>1</v>
      </c>
      <c r="H39">
        <v>631.16999999999996</v>
      </c>
      <c r="I39">
        <v>0.11</v>
      </c>
      <c r="J39">
        <v>561.74</v>
      </c>
      <c r="K39" t="s">
        <v>33</v>
      </c>
      <c r="L39" t="s">
        <v>34</v>
      </c>
      <c r="M39" t="s">
        <v>21</v>
      </c>
      <c r="N39" t="s">
        <v>22</v>
      </c>
    </row>
    <row r="40" spans="1:14" x14ac:dyDescent="0.3">
      <c r="A40" t="s">
        <v>96</v>
      </c>
      <c r="B40" s="1">
        <v>45661</v>
      </c>
      <c r="C40" t="s">
        <v>48</v>
      </c>
      <c r="D40" t="s">
        <v>43</v>
      </c>
      <c r="E40" t="s">
        <v>27</v>
      </c>
      <c r="F40" t="s">
        <v>79</v>
      </c>
      <c r="G40">
        <v>3</v>
      </c>
      <c r="H40">
        <v>317.49</v>
      </c>
      <c r="I40">
        <v>0.11</v>
      </c>
      <c r="J40">
        <v>847.7</v>
      </c>
      <c r="K40" t="s">
        <v>33</v>
      </c>
      <c r="L40" t="s">
        <v>20</v>
      </c>
      <c r="M40" t="s">
        <v>21</v>
      </c>
      <c r="N40" t="s">
        <v>22</v>
      </c>
    </row>
    <row r="41" spans="1:14" x14ac:dyDescent="0.3">
      <c r="A41" t="s">
        <v>97</v>
      </c>
      <c r="B41" s="1">
        <v>45807</v>
      </c>
      <c r="C41" t="s">
        <v>36</v>
      </c>
      <c r="D41" t="s">
        <v>25</v>
      </c>
      <c r="E41" t="s">
        <v>17</v>
      </c>
      <c r="F41" t="s">
        <v>32</v>
      </c>
      <c r="G41">
        <v>1</v>
      </c>
      <c r="H41">
        <v>3626.8</v>
      </c>
      <c r="I41">
        <v>0.08</v>
      </c>
      <c r="J41">
        <v>3336.66</v>
      </c>
      <c r="K41" t="s">
        <v>46</v>
      </c>
      <c r="L41" t="s">
        <v>29</v>
      </c>
      <c r="M41" t="s">
        <v>30</v>
      </c>
      <c r="N41" t="s">
        <v>22</v>
      </c>
    </row>
    <row r="42" spans="1:14" x14ac:dyDescent="0.3">
      <c r="A42" t="s">
        <v>98</v>
      </c>
      <c r="B42" s="1">
        <v>45816</v>
      </c>
      <c r="C42" t="s">
        <v>52</v>
      </c>
      <c r="D42" t="s">
        <v>39</v>
      </c>
      <c r="E42" t="s">
        <v>99</v>
      </c>
      <c r="F42" t="s">
        <v>100</v>
      </c>
      <c r="G42">
        <v>4</v>
      </c>
      <c r="H42">
        <v>3418.86</v>
      </c>
      <c r="I42">
        <v>0.23</v>
      </c>
      <c r="J42">
        <v>10530.09</v>
      </c>
      <c r="K42" t="s">
        <v>41</v>
      </c>
      <c r="L42" t="s">
        <v>29</v>
      </c>
      <c r="M42" t="s">
        <v>21</v>
      </c>
      <c r="N42" t="s">
        <v>22</v>
      </c>
    </row>
    <row r="43" spans="1:14" x14ac:dyDescent="0.3">
      <c r="A43" t="s">
        <v>101</v>
      </c>
      <c r="B43" s="1">
        <v>45691</v>
      </c>
      <c r="C43" t="s">
        <v>15</v>
      </c>
      <c r="D43" t="s">
        <v>25</v>
      </c>
      <c r="E43" t="s">
        <v>17</v>
      </c>
      <c r="F43" t="s">
        <v>32</v>
      </c>
      <c r="G43">
        <v>5</v>
      </c>
      <c r="H43">
        <v>3072.64</v>
      </c>
      <c r="I43">
        <v>0.08</v>
      </c>
      <c r="J43">
        <v>14134.14</v>
      </c>
      <c r="K43" t="s">
        <v>19</v>
      </c>
      <c r="L43" t="s">
        <v>34</v>
      </c>
      <c r="M43" t="s">
        <v>30</v>
      </c>
      <c r="N43" t="s">
        <v>22</v>
      </c>
    </row>
    <row r="44" spans="1:14" x14ac:dyDescent="0.3">
      <c r="A44" t="s">
        <v>102</v>
      </c>
      <c r="B44" s="1">
        <v>45795</v>
      </c>
      <c r="C44" t="s">
        <v>52</v>
      </c>
      <c r="D44" t="s">
        <v>43</v>
      </c>
      <c r="E44" t="s">
        <v>27</v>
      </c>
      <c r="F44" t="s">
        <v>87</v>
      </c>
      <c r="G44">
        <v>5</v>
      </c>
      <c r="H44">
        <v>3352.88</v>
      </c>
      <c r="I44">
        <v>0.15</v>
      </c>
      <c r="J44">
        <v>14249.74</v>
      </c>
      <c r="K44" t="s">
        <v>58</v>
      </c>
      <c r="L44" t="s">
        <v>34</v>
      </c>
      <c r="M44" t="s">
        <v>54</v>
      </c>
      <c r="N44" t="s">
        <v>22</v>
      </c>
    </row>
    <row r="45" spans="1:14" x14ac:dyDescent="0.3">
      <c r="A45" t="s">
        <v>103</v>
      </c>
      <c r="B45" s="1">
        <v>45742</v>
      </c>
      <c r="C45" t="s">
        <v>52</v>
      </c>
      <c r="D45" t="s">
        <v>25</v>
      </c>
      <c r="E45" t="s">
        <v>61</v>
      </c>
      <c r="F45" t="s">
        <v>75</v>
      </c>
      <c r="G45">
        <v>2</v>
      </c>
      <c r="H45">
        <v>4921.29</v>
      </c>
      <c r="I45">
        <v>0.15</v>
      </c>
      <c r="J45">
        <v>8366.19</v>
      </c>
      <c r="K45" t="s">
        <v>58</v>
      </c>
      <c r="L45" t="s">
        <v>20</v>
      </c>
      <c r="M45" t="s">
        <v>54</v>
      </c>
      <c r="N45" t="s">
        <v>22</v>
      </c>
    </row>
    <row r="46" spans="1:14" x14ac:dyDescent="0.3">
      <c r="A46" t="s">
        <v>104</v>
      </c>
      <c r="B46" s="1">
        <v>45726</v>
      </c>
      <c r="C46" t="s">
        <v>48</v>
      </c>
      <c r="D46" t="s">
        <v>25</v>
      </c>
      <c r="E46" t="s">
        <v>27</v>
      </c>
      <c r="F46" t="s">
        <v>68</v>
      </c>
      <c r="G46">
        <v>2</v>
      </c>
      <c r="H46">
        <v>823.1</v>
      </c>
      <c r="I46">
        <v>0.17</v>
      </c>
      <c r="J46">
        <v>1366.35</v>
      </c>
      <c r="K46" t="s">
        <v>41</v>
      </c>
      <c r="L46" t="s">
        <v>34</v>
      </c>
      <c r="M46" t="s">
        <v>54</v>
      </c>
      <c r="N46" t="s">
        <v>22</v>
      </c>
    </row>
    <row r="47" spans="1:14" x14ac:dyDescent="0.3">
      <c r="A47" t="s">
        <v>105</v>
      </c>
      <c r="B47" s="1">
        <v>45713</v>
      </c>
      <c r="C47" t="s">
        <v>24</v>
      </c>
      <c r="D47" t="s">
        <v>39</v>
      </c>
      <c r="E47" t="s">
        <v>27</v>
      </c>
      <c r="F47" t="s">
        <v>87</v>
      </c>
      <c r="G47">
        <v>1</v>
      </c>
      <c r="H47">
        <v>2336.66</v>
      </c>
      <c r="I47">
        <v>0.2</v>
      </c>
      <c r="J47">
        <v>1869.33</v>
      </c>
      <c r="K47" t="s">
        <v>33</v>
      </c>
      <c r="L47" t="s">
        <v>20</v>
      </c>
      <c r="M47" t="s">
        <v>21</v>
      </c>
      <c r="N47" t="s">
        <v>59</v>
      </c>
    </row>
    <row r="48" spans="1:14" x14ac:dyDescent="0.3">
      <c r="A48" t="s">
        <v>106</v>
      </c>
      <c r="B48" s="1">
        <v>45690</v>
      </c>
      <c r="C48" t="s">
        <v>36</v>
      </c>
      <c r="D48" t="s">
        <v>39</v>
      </c>
      <c r="E48" t="s">
        <v>49</v>
      </c>
      <c r="F48" t="s">
        <v>50</v>
      </c>
      <c r="G48">
        <v>4</v>
      </c>
      <c r="H48">
        <v>2305.34</v>
      </c>
      <c r="I48">
        <v>0.19</v>
      </c>
      <c r="J48">
        <v>7469.3</v>
      </c>
      <c r="K48" t="s">
        <v>41</v>
      </c>
      <c r="L48" t="s">
        <v>20</v>
      </c>
      <c r="M48" t="s">
        <v>21</v>
      </c>
      <c r="N48" t="s">
        <v>88</v>
      </c>
    </row>
    <row r="49" spans="1:14" x14ac:dyDescent="0.3">
      <c r="A49" t="s">
        <v>107</v>
      </c>
      <c r="B49" s="1">
        <v>45701</v>
      </c>
      <c r="C49" t="s">
        <v>52</v>
      </c>
      <c r="D49" t="s">
        <v>39</v>
      </c>
      <c r="E49" t="s">
        <v>27</v>
      </c>
      <c r="F49" t="s">
        <v>87</v>
      </c>
      <c r="G49">
        <v>1</v>
      </c>
      <c r="H49">
        <v>3596.37</v>
      </c>
      <c r="I49">
        <v>0.06</v>
      </c>
      <c r="J49">
        <v>3380.59</v>
      </c>
      <c r="K49" t="s">
        <v>46</v>
      </c>
      <c r="L49" t="s">
        <v>34</v>
      </c>
      <c r="M49" t="s">
        <v>30</v>
      </c>
      <c r="N49" t="s">
        <v>37</v>
      </c>
    </row>
    <row r="50" spans="1:14" x14ac:dyDescent="0.3">
      <c r="A50" t="s">
        <v>108</v>
      </c>
      <c r="B50" s="1">
        <v>45808</v>
      </c>
      <c r="C50" t="s">
        <v>52</v>
      </c>
      <c r="D50" t="s">
        <v>39</v>
      </c>
      <c r="E50" t="s">
        <v>17</v>
      </c>
      <c r="F50" t="s">
        <v>44</v>
      </c>
      <c r="G50">
        <v>2</v>
      </c>
      <c r="H50">
        <v>3561.45</v>
      </c>
      <c r="I50">
        <v>0.02</v>
      </c>
      <c r="J50">
        <v>6980.44</v>
      </c>
      <c r="K50" t="s">
        <v>19</v>
      </c>
      <c r="L50" t="s">
        <v>34</v>
      </c>
      <c r="M50" t="s">
        <v>30</v>
      </c>
      <c r="N50" t="s">
        <v>22</v>
      </c>
    </row>
    <row r="51" spans="1:14" x14ac:dyDescent="0.3">
      <c r="A51" t="s">
        <v>109</v>
      </c>
      <c r="B51" s="1">
        <v>45725</v>
      </c>
      <c r="C51" t="s">
        <v>52</v>
      </c>
      <c r="D51" t="s">
        <v>25</v>
      </c>
      <c r="E51" t="s">
        <v>49</v>
      </c>
      <c r="F51" t="s">
        <v>56</v>
      </c>
      <c r="G51">
        <v>5</v>
      </c>
      <c r="H51">
        <v>4735.7</v>
      </c>
      <c r="I51">
        <v>0</v>
      </c>
      <c r="J51">
        <v>23678.5</v>
      </c>
      <c r="K51" t="s">
        <v>41</v>
      </c>
      <c r="L51" t="s">
        <v>34</v>
      </c>
      <c r="M51" t="s">
        <v>21</v>
      </c>
      <c r="N51" t="s">
        <v>22</v>
      </c>
    </row>
    <row r="52" spans="1:14" x14ac:dyDescent="0.3">
      <c r="A52" t="s">
        <v>110</v>
      </c>
      <c r="B52" s="1">
        <v>45679</v>
      </c>
      <c r="C52" t="s">
        <v>48</v>
      </c>
      <c r="D52" t="s">
        <v>43</v>
      </c>
      <c r="E52" t="s">
        <v>99</v>
      </c>
      <c r="F52" t="s">
        <v>111</v>
      </c>
      <c r="G52">
        <v>5</v>
      </c>
      <c r="H52">
        <v>4019.35</v>
      </c>
      <c r="I52">
        <v>0.22</v>
      </c>
      <c r="J52">
        <v>15675.47</v>
      </c>
      <c r="K52" t="s">
        <v>41</v>
      </c>
      <c r="L52" t="s">
        <v>29</v>
      </c>
      <c r="M52" t="s">
        <v>30</v>
      </c>
      <c r="N52" t="s">
        <v>22</v>
      </c>
    </row>
    <row r="53" spans="1:14" x14ac:dyDescent="0.3">
      <c r="A53" t="s">
        <v>112</v>
      </c>
      <c r="B53" s="1">
        <v>45678</v>
      </c>
      <c r="C53" t="s">
        <v>48</v>
      </c>
      <c r="D53" t="s">
        <v>16</v>
      </c>
      <c r="E53" t="s">
        <v>49</v>
      </c>
      <c r="F53" t="s">
        <v>56</v>
      </c>
      <c r="G53">
        <v>4</v>
      </c>
      <c r="H53">
        <v>3648.49</v>
      </c>
      <c r="I53">
        <v>0.21</v>
      </c>
      <c r="J53">
        <v>11529.23</v>
      </c>
      <c r="K53" t="s">
        <v>46</v>
      </c>
      <c r="L53" t="s">
        <v>29</v>
      </c>
      <c r="M53" t="s">
        <v>54</v>
      </c>
      <c r="N53" t="s">
        <v>37</v>
      </c>
    </row>
    <row r="54" spans="1:14" x14ac:dyDescent="0.3">
      <c r="A54" t="s">
        <v>113</v>
      </c>
      <c r="B54" s="1">
        <v>45733</v>
      </c>
      <c r="C54" t="s">
        <v>24</v>
      </c>
      <c r="D54" t="s">
        <v>43</v>
      </c>
      <c r="E54" t="s">
        <v>27</v>
      </c>
      <c r="F54" t="s">
        <v>79</v>
      </c>
      <c r="G54">
        <v>4</v>
      </c>
      <c r="H54">
        <v>990.47</v>
      </c>
      <c r="I54">
        <v>7.0000000000000007E-2</v>
      </c>
      <c r="J54">
        <v>3684.55</v>
      </c>
      <c r="K54" t="s">
        <v>41</v>
      </c>
      <c r="L54" t="s">
        <v>20</v>
      </c>
      <c r="M54" t="s">
        <v>30</v>
      </c>
      <c r="N54" t="s">
        <v>22</v>
      </c>
    </row>
    <row r="55" spans="1:14" x14ac:dyDescent="0.3">
      <c r="A55" t="s">
        <v>114</v>
      </c>
      <c r="B55" s="1">
        <v>45678</v>
      </c>
      <c r="C55" t="s">
        <v>15</v>
      </c>
      <c r="D55" t="s">
        <v>39</v>
      </c>
      <c r="E55" t="s">
        <v>99</v>
      </c>
      <c r="F55" t="s">
        <v>115</v>
      </c>
      <c r="G55">
        <v>1</v>
      </c>
      <c r="H55">
        <v>2404.5</v>
      </c>
      <c r="I55">
        <v>0.19</v>
      </c>
      <c r="J55">
        <v>1947.65</v>
      </c>
      <c r="K55" t="s">
        <v>41</v>
      </c>
      <c r="L55" t="s">
        <v>34</v>
      </c>
      <c r="M55" t="s">
        <v>54</v>
      </c>
      <c r="N55" t="s">
        <v>22</v>
      </c>
    </row>
    <row r="56" spans="1:14" x14ac:dyDescent="0.3">
      <c r="A56" t="s">
        <v>116</v>
      </c>
      <c r="B56" s="1">
        <v>45729</v>
      </c>
      <c r="C56" t="s">
        <v>24</v>
      </c>
      <c r="D56" t="s">
        <v>16</v>
      </c>
      <c r="E56" t="s">
        <v>17</v>
      </c>
      <c r="F56" t="s">
        <v>18</v>
      </c>
      <c r="G56">
        <v>1</v>
      </c>
      <c r="H56">
        <v>3144.54</v>
      </c>
      <c r="I56">
        <v>0.06</v>
      </c>
      <c r="J56">
        <v>2955.87</v>
      </c>
      <c r="K56" t="s">
        <v>19</v>
      </c>
      <c r="L56" t="s">
        <v>20</v>
      </c>
      <c r="M56" t="s">
        <v>30</v>
      </c>
      <c r="N56" t="s">
        <v>22</v>
      </c>
    </row>
    <row r="57" spans="1:14" x14ac:dyDescent="0.3">
      <c r="A57" t="s">
        <v>117</v>
      </c>
      <c r="B57" s="1">
        <v>45824</v>
      </c>
      <c r="C57" t="s">
        <v>15</v>
      </c>
      <c r="D57" t="s">
        <v>43</v>
      </c>
      <c r="E57" t="s">
        <v>61</v>
      </c>
      <c r="F57" t="s">
        <v>92</v>
      </c>
      <c r="G57">
        <v>5</v>
      </c>
      <c r="H57">
        <v>3075.51</v>
      </c>
      <c r="I57">
        <v>0.19</v>
      </c>
      <c r="J57">
        <v>12455.82</v>
      </c>
      <c r="K57" t="s">
        <v>46</v>
      </c>
      <c r="L57" t="s">
        <v>20</v>
      </c>
      <c r="M57" t="s">
        <v>54</v>
      </c>
      <c r="N57" t="s">
        <v>59</v>
      </c>
    </row>
    <row r="58" spans="1:14" x14ac:dyDescent="0.3">
      <c r="A58" t="s">
        <v>118</v>
      </c>
      <c r="B58" s="1">
        <v>45726</v>
      </c>
      <c r="C58" t="s">
        <v>15</v>
      </c>
      <c r="D58" t="s">
        <v>43</v>
      </c>
      <c r="E58" t="s">
        <v>17</v>
      </c>
      <c r="F58" t="s">
        <v>18</v>
      </c>
      <c r="G58">
        <v>4</v>
      </c>
      <c r="H58">
        <v>2043.61</v>
      </c>
      <c r="I58">
        <v>0.18</v>
      </c>
      <c r="J58">
        <v>6703.04</v>
      </c>
      <c r="K58" t="s">
        <v>33</v>
      </c>
      <c r="L58" t="s">
        <v>29</v>
      </c>
      <c r="M58" t="s">
        <v>54</v>
      </c>
      <c r="N58" t="s">
        <v>22</v>
      </c>
    </row>
    <row r="59" spans="1:14" x14ac:dyDescent="0.3">
      <c r="A59" t="s">
        <v>119</v>
      </c>
      <c r="B59" s="1">
        <v>45777</v>
      </c>
      <c r="C59" t="s">
        <v>36</v>
      </c>
      <c r="D59" t="s">
        <v>39</v>
      </c>
      <c r="E59" t="s">
        <v>99</v>
      </c>
      <c r="F59" t="s">
        <v>120</v>
      </c>
      <c r="G59">
        <v>5</v>
      </c>
      <c r="H59">
        <v>2199.0500000000002</v>
      </c>
      <c r="I59">
        <v>0.09</v>
      </c>
      <c r="J59">
        <v>10005.68</v>
      </c>
      <c r="K59" t="s">
        <v>58</v>
      </c>
      <c r="L59" t="s">
        <v>34</v>
      </c>
      <c r="M59" t="s">
        <v>21</v>
      </c>
      <c r="N59" t="s">
        <v>22</v>
      </c>
    </row>
    <row r="60" spans="1:14" x14ac:dyDescent="0.3">
      <c r="A60" t="s">
        <v>121</v>
      </c>
      <c r="B60" s="1">
        <v>45711</v>
      </c>
      <c r="C60" t="s">
        <v>24</v>
      </c>
      <c r="D60" t="s">
        <v>39</v>
      </c>
      <c r="E60" t="s">
        <v>49</v>
      </c>
      <c r="F60" t="s">
        <v>50</v>
      </c>
      <c r="G60">
        <v>4</v>
      </c>
      <c r="H60">
        <v>3565.81</v>
      </c>
      <c r="I60">
        <v>0.11</v>
      </c>
      <c r="J60">
        <v>12694.28</v>
      </c>
      <c r="K60" t="s">
        <v>41</v>
      </c>
      <c r="L60" t="s">
        <v>34</v>
      </c>
      <c r="M60" t="s">
        <v>21</v>
      </c>
      <c r="N60" t="s">
        <v>22</v>
      </c>
    </row>
    <row r="61" spans="1:14" x14ac:dyDescent="0.3">
      <c r="A61" t="s">
        <v>122</v>
      </c>
      <c r="B61" s="1">
        <v>45816</v>
      </c>
      <c r="C61" t="s">
        <v>48</v>
      </c>
      <c r="D61" t="s">
        <v>39</v>
      </c>
      <c r="E61" t="s">
        <v>27</v>
      </c>
      <c r="F61" t="s">
        <v>87</v>
      </c>
      <c r="G61">
        <v>5</v>
      </c>
      <c r="H61">
        <v>1415.14</v>
      </c>
      <c r="I61">
        <v>0.21</v>
      </c>
      <c r="J61">
        <v>5589.8</v>
      </c>
      <c r="K61" t="s">
        <v>41</v>
      </c>
      <c r="L61" t="s">
        <v>29</v>
      </c>
      <c r="M61" t="s">
        <v>54</v>
      </c>
      <c r="N61" t="s">
        <v>37</v>
      </c>
    </row>
    <row r="62" spans="1:14" x14ac:dyDescent="0.3">
      <c r="A62" t="s">
        <v>123</v>
      </c>
      <c r="B62" s="1">
        <v>45668</v>
      </c>
      <c r="C62" t="s">
        <v>36</v>
      </c>
      <c r="D62" t="s">
        <v>43</v>
      </c>
      <c r="E62" t="s">
        <v>61</v>
      </c>
      <c r="F62" t="s">
        <v>92</v>
      </c>
      <c r="G62">
        <v>4</v>
      </c>
      <c r="H62">
        <v>1748.34</v>
      </c>
      <c r="I62">
        <v>0.12</v>
      </c>
      <c r="J62">
        <v>6154.16</v>
      </c>
      <c r="K62" t="s">
        <v>33</v>
      </c>
      <c r="L62" t="s">
        <v>29</v>
      </c>
      <c r="M62" t="s">
        <v>30</v>
      </c>
      <c r="N62" t="s">
        <v>22</v>
      </c>
    </row>
    <row r="63" spans="1:14" x14ac:dyDescent="0.3">
      <c r="A63" t="s">
        <v>124</v>
      </c>
      <c r="B63" s="1">
        <v>45801</v>
      </c>
      <c r="C63" t="s">
        <v>15</v>
      </c>
      <c r="D63" t="s">
        <v>16</v>
      </c>
      <c r="E63" t="s">
        <v>99</v>
      </c>
      <c r="F63" t="s">
        <v>111</v>
      </c>
      <c r="G63">
        <v>3</v>
      </c>
      <c r="H63">
        <v>2823.38</v>
      </c>
      <c r="I63">
        <v>0.13</v>
      </c>
      <c r="J63">
        <v>7369.02</v>
      </c>
      <c r="K63" t="s">
        <v>46</v>
      </c>
      <c r="L63" t="s">
        <v>29</v>
      </c>
      <c r="M63" t="s">
        <v>54</v>
      </c>
      <c r="N63" t="s">
        <v>22</v>
      </c>
    </row>
    <row r="64" spans="1:14" x14ac:dyDescent="0.3">
      <c r="A64" t="s">
        <v>125</v>
      </c>
      <c r="B64" s="1">
        <v>45749</v>
      </c>
      <c r="C64" t="s">
        <v>36</v>
      </c>
      <c r="D64" t="s">
        <v>16</v>
      </c>
      <c r="E64" t="s">
        <v>49</v>
      </c>
      <c r="F64" t="s">
        <v>50</v>
      </c>
      <c r="G64">
        <v>4</v>
      </c>
      <c r="H64">
        <v>3264.92</v>
      </c>
      <c r="I64">
        <v>0.12</v>
      </c>
      <c r="J64">
        <v>11492.52</v>
      </c>
      <c r="K64" t="s">
        <v>19</v>
      </c>
      <c r="L64" t="s">
        <v>29</v>
      </c>
      <c r="M64" t="s">
        <v>54</v>
      </c>
      <c r="N64" t="s">
        <v>22</v>
      </c>
    </row>
    <row r="65" spans="1:14" x14ac:dyDescent="0.3">
      <c r="A65" t="s">
        <v>126</v>
      </c>
      <c r="B65" s="1">
        <v>45764</v>
      </c>
      <c r="C65" t="s">
        <v>15</v>
      </c>
      <c r="D65" t="s">
        <v>39</v>
      </c>
      <c r="E65" t="s">
        <v>49</v>
      </c>
      <c r="F65" t="s">
        <v>73</v>
      </c>
      <c r="G65">
        <v>4</v>
      </c>
      <c r="H65">
        <v>2812.02</v>
      </c>
      <c r="I65">
        <v>0.09</v>
      </c>
      <c r="J65">
        <v>10235.75</v>
      </c>
      <c r="K65" t="s">
        <v>33</v>
      </c>
      <c r="L65" t="s">
        <v>34</v>
      </c>
      <c r="M65" t="s">
        <v>21</v>
      </c>
      <c r="N65" t="s">
        <v>22</v>
      </c>
    </row>
    <row r="66" spans="1:14" x14ac:dyDescent="0.3">
      <c r="A66" t="s">
        <v>127</v>
      </c>
      <c r="B66" s="1">
        <v>45684</v>
      </c>
      <c r="C66" t="s">
        <v>15</v>
      </c>
      <c r="D66" t="s">
        <v>43</v>
      </c>
      <c r="E66" t="s">
        <v>49</v>
      </c>
      <c r="F66" t="s">
        <v>53</v>
      </c>
      <c r="G66">
        <v>1</v>
      </c>
      <c r="H66">
        <v>3634.29</v>
      </c>
      <c r="I66">
        <v>0.08</v>
      </c>
      <c r="J66">
        <v>3343.55</v>
      </c>
      <c r="K66" t="s">
        <v>46</v>
      </c>
      <c r="L66" t="s">
        <v>20</v>
      </c>
      <c r="M66" t="s">
        <v>21</v>
      </c>
      <c r="N66" t="s">
        <v>22</v>
      </c>
    </row>
    <row r="67" spans="1:14" x14ac:dyDescent="0.3">
      <c r="A67" t="s">
        <v>128</v>
      </c>
      <c r="B67" s="1">
        <v>45839</v>
      </c>
      <c r="C67" t="s">
        <v>36</v>
      </c>
      <c r="D67" t="s">
        <v>43</v>
      </c>
      <c r="E67" t="s">
        <v>49</v>
      </c>
      <c r="F67" t="s">
        <v>53</v>
      </c>
      <c r="G67">
        <v>3</v>
      </c>
      <c r="H67">
        <v>4904.5</v>
      </c>
      <c r="I67">
        <v>0.21</v>
      </c>
      <c r="J67">
        <v>11623.67</v>
      </c>
      <c r="K67" t="s">
        <v>33</v>
      </c>
      <c r="L67" t="s">
        <v>29</v>
      </c>
      <c r="M67" t="s">
        <v>30</v>
      </c>
      <c r="N67" t="s">
        <v>22</v>
      </c>
    </row>
    <row r="68" spans="1:14" x14ac:dyDescent="0.3">
      <c r="A68" t="s">
        <v>129</v>
      </c>
      <c r="B68" s="1">
        <v>45733</v>
      </c>
      <c r="C68" t="s">
        <v>36</v>
      </c>
      <c r="D68" t="s">
        <v>43</v>
      </c>
      <c r="E68" t="s">
        <v>99</v>
      </c>
      <c r="F68" t="s">
        <v>120</v>
      </c>
      <c r="G68">
        <v>1</v>
      </c>
      <c r="H68">
        <v>4874.05</v>
      </c>
      <c r="I68">
        <v>0.14000000000000001</v>
      </c>
      <c r="J68">
        <v>4191.68</v>
      </c>
      <c r="K68" t="s">
        <v>19</v>
      </c>
      <c r="L68" t="s">
        <v>34</v>
      </c>
      <c r="M68" t="s">
        <v>21</v>
      </c>
      <c r="N68" t="s">
        <v>22</v>
      </c>
    </row>
    <row r="69" spans="1:14" x14ac:dyDescent="0.3">
      <c r="A69" t="s">
        <v>130</v>
      </c>
      <c r="B69" s="1">
        <v>45675</v>
      </c>
      <c r="C69" t="s">
        <v>24</v>
      </c>
      <c r="D69" t="s">
        <v>39</v>
      </c>
      <c r="E69" t="s">
        <v>49</v>
      </c>
      <c r="F69" t="s">
        <v>56</v>
      </c>
      <c r="G69">
        <v>4</v>
      </c>
      <c r="H69">
        <v>2445.6999999999998</v>
      </c>
      <c r="I69">
        <v>0.09</v>
      </c>
      <c r="J69">
        <v>8902.35</v>
      </c>
      <c r="K69" t="s">
        <v>33</v>
      </c>
      <c r="L69" t="s">
        <v>34</v>
      </c>
      <c r="M69" t="s">
        <v>54</v>
      </c>
      <c r="N69" t="s">
        <v>37</v>
      </c>
    </row>
    <row r="70" spans="1:14" x14ac:dyDescent="0.3">
      <c r="A70" t="s">
        <v>131</v>
      </c>
      <c r="B70" s="1">
        <v>45767</v>
      </c>
      <c r="C70" t="s">
        <v>24</v>
      </c>
      <c r="D70" t="s">
        <v>43</v>
      </c>
      <c r="E70" t="s">
        <v>49</v>
      </c>
      <c r="F70" t="s">
        <v>56</v>
      </c>
      <c r="G70">
        <v>1</v>
      </c>
      <c r="H70">
        <v>2927.4</v>
      </c>
      <c r="I70">
        <v>0.17</v>
      </c>
      <c r="J70">
        <v>2429.7399999999998</v>
      </c>
      <c r="K70" t="s">
        <v>41</v>
      </c>
      <c r="L70" t="s">
        <v>34</v>
      </c>
      <c r="M70" t="s">
        <v>54</v>
      </c>
      <c r="N70" t="s">
        <v>88</v>
      </c>
    </row>
    <row r="71" spans="1:14" x14ac:dyDescent="0.3">
      <c r="A71" t="s">
        <v>132</v>
      </c>
      <c r="B71" s="1">
        <v>45716</v>
      </c>
      <c r="C71" t="s">
        <v>52</v>
      </c>
      <c r="D71" t="s">
        <v>25</v>
      </c>
      <c r="E71" t="s">
        <v>99</v>
      </c>
      <c r="F71" t="s">
        <v>120</v>
      </c>
      <c r="G71">
        <v>4</v>
      </c>
      <c r="H71">
        <v>3070.96</v>
      </c>
      <c r="I71">
        <v>0.2</v>
      </c>
      <c r="J71">
        <v>9827.07</v>
      </c>
      <c r="K71" t="s">
        <v>58</v>
      </c>
      <c r="L71" t="s">
        <v>29</v>
      </c>
      <c r="M71" t="s">
        <v>54</v>
      </c>
      <c r="N71" t="s">
        <v>22</v>
      </c>
    </row>
    <row r="72" spans="1:14" x14ac:dyDescent="0.3">
      <c r="A72" t="s">
        <v>133</v>
      </c>
      <c r="B72" s="1">
        <v>45821</v>
      </c>
      <c r="C72" t="s">
        <v>36</v>
      </c>
      <c r="D72" t="s">
        <v>16</v>
      </c>
      <c r="E72" t="s">
        <v>49</v>
      </c>
      <c r="F72" t="s">
        <v>53</v>
      </c>
      <c r="G72">
        <v>5</v>
      </c>
      <c r="H72">
        <v>3143.03</v>
      </c>
      <c r="I72">
        <v>0.15</v>
      </c>
      <c r="J72">
        <v>13357.88</v>
      </c>
      <c r="K72" t="s">
        <v>41</v>
      </c>
      <c r="L72" t="s">
        <v>34</v>
      </c>
      <c r="M72" t="s">
        <v>21</v>
      </c>
      <c r="N72" t="s">
        <v>37</v>
      </c>
    </row>
    <row r="73" spans="1:14" x14ac:dyDescent="0.3">
      <c r="A73" t="s">
        <v>134</v>
      </c>
      <c r="B73" s="1">
        <v>45782</v>
      </c>
      <c r="C73" t="s">
        <v>15</v>
      </c>
      <c r="D73" t="s">
        <v>25</v>
      </c>
      <c r="E73" t="s">
        <v>61</v>
      </c>
      <c r="F73" t="s">
        <v>75</v>
      </c>
      <c r="G73">
        <v>2</v>
      </c>
      <c r="H73">
        <v>951.69</v>
      </c>
      <c r="I73">
        <v>0.02</v>
      </c>
      <c r="J73">
        <v>1865.31</v>
      </c>
      <c r="K73" t="s">
        <v>58</v>
      </c>
      <c r="L73" t="s">
        <v>20</v>
      </c>
      <c r="M73" t="s">
        <v>54</v>
      </c>
      <c r="N73" t="s">
        <v>22</v>
      </c>
    </row>
    <row r="74" spans="1:14" x14ac:dyDescent="0.3">
      <c r="A74" t="s">
        <v>135</v>
      </c>
      <c r="B74" s="1">
        <v>45780</v>
      </c>
      <c r="C74" t="s">
        <v>15</v>
      </c>
      <c r="D74" t="s">
        <v>16</v>
      </c>
      <c r="E74" t="s">
        <v>27</v>
      </c>
      <c r="F74" t="s">
        <v>87</v>
      </c>
      <c r="G74">
        <v>3</v>
      </c>
      <c r="H74">
        <v>3564.08</v>
      </c>
      <c r="I74">
        <v>0.18</v>
      </c>
      <c r="J74">
        <v>8767.64</v>
      </c>
      <c r="K74" t="s">
        <v>58</v>
      </c>
      <c r="L74" t="s">
        <v>20</v>
      </c>
      <c r="M74" t="s">
        <v>30</v>
      </c>
      <c r="N74" t="s">
        <v>22</v>
      </c>
    </row>
    <row r="75" spans="1:14" x14ac:dyDescent="0.3">
      <c r="A75" t="s">
        <v>136</v>
      </c>
      <c r="B75" s="1">
        <v>45831</v>
      </c>
      <c r="C75" t="s">
        <v>48</v>
      </c>
      <c r="D75" t="s">
        <v>16</v>
      </c>
      <c r="E75" t="s">
        <v>99</v>
      </c>
      <c r="F75" t="s">
        <v>100</v>
      </c>
      <c r="G75">
        <v>2</v>
      </c>
      <c r="H75">
        <v>3273.41</v>
      </c>
      <c r="I75">
        <v>0.23</v>
      </c>
      <c r="J75">
        <v>5041.05</v>
      </c>
      <c r="K75" t="s">
        <v>58</v>
      </c>
      <c r="L75" t="s">
        <v>29</v>
      </c>
      <c r="M75" t="s">
        <v>54</v>
      </c>
      <c r="N75" t="s">
        <v>22</v>
      </c>
    </row>
    <row r="76" spans="1:14" x14ac:dyDescent="0.3">
      <c r="A76" t="s">
        <v>137</v>
      </c>
      <c r="B76" s="1">
        <v>45827</v>
      </c>
      <c r="C76" t="s">
        <v>48</v>
      </c>
      <c r="D76" t="s">
        <v>25</v>
      </c>
      <c r="E76" t="s">
        <v>99</v>
      </c>
      <c r="F76" t="s">
        <v>111</v>
      </c>
      <c r="G76">
        <v>3</v>
      </c>
      <c r="H76">
        <v>3528.7</v>
      </c>
      <c r="I76">
        <v>0.24</v>
      </c>
      <c r="J76">
        <v>8045.44</v>
      </c>
      <c r="K76" t="s">
        <v>58</v>
      </c>
      <c r="L76" t="s">
        <v>34</v>
      </c>
      <c r="M76" t="s">
        <v>21</v>
      </c>
      <c r="N76" t="s">
        <v>22</v>
      </c>
    </row>
    <row r="77" spans="1:14" x14ac:dyDescent="0.3">
      <c r="A77" t="s">
        <v>138</v>
      </c>
      <c r="B77" s="1">
        <v>45730</v>
      </c>
      <c r="C77" t="s">
        <v>48</v>
      </c>
      <c r="D77" t="s">
        <v>16</v>
      </c>
      <c r="E77" t="s">
        <v>27</v>
      </c>
      <c r="F77" t="s">
        <v>79</v>
      </c>
      <c r="G77">
        <v>3</v>
      </c>
      <c r="H77">
        <v>226.74</v>
      </c>
      <c r="I77">
        <v>0.06</v>
      </c>
      <c r="J77">
        <v>639.41</v>
      </c>
      <c r="K77" t="s">
        <v>46</v>
      </c>
      <c r="L77" t="s">
        <v>29</v>
      </c>
      <c r="M77" t="s">
        <v>21</v>
      </c>
      <c r="N77" t="s">
        <v>59</v>
      </c>
    </row>
    <row r="78" spans="1:14" x14ac:dyDescent="0.3">
      <c r="A78" t="s">
        <v>139</v>
      </c>
      <c r="B78" s="1">
        <v>45772</v>
      </c>
      <c r="C78" t="s">
        <v>52</v>
      </c>
      <c r="D78" t="s">
        <v>25</v>
      </c>
      <c r="E78" t="s">
        <v>99</v>
      </c>
      <c r="F78" t="s">
        <v>120</v>
      </c>
      <c r="G78">
        <v>4</v>
      </c>
      <c r="H78">
        <v>4588.76</v>
      </c>
      <c r="I78">
        <v>0.05</v>
      </c>
      <c r="J78">
        <v>17437.29</v>
      </c>
      <c r="K78" t="s">
        <v>41</v>
      </c>
      <c r="L78" t="s">
        <v>29</v>
      </c>
      <c r="M78" t="s">
        <v>21</v>
      </c>
      <c r="N78" t="s">
        <v>22</v>
      </c>
    </row>
    <row r="79" spans="1:14" x14ac:dyDescent="0.3">
      <c r="A79" t="s">
        <v>140</v>
      </c>
      <c r="B79" s="1">
        <v>45697</v>
      </c>
      <c r="C79" t="s">
        <v>48</v>
      </c>
      <c r="D79" t="s">
        <v>39</v>
      </c>
      <c r="E79" t="s">
        <v>49</v>
      </c>
      <c r="F79" t="s">
        <v>56</v>
      </c>
      <c r="G79">
        <v>3</v>
      </c>
      <c r="H79">
        <v>1673.19</v>
      </c>
      <c r="I79">
        <v>0.03</v>
      </c>
      <c r="J79">
        <v>4868.9799999999996</v>
      </c>
      <c r="K79" t="s">
        <v>46</v>
      </c>
      <c r="L79" t="s">
        <v>34</v>
      </c>
      <c r="M79" t="s">
        <v>54</v>
      </c>
      <c r="N79" t="s">
        <v>22</v>
      </c>
    </row>
    <row r="80" spans="1:14" x14ac:dyDescent="0.3">
      <c r="A80" t="s">
        <v>141</v>
      </c>
      <c r="B80" s="1">
        <v>45796</v>
      </c>
      <c r="C80" t="s">
        <v>48</v>
      </c>
      <c r="D80" t="s">
        <v>25</v>
      </c>
      <c r="E80" t="s">
        <v>49</v>
      </c>
      <c r="F80" t="s">
        <v>53</v>
      </c>
      <c r="G80">
        <v>4</v>
      </c>
      <c r="H80">
        <v>531.49</v>
      </c>
      <c r="I80">
        <v>0.06</v>
      </c>
      <c r="J80">
        <v>1998.4</v>
      </c>
      <c r="K80" t="s">
        <v>33</v>
      </c>
      <c r="L80" t="s">
        <v>20</v>
      </c>
      <c r="M80" t="s">
        <v>54</v>
      </c>
      <c r="N80" t="s">
        <v>37</v>
      </c>
    </row>
    <row r="81" spans="1:14" x14ac:dyDescent="0.3">
      <c r="A81" t="s">
        <v>142</v>
      </c>
      <c r="B81" s="1">
        <v>45673</v>
      </c>
      <c r="C81" t="s">
        <v>48</v>
      </c>
      <c r="D81" t="s">
        <v>25</v>
      </c>
      <c r="E81" t="s">
        <v>17</v>
      </c>
      <c r="F81" t="s">
        <v>40</v>
      </c>
      <c r="G81">
        <v>5</v>
      </c>
      <c r="H81">
        <v>1872.72</v>
      </c>
      <c r="I81">
        <v>0.19</v>
      </c>
      <c r="J81">
        <v>7584.52</v>
      </c>
      <c r="K81" t="s">
        <v>58</v>
      </c>
      <c r="L81" t="s">
        <v>20</v>
      </c>
      <c r="M81" t="s">
        <v>21</v>
      </c>
      <c r="N81" t="s">
        <v>88</v>
      </c>
    </row>
    <row r="82" spans="1:14" x14ac:dyDescent="0.3">
      <c r="A82" t="s">
        <v>143</v>
      </c>
      <c r="B82" s="1">
        <v>45668</v>
      </c>
      <c r="C82" t="s">
        <v>36</v>
      </c>
      <c r="D82" t="s">
        <v>43</v>
      </c>
      <c r="E82" t="s">
        <v>61</v>
      </c>
      <c r="F82" t="s">
        <v>66</v>
      </c>
      <c r="G82">
        <v>4</v>
      </c>
      <c r="H82">
        <v>4416.1499999999996</v>
      </c>
      <c r="I82">
        <v>0.12</v>
      </c>
      <c r="J82">
        <v>15544.85</v>
      </c>
      <c r="K82" t="s">
        <v>19</v>
      </c>
      <c r="L82" t="s">
        <v>34</v>
      </c>
      <c r="M82" t="s">
        <v>54</v>
      </c>
      <c r="N82" t="s">
        <v>22</v>
      </c>
    </row>
    <row r="83" spans="1:14" x14ac:dyDescent="0.3">
      <c r="A83" t="s">
        <v>144</v>
      </c>
      <c r="B83" s="1">
        <v>45788</v>
      </c>
      <c r="C83" t="s">
        <v>36</v>
      </c>
      <c r="D83" t="s">
        <v>16</v>
      </c>
      <c r="E83" t="s">
        <v>99</v>
      </c>
      <c r="F83" t="s">
        <v>120</v>
      </c>
      <c r="G83">
        <v>2</v>
      </c>
      <c r="H83">
        <v>4962.0600000000004</v>
      </c>
      <c r="I83">
        <v>0.23</v>
      </c>
      <c r="J83">
        <v>7641.57</v>
      </c>
      <c r="K83" t="s">
        <v>41</v>
      </c>
      <c r="L83" t="s">
        <v>20</v>
      </c>
      <c r="M83" t="s">
        <v>30</v>
      </c>
      <c r="N83" t="s">
        <v>22</v>
      </c>
    </row>
    <row r="84" spans="1:14" x14ac:dyDescent="0.3">
      <c r="A84" t="s">
        <v>145</v>
      </c>
      <c r="B84" s="1">
        <v>45704</v>
      </c>
      <c r="C84" t="s">
        <v>15</v>
      </c>
      <c r="D84" t="s">
        <v>43</v>
      </c>
      <c r="E84" t="s">
        <v>61</v>
      </c>
      <c r="F84" t="s">
        <v>92</v>
      </c>
      <c r="G84">
        <v>3</v>
      </c>
      <c r="H84">
        <v>2135.9</v>
      </c>
      <c r="I84">
        <v>0.12</v>
      </c>
      <c r="J84">
        <v>5638.78</v>
      </c>
      <c r="K84" t="s">
        <v>33</v>
      </c>
      <c r="L84" t="s">
        <v>29</v>
      </c>
      <c r="M84" t="s">
        <v>30</v>
      </c>
      <c r="N84" t="s">
        <v>22</v>
      </c>
    </row>
    <row r="85" spans="1:14" x14ac:dyDescent="0.3">
      <c r="A85" t="s">
        <v>146</v>
      </c>
      <c r="B85" s="1">
        <v>45810</v>
      </c>
      <c r="C85" t="s">
        <v>52</v>
      </c>
      <c r="D85" t="s">
        <v>39</v>
      </c>
      <c r="E85" t="s">
        <v>61</v>
      </c>
      <c r="F85" t="s">
        <v>92</v>
      </c>
      <c r="G85">
        <v>2</v>
      </c>
      <c r="H85">
        <v>4333.7299999999996</v>
      </c>
      <c r="I85">
        <v>7.0000000000000007E-2</v>
      </c>
      <c r="J85">
        <v>8060.74</v>
      </c>
      <c r="K85" t="s">
        <v>33</v>
      </c>
      <c r="L85" t="s">
        <v>29</v>
      </c>
      <c r="M85" t="s">
        <v>30</v>
      </c>
      <c r="N85" t="s">
        <v>37</v>
      </c>
    </row>
    <row r="86" spans="1:14" x14ac:dyDescent="0.3">
      <c r="A86" t="s">
        <v>147</v>
      </c>
      <c r="B86" s="1">
        <v>45716</v>
      </c>
      <c r="C86" t="s">
        <v>24</v>
      </c>
      <c r="D86" t="s">
        <v>25</v>
      </c>
      <c r="E86" t="s">
        <v>27</v>
      </c>
      <c r="F86" t="s">
        <v>28</v>
      </c>
      <c r="G86">
        <v>3</v>
      </c>
      <c r="H86">
        <v>4203.63</v>
      </c>
      <c r="I86">
        <v>0.14000000000000001</v>
      </c>
      <c r="J86">
        <v>10845.37</v>
      </c>
      <c r="K86" t="s">
        <v>46</v>
      </c>
      <c r="L86" t="s">
        <v>29</v>
      </c>
      <c r="M86" t="s">
        <v>21</v>
      </c>
      <c r="N86" t="s">
        <v>37</v>
      </c>
    </row>
    <row r="87" spans="1:14" x14ac:dyDescent="0.3">
      <c r="A87" t="s">
        <v>148</v>
      </c>
      <c r="B87" s="1">
        <v>45675</v>
      </c>
      <c r="C87" t="s">
        <v>15</v>
      </c>
      <c r="D87" t="s">
        <v>43</v>
      </c>
      <c r="E87" t="s">
        <v>49</v>
      </c>
      <c r="F87" t="s">
        <v>50</v>
      </c>
      <c r="G87">
        <v>5</v>
      </c>
      <c r="H87">
        <v>1948.33</v>
      </c>
      <c r="I87">
        <v>0.23</v>
      </c>
      <c r="J87">
        <v>7501.07</v>
      </c>
      <c r="K87" t="s">
        <v>46</v>
      </c>
      <c r="L87" t="s">
        <v>29</v>
      </c>
      <c r="M87" t="s">
        <v>54</v>
      </c>
      <c r="N87" t="s">
        <v>22</v>
      </c>
    </row>
    <row r="88" spans="1:14" x14ac:dyDescent="0.3">
      <c r="A88" t="s">
        <v>149</v>
      </c>
      <c r="B88" s="1">
        <v>45826</v>
      </c>
      <c r="C88" t="s">
        <v>24</v>
      </c>
      <c r="D88" t="s">
        <v>43</v>
      </c>
      <c r="E88" t="s">
        <v>61</v>
      </c>
      <c r="F88" t="s">
        <v>92</v>
      </c>
      <c r="G88">
        <v>4</v>
      </c>
      <c r="H88">
        <v>3555.62</v>
      </c>
      <c r="I88">
        <v>0.2</v>
      </c>
      <c r="J88">
        <v>11377.98</v>
      </c>
      <c r="K88" t="s">
        <v>46</v>
      </c>
      <c r="L88" t="s">
        <v>29</v>
      </c>
      <c r="M88" t="s">
        <v>30</v>
      </c>
      <c r="N88" t="s">
        <v>22</v>
      </c>
    </row>
    <row r="89" spans="1:14" x14ac:dyDescent="0.3">
      <c r="A89" t="s">
        <v>150</v>
      </c>
      <c r="B89" s="1">
        <v>45705</v>
      </c>
      <c r="C89" t="s">
        <v>36</v>
      </c>
      <c r="D89" t="s">
        <v>25</v>
      </c>
      <c r="E89" t="s">
        <v>17</v>
      </c>
      <c r="F89" t="s">
        <v>44</v>
      </c>
      <c r="G89">
        <v>1</v>
      </c>
      <c r="H89">
        <v>4383.53</v>
      </c>
      <c r="I89">
        <v>0.11</v>
      </c>
      <c r="J89">
        <v>3901.34</v>
      </c>
      <c r="K89" t="s">
        <v>33</v>
      </c>
      <c r="L89" t="s">
        <v>34</v>
      </c>
      <c r="M89" t="s">
        <v>21</v>
      </c>
      <c r="N89" t="s">
        <v>22</v>
      </c>
    </row>
    <row r="90" spans="1:14" x14ac:dyDescent="0.3">
      <c r="A90" t="s">
        <v>151</v>
      </c>
      <c r="B90" s="1">
        <v>45828</v>
      </c>
      <c r="C90" t="s">
        <v>52</v>
      </c>
      <c r="D90" t="s">
        <v>16</v>
      </c>
      <c r="E90" t="s">
        <v>61</v>
      </c>
      <c r="F90" t="s">
        <v>92</v>
      </c>
      <c r="G90">
        <v>3</v>
      </c>
      <c r="H90">
        <v>1758.95</v>
      </c>
      <c r="I90">
        <v>0.17</v>
      </c>
      <c r="J90">
        <v>4379.79</v>
      </c>
      <c r="K90" t="s">
        <v>58</v>
      </c>
      <c r="L90" t="s">
        <v>34</v>
      </c>
      <c r="M90" t="s">
        <v>21</v>
      </c>
      <c r="N90" t="s">
        <v>37</v>
      </c>
    </row>
    <row r="91" spans="1:14" x14ac:dyDescent="0.3">
      <c r="A91" t="s">
        <v>152</v>
      </c>
      <c r="B91" s="1">
        <v>45679</v>
      </c>
      <c r="C91" t="s">
        <v>15</v>
      </c>
      <c r="D91" t="s">
        <v>39</v>
      </c>
      <c r="E91" t="s">
        <v>27</v>
      </c>
      <c r="F91" t="s">
        <v>87</v>
      </c>
      <c r="G91">
        <v>1</v>
      </c>
      <c r="H91">
        <v>3125.55</v>
      </c>
      <c r="I91">
        <v>0.06</v>
      </c>
      <c r="J91">
        <v>2938.02</v>
      </c>
      <c r="K91" t="s">
        <v>41</v>
      </c>
      <c r="L91" t="s">
        <v>29</v>
      </c>
      <c r="M91" t="s">
        <v>21</v>
      </c>
      <c r="N91" t="s">
        <v>59</v>
      </c>
    </row>
    <row r="92" spans="1:14" x14ac:dyDescent="0.3">
      <c r="A92" t="s">
        <v>153</v>
      </c>
      <c r="B92" s="1">
        <v>45733</v>
      </c>
      <c r="C92" t="s">
        <v>24</v>
      </c>
      <c r="D92" t="s">
        <v>39</v>
      </c>
      <c r="E92" t="s">
        <v>17</v>
      </c>
      <c r="F92" t="s">
        <v>40</v>
      </c>
      <c r="G92">
        <v>2</v>
      </c>
      <c r="H92">
        <v>3500.61</v>
      </c>
      <c r="I92">
        <v>0.23</v>
      </c>
      <c r="J92">
        <v>5390.94</v>
      </c>
      <c r="K92" t="s">
        <v>58</v>
      </c>
      <c r="L92" t="s">
        <v>34</v>
      </c>
      <c r="M92" t="s">
        <v>54</v>
      </c>
      <c r="N92" t="s">
        <v>88</v>
      </c>
    </row>
    <row r="93" spans="1:14" x14ac:dyDescent="0.3">
      <c r="A93" t="s">
        <v>154</v>
      </c>
      <c r="B93" s="1">
        <v>45713</v>
      </c>
      <c r="C93" t="s">
        <v>15</v>
      </c>
      <c r="D93" t="s">
        <v>43</v>
      </c>
      <c r="E93" t="s">
        <v>99</v>
      </c>
      <c r="F93" t="s">
        <v>111</v>
      </c>
      <c r="G93">
        <v>2</v>
      </c>
      <c r="H93">
        <v>2702.71</v>
      </c>
      <c r="I93">
        <v>0.14000000000000001</v>
      </c>
      <c r="J93">
        <v>4648.66</v>
      </c>
      <c r="K93" t="s">
        <v>41</v>
      </c>
      <c r="L93" t="s">
        <v>20</v>
      </c>
      <c r="M93" t="s">
        <v>54</v>
      </c>
      <c r="N93" t="s">
        <v>22</v>
      </c>
    </row>
    <row r="94" spans="1:14" x14ac:dyDescent="0.3">
      <c r="A94" t="s">
        <v>155</v>
      </c>
      <c r="B94" s="1">
        <v>45748</v>
      </c>
      <c r="C94" t="s">
        <v>36</v>
      </c>
      <c r="D94" t="s">
        <v>25</v>
      </c>
      <c r="E94" t="s">
        <v>27</v>
      </c>
      <c r="F94" t="s">
        <v>87</v>
      </c>
      <c r="G94">
        <v>5</v>
      </c>
      <c r="H94">
        <v>801.28</v>
      </c>
      <c r="I94">
        <v>0.12</v>
      </c>
      <c r="J94">
        <v>3525.63</v>
      </c>
      <c r="K94" t="s">
        <v>19</v>
      </c>
      <c r="L94" t="s">
        <v>34</v>
      </c>
      <c r="M94" t="s">
        <v>30</v>
      </c>
      <c r="N94" t="s">
        <v>22</v>
      </c>
    </row>
    <row r="95" spans="1:14" x14ac:dyDescent="0.3">
      <c r="A95" t="s">
        <v>156</v>
      </c>
      <c r="B95" s="1">
        <v>45783</v>
      </c>
      <c r="C95" t="s">
        <v>15</v>
      </c>
      <c r="D95" t="s">
        <v>39</v>
      </c>
      <c r="E95" t="s">
        <v>17</v>
      </c>
      <c r="F95" t="s">
        <v>40</v>
      </c>
      <c r="G95">
        <v>1</v>
      </c>
      <c r="H95">
        <v>2264.48</v>
      </c>
      <c r="I95">
        <v>0.09</v>
      </c>
      <c r="J95">
        <v>2060.6799999999998</v>
      </c>
      <c r="K95" t="s">
        <v>33</v>
      </c>
      <c r="L95" t="s">
        <v>20</v>
      </c>
      <c r="M95" t="s">
        <v>21</v>
      </c>
      <c r="N95" t="s">
        <v>22</v>
      </c>
    </row>
    <row r="96" spans="1:14" x14ac:dyDescent="0.3">
      <c r="A96" t="s">
        <v>157</v>
      </c>
      <c r="B96" s="1">
        <v>45821</v>
      </c>
      <c r="C96" t="s">
        <v>48</v>
      </c>
      <c r="D96" t="s">
        <v>39</v>
      </c>
      <c r="E96" t="s">
        <v>49</v>
      </c>
      <c r="F96" t="s">
        <v>53</v>
      </c>
      <c r="G96">
        <v>4</v>
      </c>
      <c r="H96">
        <v>4281.34</v>
      </c>
      <c r="I96">
        <v>0.03</v>
      </c>
      <c r="J96">
        <v>16611.599999999999</v>
      </c>
      <c r="K96" t="s">
        <v>46</v>
      </c>
      <c r="L96" t="s">
        <v>20</v>
      </c>
      <c r="M96" t="s">
        <v>30</v>
      </c>
      <c r="N96" t="s">
        <v>22</v>
      </c>
    </row>
    <row r="97" spans="1:14" x14ac:dyDescent="0.3">
      <c r="A97" t="s">
        <v>158</v>
      </c>
      <c r="B97" s="1">
        <v>45730</v>
      </c>
      <c r="C97" t="s">
        <v>48</v>
      </c>
      <c r="D97" t="s">
        <v>25</v>
      </c>
      <c r="E97" t="s">
        <v>99</v>
      </c>
      <c r="F97" t="s">
        <v>120</v>
      </c>
      <c r="G97">
        <v>5</v>
      </c>
      <c r="H97">
        <v>4338.83</v>
      </c>
      <c r="I97">
        <v>0.19</v>
      </c>
      <c r="J97">
        <v>17572.259999999998</v>
      </c>
      <c r="K97" t="s">
        <v>46</v>
      </c>
      <c r="L97" t="s">
        <v>20</v>
      </c>
      <c r="M97" t="s">
        <v>54</v>
      </c>
      <c r="N97" t="s">
        <v>88</v>
      </c>
    </row>
    <row r="98" spans="1:14" x14ac:dyDescent="0.3">
      <c r="A98" t="s">
        <v>159</v>
      </c>
      <c r="B98" s="1">
        <v>45691</v>
      </c>
      <c r="C98" t="s">
        <v>36</v>
      </c>
      <c r="D98" t="s">
        <v>43</v>
      </c>
      <c r="E98" t="s">
        <v>99</v>
      </c>
      <c r="F98" t="s">
        <v>100</v>
      </c>
      <c r="G98">
        <v>2</v>
      </c>
      <c r="H98">
        <v>3142.37</v>
      </c>
      <c r="I98">
        <v>0.17</v>
      </c>
      <c r="J98">
        <v>5216.33</v>
      </c>
      <c r="K98" t="s">
        <v>46</v>
      </c>
      <c r="L98" t="s">
        <v>20</v>
      </c>
      <c r="M98" t="s">
        <v>21</v>
      </c>
      <c r="N98" t="s">
        <v>22</v>
      </c>
    </row>
    <row r="99" spans="1:14" x14ac:dyDescent="0.3">
      <c r="A99" t="s">
        <v>160</v>
      </c>
      <c r="B99" s="1">
        <v>45731</v>
      </c>
      <c r="C99" t="s">
        <v>48</v>
      </c>
      <c r="D99" t="s">
        <v>39</v>
      </c>
      <c r="E99" t="s">
        <v>17</v>
      </c>
      <c r="F99" t="s">
        <v>32</v>
      </c>
      <c r="G99">
        <v>3</v>
      </c>
      <c r="H99">
        <v>3688.56</v>
      </c>
      <c r="I99">
        <v>0.02</v>
      </c>
      <c r="J99">
        <v>10844.37</v>
      </c>
      <c r="K99" t="s">
        <v>58</v>
      </c>
      <c r="L99" t="s">
        <v>29</v>
      </c>
      <c r="M99" t="s">
        <v>30</v>
      </c>
      <c r="N99" t="s">
        <v>22</v>
      </c>
    </row>
    <row r="100" spans="1:14" x14ac:dyDescent="0.3">
      <c r="A100" t="s">
        <v>161</v>
      </c>
      <c r="B100" s="1">
        <v>45728</v>
      </c>
      <c r="C100" t="s">
        <v>52</v>
      </c>
      <c r="D100" t="s">
        <v>39</v>
      </c>
      <c r="E100" t="s">
        <v>61</v>
      </c>
      <c r="F100" t="s">
        <v>75</v>
      </c>
      <c r="G100">
        <v>5</v>
      </c>
      <c r="H100">
        <v>2558.79</v>
      </c>
      <c r="I100">
        <v>7.0000000000000007E-2</v>
      </c>
      <c r="J100">
        <v>11898.37</v>
      </c>
      <c r="K100" t="s">
        <v>33</v>
      </c>
      <c r="L100" t="s">
        <v>34</v>
      </c>
      <c r="M100" t="s">
        <v>54</v>
      </c>
      <c r="N100" t="s">
        <v>37</v>
      </c>
    </row>
    <row r="101" spans="1:14" x14ac:dyDescent="0.3">
      <c r="A101" t="s">
        <v>162</v>
      </c>
      <c r="B101" s="1">
        <v>45700</v>
      </c>
      <c r="C101" t="s">
        <v>15</v>
      </c>
      <c r="D101" t="s">
        <v>25</v>
      </c>
      <c r="E101" t="s">
        <v>49</v>
      </c>
      <c r="F101" t="s">
        <v>53</v>
      </c>
      <c r="G101">
        <v>1</v>
      </c>
      <c r="H101">
        <v>789.71</v>
      </c>
      <c r="I101">
        <v>0.24</v>
      </c>
      <c r="J101">
        <v>600.17999999999995</v>
      </c>
      <c r="K101" t="s">
        <v>58</v>
      </c>
      <c r="L101" t="s">
        <v>34</v>
      </c>
      <c r="M101" t="s">
        <v>21</v>
      </c>
      <c r="N101" t="s">
        <v>59</v>
      </c>
    </row>
    <row r="102" spans="1:14" x14ac:dyDescent="0.3">
      <c r="A102" t="s">
        <v>163</v>
      </c>
      <c r="B102" s="1">
        <v>45790</v>
      </c>
      <c r="C102" t="s">
        <v>24</v>
      </c>
      <c r="D102" t="s">
        <v>39</v>
      </c>
      <c r="E102" t="s">
        <v>27</v>
      </c>
      <c r="F102" t="s">
        <v>28</v>
      </c>
      <c r="G102">
        <v>3</v>
      </c>
      <c r="H102">
        <v>2729.2</v>
      </c>
      <c r="I102">
        <v>0.11</v>
      </c>
      <c r="J102">
        <v>7286.96</v>
      </c>
      <c r="K102" t="s">
        <v>41</v>
      </c>
      <c r="L102" t="s">
        <v>20</v>
      </c>
      <c r="M102" t="s">
        <v>21</v>
      </c>
      <c r="N102" t="s">
        <v>22</v>
      </c>
    </row>
    <row r="103" spans="1:14" x14ac:dyDescent="0.3">
      <c r="A103" t="s">
        <v>164</v>
      </c>
      <c r="B103" s="1">
        <v>45711</v>
      </c>
      <c r="C103" t="s">
        <v>52</v>
      </c>
      <c r="D103" t="s">
        <v>43</v>
      </c>
      <c r="E103" t="s">
        <v>99</v>
      </c>
      <c r="F103" t="s">
        <v>120</v>
      </c>
      <c r="G103">
        <v>5</v>
      </c>
      <c r="H103">
        <v>4432.75</v>
      </c>
      <c r="I103">
        <v>0.14000000000000001</v>
      </c>
      <c r="J103">
        <v>19060.830000000002</v>
      </c>
      <c r="K103" t="s">
        <v>41</v>
      </c>
      <c r="L103" t="s">
        <v>20</v>
      </c>
      <c r="M103" t="s">
        <v>21</v>
      </c>
      <c r="N103" t="s">
        <v>22</v>
      </c>
    </row>
    <row r="104" spans="1:14" x14ac:dyDescent="0.3">
      <c r="A104" t="s">
        <v>165</v>
      </c>
      <c r="B104" s="1">
        <v>45796</v>
      </c>
      <c r="C104" t="s">
        <v>48</v>
      </c>
      <c r="D104" t="s">
        <v>16</v>
      </c>
      <c r="E104" t="s">
        <v>49</v>
      </c>
      <c r="F104" t="s">
        <v>53</v>
      </c>
      <c r="G104">
        <v>1</v>
      </c>
      <c r="H104">
        <v>4736.68</v>
      </c>
      <c r="I104">
        <v>0.08</v>
      </c>
      <c r="J104">
        <v>4357.75</v>
      </c>
      <c r="K104" t="s">
        <v>58</v>
      </c>
      <c r="L104" t="s">
        <v>20</v>
      </c>
      <c r="M104" t="s">
        <v>30</v>
      </c>
      <c r="N104" t="s">
        <v>22</v>
      </c>
    </row>
    <row r="105" spans="1:14" x14ac:dyDescent="0.3">
      <c r="A105" t="s">
        <v>166</v>
      </c>
      <c r="B105" s="1">
        <v>45841</v>
      </c>
      <c r="C105" t="s">
        <v>48</v>
      </c>
      <c r="D105" t="s">
        <v>25</v>
      </c>
      <c r="E105" t="s">
        <v>27</v>
      </c>
      <c r="F105" t="s">
        <v>68</v>
      </c>
      <c r="G105">
        <v>5</v>
      </c>
      <c r="H105">
        <v>2153.7199999999998</v>
      </c>
      <c r="I105">
        <v>0.19</v>
      </c>
      <c r="J105">
        <v>8722.57</v>
      </c>
      <c r="K105" t="s">
        <v>41</v>
      </c>
      <c r="L105" t="s">
        <v>34</v>
      </c>
      <c r="M105" t="s">
        <v>54</v>
      </c>
      <c r="N105" t="s">
        <v>22</v>
      </c>
    </row>
    <row r="106" spans="1:14" x14ac:dyDescent="0.3">
      <c r="A106" t="s">
        <v>167</v>
      </c>
      <c r="B106" s="1">
        <v>45792</v>
      </c>
      <c r="C106" t="s">
        <v>15</v>
      </c>
      <c r="D106" t="s">
        <v>39</v>
      </c>
      <c r="E106" t="s">
        <v>49</v>
      </c>
      <c r="F106" t="s">
        <v>50</v>
      </c>
      <c r="G106">
        <v>3</v>
      </c>
      <c r="H106">
        <v>1164.6199999999999</v>
      </c>
      <c r="I106">
        <v>0.11</v>
      </c>
      <c r="J106">
        <v>3109.54</v>
      </c>
      <c r="K106" t="s">
        <v>58</v>
      </c>
      <c r="L106" t="s">
        <v>29</v>
      </c>
      <c r="M106" t="s">
        <v>54</v>
      </c>
      <c r="N106" t="s">
        <v>22</v>
      </c>
    </row>
    <row r="107" spans="1:14" x14ac:dyDescent="0.3">
      <c r="A107" t="s">
        <v>168</v>
      </c>
      <c r="B107" s="1">
        <v>45785</v>
      </c>
      <c r="C107" t="s">
        <v>24</v>
      </c>
      <c r="D107" t="s">
        <v>16</v>
      </c>
      <c r="E107" t="s">
        <v>99</v>
      </c>
      <c r="F107" t="s">
        <v>111</v>
      </c>
      <c r="G107">
        <v>2</v>
      </c>
      <c r="H107">
        <v>4844.21</v>
      </c>
      <c r="I107">
        <v>0.24</v>
      </c>
      <c r="J107">
        <v>7363.2</v>
      </c>
      <c r="K107" t="s">
        <v>41</v>
      </c>
      <c r="L107" t="s">
        <v>34</v>
      </c>
      <c r="M107" t="s">
        <v>30</v>
      </c>
      <c r="N107" t="s">
        <v>22</v>
      </c>
    </row>
    <row r="108" spans="1:14" x14ac:dyDescent="0.3">
      <c r="A108" t="s">
        <v>169</v>
      </c>
      <c r="B108" s="1">
        <v>45673</v>
      </c>
      <c r="C108" t="s">
        <v>24</v>
      </c>
      <c r="D108" t="s">
        <v>43</v>
      </c>
      <c r="E108" t="s">
        <v>27</v>
      </c>
      <c r="F108" t="s">
        <v>79</v>
      </c>
      <c r="G108">
        <v>2</v>
      </c>
      <c r="H108">
        <v>3956.19</v>
      </c>
      <c r="I108">
        <v>0.05</v>
      </c>
      <c r="J108">
        <v>7516.76</v>
      </c>
      <c r="K108" t="s">
        <v>46</v>
      </c>
      <c r="L108" t="s">
        <v>20</v>
      </c>
      <c r="M108" t="s">
        <v>21</v>
      </c>
      <c r="N108" t="s">
        <v>22</v>
      </c>
    </row>
    <row r="109" spans="1:14" x14ac:dyDescent="0.3">
      <c r="A109" t="s">
        <v>170</v>
      </c>
      <c r="B109" s="1">
        <v>45778</v>
      </c>
      <c r="C109" t="s">
        <v>52</v>
      </c>
      <c r="D109" t="s">
        <v>39</v>
      </c>
      <c r="E109" t="s">
        <v>61</v>
      </c>
      <c r="F109" t="s">
        <v>66</v>
      </c>
      <c r="G109">
        <v>3</v>
      </c>
      <c r="H109">
        <v>4306.1899999999996</v>
      </c>
      <c r="I109">
        <v>0.04</v>
      </c>
      <c r="J109">
        <v>12401.83</v>
      </c>
      <c r="K109" t="s">
        <v>33</v>
      </c>
      <c r="L109" t="s">
        <v>20</v>
      </c>
      <c r="M109" t="s">
        <v>54</v>
      </c>
      <c r="N109" t="s">
        <v>88</v>
      </c>
    </row>
    <row r="110" spans="1:14" x14ac:dyDescent="0.3">
      <c r="A110" t="s">
        <v>171</v>
      </c>
      <c r="B110" s="1">
        <v>45783</v>
      </c>
      <c r="C110" t="s">
        <v>52</v>
      </c>
      <c r="D110" t="s">
        <v>16</v>
      </c>
      <c r="E110" t="s">
        <v>17</v>
      </c>
      <c r="F110" t="s">
        <v>18</v>
      </c>
      <c r="G110">
        <v>2</v>
      </c>
      <c r="H110">
        <v>2985.38</v>
      </c>
      <c r="I110">
        <v>0</v>
      </c>
      <c r="J110">
        <v>5970.76</v>
      </c>
      <c r="K110" t="s">
        <v>58</v>
      </c>
      <c r="L110" t="s">
        <v>34</v>
      </c>
      <c r="M110" t="s">
        <v>30</v>
      </c>
      <c r="N110" t="s">
        <v>22</v>
      </c>
    </row>
    <row r="111" spans="1:14" x14ac:dyDescent="0.3">
      <c r="A111" t="s">
        <v>172</v>
      </c>
      <c r="B111" s="1">
        <v>45693</v>
      </c>
      <c r="C111" t="s">
        <v>24</v>
      </c>
      <c r="D111" t="s">
        <v>43</v>
      </c>
      <c r="E111" t="s">
        <v>49</v>
      </c>
      <c r="F111" t="s">
        <v>56</v>
      </c>
      <c r="G111">
        <v>3</v>
      </c>
      <c r="H111">
        <v>2614.87</v>
      </c>
      <c r="I111">
        <v>0.03</v>
      </c>
      <c r="J111">
        <v>7609.27</v>
      </c>
      <c r="K111" t="s">
        <v>41</v>
      </c>
      <c r="L111" t="s">
        <v>34</v>
      </c>
      <c r="M111" t="s">
        <v>21</v>
      </c>
      <c r="N111" t="s">
        <v>37</v>
      </c>
    </row>
    <row r="112" spans="1:14" x14ac:dyDescent="0.3">
      <c r="A112" t="s">
        <v>173</v>
      </c>
      <c r="B112" s="1">
        <v>45763</v>
      </c>
      <c r="C112" t="s">
        <v>48</v>
      </c>
      <c r="D112" t="s">
        <v>25</v>
      </c>
      <c r="E112" t="s">
        <v>17</v>
      </c>
      <c r="F112" t="s">
        <v>32</v>
      </c>
      <c r="G112">
        <v>4</v>
      </c>
      <c r="H112">
        <v>4251.76</v>
      </c>
      <c r="I112">
        <v>0.11</v>
      </c>
      <c r="J112">
        <v>15136.27</v>
      </c>
      <c r="K112" t="s">
        <v>58</v>
      </c>
      <c r="L112" t="s">
        <v>20</v>
      </c>
      <c r="M112" t="s">
        <v>54</v>
      </c>
      <c r="N112" t="s">
        <v>22</v>
      </c>
    </row>
    <row r="113" spans="1:14" x14ac:dyDescent="0.3">
      <c r="A113" t="s">
        <v>174</v>
      </c>
      <c r="B113" s="1">
        <v>45801</v>
      </c>
      <c r="C113" t="s">
        <v>24</v>
      </c>
      <c r="D113" t="s">
        <v>39</v>
      </c>
      <c r="E113" t="s">
        <v>49</v>
      </c>
      <c r="F113" t="s">
        <v>56</v>
      </c>
      <c r="G113">
        <v>2</v>
      </c>
      <c r="H113">
        <v>421.84</v>
      </c>
      <c r="I113">
        <v>7.0000000000000007E-2</v>
      </c>
      <c r="J113">
        <v>784.62</v>
      </c>
      <c r="K113" t="s">
        <v>46</v>
      </c>
      <c r="L113" t="s">
        <v>29</v>
      </c>
      <c r="M113" t="s">
        <v>21</v>
      </c>
      <c r="N113" t="s">
        <v>22</v>
      </c>
    </row>
    <row r="114" spans="1:14" x14ac:dyDescent="0.3">
      <c r="A114" t="s">
        <v>175</v>
      </c>
      <c r="B114" s="1">
        <v>45707</v>
      </c>
      <c r="C114" t="s">
        <v>48</v>
      </c>
      <c r="D114" t="s">
        <v>43</v>
      </c>
      <c r="E114" t="s">
        <v>27</v>
      </c>
      <c r="F114" t="s">
        <v>28</v>
      </c>
      <c r="G114">
        <v>4</v>
      </c>
      <c r="H114">
        <v>585.97</v>
      </c>
      <c r="I114">
        <v>0.18</v>
      </c>
      <c r="J114">
        <v>1921.98</v>
      </c>
      <c r="K114" t="s">
        <v>33</v>
      </c>
      <c r="L114" t="s">
        <v>29</v>
      </c>
      <c r="M114" t="s">
        <v>21</v>
      </c>
      <c r="N114" t="s">
        <v>22</v>
      </c>
    </row>
    <row r="115" spans="1:14" x14ac:dyDescent="0.3">
      <c r="A115" t="s">
        <v>176</v>
      </c>
      <c r="B115" s="1">
        <v>45691</v>
      </c>
      <c r="C115" t="s">
        <v>15</v>
      </c>
      <c r="D115" t="s">
        <v>39</v>
      </c>
      <c r="E115" t="s">
        <v>61</v>
      </c>
      <c r="F115" t="s">
        <v>92</v>
      </c>
      <c r="G115">
        <v>4</v>
      </c>
      <c r="H115">
        <v>3675.1</v>
      </c>
      <c r="I115">
        <v>0.08</v>
      </c>
      <c r="J115">
        <v>13524.37</v>
      </c>
      <c r="K115" t="s">
        <v>41</v>
      </c>
      <c r="L115" t="s">
        <v>34</v>
      </c>
      <c r="M115" t="s">
        <v>30</v>
      </c>
      <c r="N115" t="s">
        <v>22</v>
      </c>
    </row>
    <row r="116" spans="1:14" x14ac:dyDescent="0.3">
      <c r="A116" t="s">
        <v>177</v>
      </c>
      <c r="B116" s="1">
        <v>45749</v>
      </c>
      <c r="C116" t="s">
        <v>24</v>
      </c>
      <c r="D116" t="s">
        <v>43</v>
      </c>
      <c r="E116" t="s">
        <v>61</v>
      </c>
      <c r="F116" t="s">
        <v>92</v>
      </c>
      <c r="G116">
        <v>1</v>
      </c>
      <c r="H116">
        <v>2216.19</v>
      </c>
      <c r="I116">
        <v>0.19</v>
      </c>
      <c r="J116">
        <v>1795.11</v>
      </c>
      <c r="K116" t="s">
        <v>58</v>
      </c>
      <c r="L116" t="s">
        <v>20</v>
      </c>
      <c r="M116" t="s">
        <v>30</v>
      </c>
      <c r="N116" t="s">
        <v>22</v>
      </c>
    </row>
    <row r="117" spans="1:14" x14ac:dyDescent="0.3">
      <c r="A117" t="s">
        <v>178</v>
      </c>
      <c r="B117" s="1">
        <v>45733</v>
      </c>
      <c r="C117" t="s">
        <v>24</v>
      </c>
      <c r="D117" t="s">
        <v>39</v>
      </c>
      <c r="E117" t="s">
        <v>27</v>
      </c>
      <c r="F117" t="s">
        <v>28</v>
      </c>
      <c r="G117">
        <v>4</v>
      </c>
      <c r="H117">
        <v>4353.6499999999996</v>
      </c>
      <c r="I117">
        <v>0.18</v>
      </c>
      <c r="J117">
        <v>14279.97</v>
      </c>
      <c r="K117" t="s">
        <v>41</v>
      </c>
      <c r="L117" t="s">
        <v>34</v>
      </c>
      <c r="M117" t="s">
        <v>30</v>
      </c>
      <c r="N117" t="s">
        <v>22</v>
      </c>
    </row>
    <row r="118" spans="1:14" x14ac:dyDescent="0.3">
      <c r="A118" t="s">
        <v>179</v>
      </c>
      <c r="B118" s="1">
        <v>45712</v>
      </c>
      <c r="C118" t="s">
        <v>52</v>
      </c>
      <c r="D118" t="s">
        <v>39</v>
      </c>
      <c r="E118" t="s">
        <v>27</v>
      </c>
      <c r="F118" t="s">
        <v>68</v>
      </c>
      <c r="G118">
        <v>1</v>
      </c>
      <c r="H118">
        <v>1815.56</v>
      </c>
      <c r="I118">
        <v>0.14000000000000001</v>
      </c>
      <c r="J118">
        <v>1561.38</v>
      </c>
      <c r="K118" t="s">
        <v>41</v>
      </c>
      <c r="L118" t="s">
        <v>20</v>
      </c>
      <c r="M118" t="s">
        <v>54</v>
      </c>
      <c r="N118" t="s">
        <v>22</v>
      </c>
    </row>
    <row r="119" spans="1:14" x14ac:dyDescent="0.3">
      <c r="A119" t="s">
        <v>180</v>
      </c>
      <c r="B119" s="1">
        <v>45839</v>
      </c>
      <c r="C119" t="s">
        <v>36</v>
      </c>
      <c r="D119" t="s">
        <v>39</v>
      </c>
      <c r="E119" t="s">
        <v>49</v>
      </c>
      <c r="F119" t="s">
        <v>56</v>
      </c>
      <c r="G119">
        <v>2</v>
      </c>
      <c r="H119">
        <v>1439.02</v>
      </c>
      <c r="I119">
        <v>0.19</v>
      </c>
      <c r="J119">
        <v>2331.21</v>
      </c>
      <c r="K119" t="s">
        <v>46</v>
      </c>
      <c r="L119" t="s">
        <v>20</v>
      </c>
      <c r="M119" t="s">
        <v>30</v>
      </c>
      <c r="N119" t="s">
        <v>22</v>
      </c>
    </row>
    <row r="120" spans="1:14" x14ac:dyDescent="0.3">
      <c r="A120" t="s">
        <v>181</v>
      </c>
      <c r="B120" s="1">
        <v>45784</v>
      </c>
      <c r="C120" t="s">
        <v>24</v>
      </c>
      <c r="D120" t="s">
        <v>25</v>
      </c>
      <c r="E120" t="s">
        <v>61</v>
      </c>
      <c r="F120" t="s">
        <v>92</v>
      </c>
      <c r="G120">
        <v>1</v>
      </c>
      <c r="H120">
        <v>549.61</v>
      </c>
      <c r="I120">
        <v>0.13</v>
      </c>
      <c r="J120">
        <v>478.16</v>
      </c>
      <c r="K120" t="s">
        <v>19</v>
      </c>
      <c r="L120" t="s">
        <v>29</v>
      </c>
      <c r="M120" t="s">
        <v>30</v>
      </c>
      <c r="N120" t="s">
        <v>22</v>
      </c>
    </row>
    <row r="121" spans="1:14" x14ac:dyDescent="0.3">
      <c r="A121" t="s">
        <v>182</v>
      </c>
      <c r="B121" s="1">
        <v>45793</v>
      </c>
      <c r="C121" t="s">
        <v>15</v>
      </c>
      <c r="D121" t="s">
        <v>16</v>
      </c>
      <c r="E121" t="s">
        <v>61</v>
      </c>
      <c r="F121" t="s">
        <v>66</v>
      </c>
      <c r="G121">
        <v>5</v>
      </c>
      <c r="H121">
        <v>516.29</v>
      </c>
      <c r="I121">
        <v>0.01</v>
      </c>
      <c r="J121">
        <v>2555.64</v>
      </c>
      <c r="K121" t="s">
        <v>46</v>
      </c>
      <c r="L121" t="s">
        <v>29</v>
      </c>
      <c r="M121" t="s">
        <v>54</v>
      </c>
      <c r="N121" t="s">
        <v>22</v>
      </c>
    </row>
    <row r="122" spans="1:14" x14ac:dyDescent="0.3">
      <c r="A122" t="s">
        <v>183</v>
      </c>
      <c r="B122" s="1">
        <v>45768</v>
      </c>
      <c r="C122" t="s">
        <v>48</v>
      </c>
      <c r="D122" t="s">
        <v>16</v>
      </c>
      <c r="E122" t="s">
        <v>99</v>
      </c>
      <c r="F122" t="s">
        <v>115</v>
      </c>
      <c r="G122">
        <v>4</v>
      </c>
      <c r="H122">
        <v>2129.5</v>
      </c>
      <c r="I122">
        <v>0.05</v>
      </c>
      <c r="J122">
        <v>8092.1</v>
      </c>
      <c r="K122" t="s">
        <v>41</v>
      </c>
      <c r="L122" t="s">
        <v>29</v>
      </c>
      <c r="M122" t="s">
        <v>21</v>
      </c>
      <c r="N122" t="s">
        <v>22</v>
      </c>
    </row>
    <row r="123" spans="1:14" x14ac:dyDescent="0.3">
      <c r="A123" t="s">
        <v>184</v>
      </c>
      <c r="B123" s="1">
        <v>45702</v>
      </c>
      <c r="C123" t="s">
        <v>36</v>
      </c>
      <c r="D123" t="s">
        <v>16</v>
      </c>
      <c r="E123" t="s">
        <v>17</v>
      </c>
      <c r="F123" t="s">
        <v>32</v>
      </c>
      <c r="G123">
        <v>3</v>
      </c>
      <c r="H123">
        <v>322.55</v>
      </c>
      <c r="I123">
        <v>0.1</v>
      </c>
      <c r="J123">
        <v>870.89</v>
      </c>
      <c r="K123" t="s">
        <v>41</v>
      </c>
      <c r="L123" t="s">
        <v>29</v>
      </c>
      <c r="M123" t="s">
        <v>21</v>
      </c>
      <c r="N123" t="s">
        <v>22</v>
      </c>
    </row>
    <row r="124" spans="1:14" x14ac:dyDescent="0.3">
      <c r="A124" t="s">
        <v>185</v>
      </c>
      <c r="B124" s="1">
        <v>45792</v>
      </c>
      <c r="C124" t="s">
        <v>52</v>
      </c>
      <c r="D124" t="s">
        <v>43</v>
      </c>
      <c r="E124" t="s">
        <v>99</v>
      </c>
      <c r="F124" t="s">
        <v>100</v>
      </c>
      <c r="G124">
        <v>3</v>
      </c>
      <c r="H124">
        <v>687.92</v>
      </c>
      <c r="I124">
        <v>0.12</v>
      </c>
      <c r="J124">
        <v>1816.11</v>
      </c>
      <c r="K124" t="s">
        <v>46</v>
      </c>
      <c r="L124" t="s">
        <v>34</v>
      </c>
      <c r="M124" t="s">
        <v>30</v>
      </c>
      <c r="N124" t="s">
        <v>22</v>
      </c>
    </row>
    <row r="125" spans="1:14" x14ac:dyDescent="0.3">
      <c r="A125" t="s">
        <v>186</v>
      </c>
      <c r="B125" s="1">
        <v>45722</v>
      </c>
      <c r="C125" t="s">
        <v>36</v>
      </c>
      <c r="D125" t="s">
        <v>25</v>
      </c>
      <c r="E125" t="s">
        <v>27</v>
      </c>
      <c r="F125" t="s">
        <v>68</v>
      </c>
      <c r="G125">
        <v>3</v>
      </c>
      <c r="H125">
        <v>453.17</v>
      </c>
      <c r="I125">
        <v>0.22</v>
      </c>
      <c r="J125">
        <v>1060.42</v>
      </c>
      <c r="K125" t="s">
        <v>33</v>
      </c>
      <c r="L125" t="s">
        <v>29</v>
      </c>
      <c r="M125" t="s">
        <v>54</v>
      </c>
      <c r="N125" t="s">
        <v>22</v>
      </c>
    </row>
    <row r="126" spans="1:14" x14ac:dyDescent="0.3">
      <c r="A126" t="s">
        <v>187</v>
      </c>
      <c r="B126" s="1">
        <v>45823</v>
      </c>
      <c r="C126" t="s">
        <v>36</v>
      </c>
      <c r="D126" t="s">
        <v>25</v>
      </c>
      <c r="E126" t="s">
        <v>17</v>
      </c>
      <c r="F126" t="s">
        <v>32</v>
      </c>
      <c r="G126">
        <v>4</v>
      </c>
      <c r="H126">
        <v>3576.54</v>
      </c>
      <c r="I126">
        <v>0.1</v>
      </c>
      <c r="J126">
        <v>12875.54</v>
      </c>
      <c r="K126" t="s">
        <v>41</v>
      </c>
      <c r="L126" t="s">
        <v>29</v>
      </c>
      <c r="M126" t="s">
        <v>54</v>
      </c>
      <c r="N126" t="s">
        <v>22</v>
      </c>
    </row>
    <row r="127" spans="1:14" x14ac:dyDescent="0.3">
      <c r="A127" t="s">
        <v>188</v>
      </c>
      <c r="B127" s="1">
        <v>45809</v>
      </c>
      <c r="C127" t="s">
        <v>36</v>
      </c>
      <c r="D127" t="s">
        <v>25</v>
      </c>
      <c r="E127" t="s">
        <v>99</v>
      </c>
      <c r="F127" t="s">
        <v>100</v>
      </c>
      <c r="G127">
        <v>3</v>
      </c>
      <c r="H127">
        <v>531.84</v>
      </c>
      <c r="I127">
        <v>0.21</v>
      </c>
      <c r="J127">
        <v>1260.46</v>
      </c>
      <c r="K127" t="s">
        <v>41</v>
      </c>
      <c r="L127" t="s">
        <v>29</v>
      </c>
      <c r="M127" t="s">
        <v>54</v>
      </c>
      <c r="N127" t="s">
        <v>22</v>
      </c>
    </row>
    <row r="128" spans="1:14" x14ac:dyDescent="0.3">
      <c r="A128" t="s">
        <v>189</v>
      </c>
      <c r="B128" s="1">
        <v>45810</v>
      </c>
      <c r="C128" t="s">
        <v>48</v>
      </c>
      <c r="D128" t="s">
        <v>16</v>
      </c>
      <c r="E128" t="s">
        <v>27</v>
      </c>
      <c r="F128" t="s">
        <v>79</v>
      </c>
      <c r="G128">
        <v>3</v>
      </c>
      <c r="H128">
        <v>1185.7</v>
      </c>
      <c r="I128">
        <v>0.19</v>
      </c>
      <c r="J128">
        <v>2881.25</v>
      </c>
      <c r="K128" t="s">
        <v>46</v>
      </c>
      <c r="L128" t="s">
        <v>29</v>
      </c>
      <c r="M128" t="s">
        <v>54</v>
      </c>
      <c r="N128" t="s">
        <v>22</v>
      </c>
    </row>
    <row r="129" spans="1:14" x14ac:dyDescent="0.3">
      <c r="A129" t="s">
        <v>190</v>
      </c>
      <c r="B129" s="1">
        <v>45670</v>
      </c>
      <c r="C129" t="s">
        <v>15</v>
      </c>
      <c r="D129" t="s">
        <v>43</v>
      </c>
      <c r="E129" t="s">
        <v>61</v>
      </c>
      <c r="F129" t="s">
        <v>66</v>
      </c>
      <c r="G129">
        <v>1</v>
      </c>
      <c r="H129">
        <v>817.58</v>
      </c>
      <c r="I129">
        <v>0.05</v>
      </c>
      <c r="J129">
        <v>776.7</v>
      </c>
      <c r="K129" t="s">
        <v>19</v>
      </c>
      <c r="L129" t="s">
        <v>20</v>
      </c>
      <c r="M129" t="s">
        <v>21</v>
      </c>
      <c r="N129" t="s">
        <v>88</v>
      </c>
    </row>
    <row r="130" spans="1:14" x14ac:dyDescent="0.3">
      <c r="A130" t="s">
        <v>191</v>
      </c>
      <c r="B130" s="1">
        <v>45704</v>
      </c>
      <c r="C130" t="s">
        <v>48</v>
      </c>
      <c r="D130" t="s">
        <v>39</v>
      </c>
      <c r="E130" t="s">
        <v>17</v>
      </c>
      <c r="F130" t="s">
        <v>44</v>
      </c>
      <c r="G130">
        <v>5</v>
      </c>
      <c r="H130">
        <v>2299.64</v>
      </c>
      <c r="I130">
        <v>0.23</v>
      </c>
      <c r="J130">
        <v>8853.61</v>
      </c>
      <c r="K130" t="s">
        <v>41</v>
      </c>
      <c r="L130" t="s">
        <v>29</v>
      </c>
      <c r="M130" t="s">
        <v>21</v>
      </c>
      <c r="N130" t="s">
        <v>37</v>
      </c>
    </row>
    <row r="131" spans="1:14" x14ac:dyDescent="0.3">
      <c r="A131" t="s">
        <v>192</v>
      </c>
      <c r="B131" s="1">
        <v>45819</v>
      </c>
      <c r="C131" t="s">
        <v>48</v>
      </c>
      <c r="D131" t="s">
        <v>16</v>
      </c>
      <c r="E131" t="s">
        <v>99</v>
      </c>
      <c r="F131" t="s">
        <v>100</v>
      </c>
      <c r="G131">
        <v>4</v>
      </c>
      <c r="H131">
        <v>3193.79</v>
      </c>
      <c r="I131">
        <v>0.2</v>
      </c>
      <c r="J131">
        <v>10220.129999999999</v>
      </c>
      <c r="K131" t="s">
        <v>58</v>
      </c>
      <c r="L131" t="s">
        <v>34</v>
      </c>
      <c r="M131" t="s">
        <v>21</v>
      </c>
      <c r="N131" t="s">
        <v>22</v>
      </c>
    </row>
    <row r="132" spans="1:14" x14ac:dyDescent="0.3">
      <c r="A132" t="s">
        <v>193</v>
      </c>
      <c r="B132" s="1">
        <v>45666</v>
      </c>
      <c r="C132" t="s">
        <v>48</v>
      </c>
      <c r="D132" t="s">
        <v>16</v>
      </c>
      <c r="E132" t="s">
        <v>17</v>
      </c>
      <c r="F132" t="s">
        <v>32</v>
      </c>
      <c r="G132">
        <v>1</v>
      </c>
      <c r="H132">
        <v>1906.81</v>
      </c>
      <c r="I132">
        <v>7.0000000000000007E-2</v>
      </c>
      <c r="J132">
        <v>1773.33</v>
      </c>
      <c r="K132" t="s">
        <v>41</v>
      </c>
      <c r="L132" t="s">
        <v>20</v>
      </c>
      <c r="M132" t="s">
        <v>21</v>
      </c>
      <c r="N132" t="s">
        <v>22</v>
      </c>
    </row>
    <row r="133" spans="1:14" x14ac:dyDescent="0.3">
      <c r="A133" t="s">
        <v>194</v>
      </c>
      <c r="B133" s="1">
        <v>45816</v>
      </c>
      <c r="C133" t="s">
        <v>48</v>
      </c>
      <c r="D133" t="s">
        <v>43</v>
      </c>
      <c r="E133" t="s">
        <v>27</v>
      </c>
      <c r="F133" t="s">
        <v>87</v>
      </c>
      <c r="G133">
        <v>1</v>
      </c>
      <c r="H133">
        <v>2303.6999999999998</v>
      </c>
      <c r="I133">
        <v>0.2</v>
      </c>
      <c r="J133">
        <v>1842.96</v>
      </c>
      <c r="K133" t="s">
        <v>33</v>
      </c>
      <c r="L133" t="s">
        <v>29</v>
      </c>
      <c r="M133" t="s">
        <v>21</v>
      </c>
      <c r="N133" t="s">
        <v>22</v>
      </c>
    </row>
    <row r="134" spans="1:14" x14ac:dyDescent="0.3">
      <c r="A134" t="s">
        <v>195</v>
      </c>
      <c r="B134" s="1">
        <v>45721</v>
      </c>
      <c r="C134" t="s">
        <v>24</v>
      </c>
      <c r="D134" t="s">
        <v>43</v>
      </c>
      <c r="E134" t="s">
        <v>49</v>
      </c>
      <c r="F134" t="s">
        <v>73</v>
      </c>
      <c r="G134">
        <v>3</v>
      </c>
      <c r="H134">
        <v>4913.6899999999996</v>
      </c>
      <c r="I134">
        <v>0.02</v>
      </c>
      <c r="J134">
        <v>14446.25</v>
      </c>
      <c r="K134" t="s">
        <v>41</v>
      </c>
      <c r="L134" t="s">
        <v>20</v>
      </c>
      <c r="M134" t="s">
        <v>21</v>
      </c>
      <c r="N134" t="s">
        <v>22</v>
      </c>
    </row>
    <row r="135" spans="1:14" x14ac:dyDescent="0.3">
      <c r="A135" t="s">
        <v>196</v>
      </c>
      <c r="B135" s="1">
        <v>45737</v>
      </c>
      <c r="C135" t="s">
        <v>36</v>
      </c>
      <c r="D135" t="s">
        <v>25</v>
      </c>
      <c r="E135" t="s">
        <v>49</v>
      </c>
      <c r="F135" t="s">
        <v>50</v>
      </c>
      <c r="G135">
        <v>2</v>
      </c>
      <c r="H135">
        <v>1883.1</v>
      </c>
      <c r="I135">
        <v>0.23</v>
      </c>
      <c r="J135">
        <v>2899.97</v>
      </c>
      <c r="K135" t="s">
        <v>33</v>
      </c>
      <c r="L135" t="s">
        <v>29</v>
      </c>
      <c r="M135" t="s">
        <v>30</v>
      </c>
      <c r="N135" t="s">
        <v>88</v>
      </c>
    </row>
    <row r="136" spans="1:14" x14ac:dyDescent="0.3">
      <c r="A136" t="s">
        <v>197</v>
      </c>
      <c r="B136" s="1">
        <v>45711</v>
      </c>
      <c r="C136" t="s">
        <v>15</v>
      </c>
      <c r="D136" t="s">
        <v>43</v>
      </c>
      <c r="E136" t="s">
        <v>27</v>
      </c>
      <c r="F136" t="s">
        <v>79</v>
      </c>
      <c r="G136">
        <v>1</v>
      </c>
      <c r="H136">
        <v>2834.02</v>
      </c>
      <c r="I136">
        <v>0.1</v>
      </c>
      <c r="J136">
        <v>2550.62</v>
      </c>
      <c r="K136" t="s">
        <v>58</v>
      </c>
      <c r="L136" t="s">
        <v>34</v>
      </c>
      <c r="M136" t="s">
        <v>30</v>
      </c>
      <c r="N136" t="s">
        <v>22</v>
      </c>
    </row>
    <row r="137" spans="1:14" x14ac:dyDescent="0.3">
      <c r="A137" t="s">
        <v>198</v>
      </c>
      <c r="B137" s="1">
        <v>45672</v>
      </c>
      <c r="C137" t="s">
        <v>15</v>
      </c>
      <c r="D137" t="s">
        <v>39</v>
      </c>
      <c r="E137" t="s">
        <v>27</v>
      </c>
      <c r="F137" t="s">
        <v>68</v>
      </c>
      <c r="G137">
        <v>4</v>
      </c>
      <c r="H137">
        <v>731.86</v>
      </c>
      <c r="I137">
        <v>0.18</v>
      </c>
      <c r="J137">
        <v>2400.5</v>
      </c>
      <c r="K137" t="s">
        <v>46</v>
      </c>
      <c r="L137" t="s">
        <v>29</v>
      </c>
      <c r="M137" t="s">
        <v>54</v>
      </c>
      <c r="N137" t="s">
        <v>22</v>
      </c>
    </row>
    <row r="138" spans="1:14" x14ac:dyDescent="0.3">
      <c r="A138" t="s">
        <v>199</v>
      </c>
      <c r="B138" s="1">
        <v>45700</v>
      </c>
      <c r="C138" t="s">
        <v>36</v>
      </c>
      <c r="D138" t="s">
        <v>43</v>
      </c>
      <c r="E138" t="s">
        <v>99</v>
      </c>
      <c r="F138" t="s">
        <v>100</v>
      </c>
      <c r="G138">
        <v>4</v>
      </c>
      <c r="H138">
        <v>2591.59</v>
      </c>
      <c r="I138">
        <v>0</v>
      </c>
      <c r="J138">
        <v>10366.36</v>
      </c>
      <c r="K138" t="s">
        <v>58</v>
      </c>
      <c r="L138" t="s">
        <v>29</v>
      </c>
      <c r="M138" t="s">
        <v>30</v>
      </c>
      <c r="N138" t="s">
        <v>59</v>
      </c>
    </row>
    <row r="139" spans="1:14" x14ac:dyDescent="0.3">
      <c r="A139" t="s">
        <v>200</v>
      </c>
      <c r="B139" s="1">
        <v>45837</v>
      </c>
      <c r="C139" t="s">
        <v>52</v>
      </c>
      <c r="D139" t="s">
        <v>16</v>
      </c>
      <c r="E139" t="s">
        <v>99</v>
      </c>
      <c r="F139" t="s">
        <v>115</v>
      </c>
      <c r="G139">
        <v>2</v>
      </c>
      <c r="H139">
        <v>478.11</v>
      </c>
      <c r="I139">
        <v>0.21</v>
      </c>
      <c r="J139">
        <v>755.41</v>
      </c>
      <c r="K139" t="s">
        <v>19</v>
      </c>
      <c r="L139" t="s">
        <v>20</v>
      </c>
      <c r="M139" t="s">
        <v>54</v>
      </c>
      <c r="N139" t="s">
        <v>22</v>
      </c>
    </row>
    <row r="140" spans="1:14" x14ac:dyDescent="0.3">
      <c r="A140" t="s">
        <v>201</v>
      </c>
      <c r="B140" s="1">
        <v>45770</v>
      </c>
      <c r="C140" t="s">
        <v>36</v>
      </c>
      <c r="D140" t="s">
        <v>43</v>
      </c>
      <c r="E140" t="s">
        <v>27</v>
      </c>
      <c r="F140" t="s">
        <v>68</v>
      </c>
      <c r="G140">
        <v>2</v>
      </c>
      <c r="H140">
        <v>986.15</v>
      </c>
      <c r="I140">
        <v>0.17</v>
      </c>
      <c r="J140">
        <v>1637.01</v>
      </c>
      <c r="K140" t="s">
        <v>41</v>
      </c>
      <c r="L140" t="s">
        <v>20</v>
      </c>
      <c r="M140" t="s">
        <v>21</v>
      </c>
      <c r="N140" t="s">
        <v>22</v>
      </c>
    </row>
    <row r="141" spans="1:14" x14ac:dyDescent="0.3">
      <c r="A141" t="s">
        <v>202</v>
      </c>
      <c r="B141" s="1">
        <v>45830</v>
      </c>
      <c r="C141" t="s">
        <v>15</v>
      </c>
      <c r="D141" t="s">
        <v>43</v>
      </c>
      <c r="E141" t="s">
        <v>17</v>
      </c>
      <c r="F141" t="s">
        <v>40</v>
      </c>
      <c r="G141">
        <v>5</v>
      </c>
      <c r="H141">
        <v>1496.15</v>
      </c>
      <c r="I141">
        <v>0.19</v>
      </c>
      <c r="J141">
        <v>6059.41</v>
      </c>
      <c r="K141" t="s">
        <v>19</v>
      </c>
      <c r="L141" t="s">
        <v>34</v>
      </c>
      <c r="M141" t="s">
        <v>30</v>
      </c>
      <c r="N141" t="s">
        <v>22</v>
      </c>
    </row>
    <row r="142" spans="1:14" x14ac:dyDescent="0.3">
      <c r="A142" t="s">
        <v>203</v>
      </c>
      <c r="B142" s="1">
        <v>45799</v>
      </c>
      <c r="C142" t="s">
        <v>52</v>
      </c>
      <c r="D142" t="s">
        <v>25</v>
      </c>
      <c r="E142" t="s">
        <v>99</v>
      </c>
      <c r="F142" t="s">
        <v>115</v>
      </c>
      <c r="G142">
        <v>5</v>
      </c>
      <c r="H142">
        <v>4923.75</v>
      </c>
      <c r="I142">
        <v>0.12</v>
      </c>
      <c r="J142">
        <v>21664.5</v>
      </c>
      <c r="K142" t="s">
        <v>46</v>
      </c>
      <c r="L142" t="s">
        <v>29</v>
      </c>
      <c r="M142" t="s">
        <v>30</v>
      </c>
      <c r="N142" t="s">
        <v>22</v>
      </c>
    </row>
    <row r="143" spans="1:14" x14ac:dyDescent="0.3">
      <c r="A143" t="s">
        <v>204</v>
      </c>
      <c r="B143" s="1">
        <v>45721</v>
      </c>
      <c r="C143" t="s">
        <v>52</v>
      </c>
      <c r="D143" t="s">
        <v>16</v>
      </c>
      <c r="E143" t="s">
        <v>49</v>
      </c>
      <c r="F143" t="s">
        <v>73</v>
      </c>
      <c r="G143">
        <v>3</v>
      </c>
      <c r="H143">
        <v>355.68</v>
      </c>
      <c r="I143">
        <v>0.12</v>
      </c>
      <c r="J143">
        <v>939</v>
      </c>
      <c r="K143" t="s">
        <v>33</v>
      </c>
      <c r="L143" t="s">
        <v>20</v>
      </c>
      <c r="M143" t="s">
        <v>30</v>
      </c>
      <c r="N143" t="s">
        <v>22</v>
      </c>
    </row>
    <row r="144" spans="1:14" x14ac:dyDescent="0.3">
      <c r="A144" t="s">
        <v>205</v>
      </c>
      <c r="B144" s="1">
        <v>45701</v>
      </c>
      <c r="C144" t="s">
        <v>15</v>
      </c>
      <c r="D144" t="s">
        <v>16</v>
      </c>
      <c r="E144" t="s">
        <v>27</v>
      </c>
      <c r="F144" t="s">
        <v>79</v>
      </c>
      <c r="G144">
        <v>3</v>
      </c>
      <c r="H144">
        <v>2301.66</v>
      </c>
      <c r="I144">
        <v>0.13</v>
      </c>
      <c r="J144">
        <v>6007.33</v>
      </c>
      <c r="K144" t="s">
        <v>58</v>
      </c>
      <c r="L144" t="s">
        <v>20</v>
      </c>
      <c r="M144" t="s">
        <v>30</v>
      </c>
      <c r="N144" t="s">
        <v>37</v>
      </c>
    </row>
    <row r="145" spans="1:14" x14ac:dyDescent="0.3">
      <c r="A145" t="s">
        <v>206</v>
      </c>
      <c r="B145" s="1">
        <v>45787</v>
      </c>
      <c r="C145" t="s">
        <v>15</v>
      </c>
      <c r="D145" t="s">
        <v>16</v>
      </c>
      <c r="E145" t="s">
        <v>61</v>
      </c>
      <c r="F145" t="s">
        <v>92</v>
      </c>
      <c r="G145">
        <v>1</v>
      </c>
      <c r="H145">
        <v>2042.62</v>
      </c>
      <c r="I145">
        <v>0.09</v>
      </c>
      <c r="J145">
        <v>1858.78</v>
      </c>
      <c r="K145" t="s">
        <v>58</v>
      </c>
      <c r="L145" t="s">
        <v>34</v>
      </c>
      <c r="M145" t="s">
        <v>30</v>
      </c>
      <c r="N145" t="s">
        <v>22</v>
      </c>
    </row>
    <row r="146" spans="1:14" x14ac:dyDescent="0.3">
      <c r="A146" t="s">
        <v>207</v>
      </c>
      <c r="B146" s="1">
        <v>45756</v>
      </c>
      <c r="C146" t="s">
        <v>24</v>
      </c>
      <c r="D146" t="s">
        <v>43</v>
      </c>
      <c r="E146" t="s">
        <v>17</v>
      </c>
      <c r="F146" t="s">
        <v>32</v>
      </c>
      <c r="G146">
        <v>2</v>
      </c>
      <c r="H146">
        <v>287.69</v>
      </c>
      <c r="I146">
        <v>0.23</v>
      </c>
      <c r="J146">
        <v>443.04</v>
      </c>
      <c r="K146" t="s">
        <v>46</v>
      </c>
      <c r="L146" t="s">
        <v>20</v>
      </c>
      <c r="M146" t="s">
        <v>30</v>
      </c>
      <c r="N146" t="s">
        <v>88</v>
      </c>
    </row>
    <row r="147" spans="1:14" x14ac:dyDescent="0.3">
      <c r="A147" t="s">
        <v>208</v>
      </c>
      <c r="B147" s="1">
        <v>45736</v>
      </c>
      <c r="C147" t="s">
        <v>36</v>
      </c>
      <c r="D147" t="s">
        <v>25</v>
      </c>
      <c r="E147" t="s">
        <v>49</v>
      </c>
      <c r="F147" t="s">
        <v>50</v>
      </c>
      <c r="G147">
        <v>1</v>
      </c>
      <c r="H147">
        <v>1354.03</v>
      </c>
      <c r="I147">
        <v>0.21</v>
      </c>
      <c r="J147">
        <v>1069.68</v>
      </c>
      <c r="K147" t="s">
        <v>58</v>
      </c>
      <c r="L147" t="s">
        <v>20</v>
      </c>
      <c r="M147" t="s">
        <v>21</v>
      </c>
      <c r="N147" t="s">
        <v>22</v>
      </c>
    </row>
    <row r="148" spans="1:14" x14ac:dyDescent="0.3">
      <c r="A148" t="s">
        <v>209</v>
      </c>
      <c r="B148" s="1">
        <v>45831</v>
      </c>
      <c r="C148" t="s">
        <v>15</v>
      </c>
      <c r="D148" t="s">
        <v>16</v>
      </c>
      <c r="E148" t="s">
        <v>99</v>
      </c>
      <c r="F148" t="s">
        <v>100</v>
      </c>
      <c r="G148">
        <v>2</v>
      </c>
      <c r="H148">
        <v>2157.15</v>
      </c>
      <c r="I148">
        <v>0.2</v>
      </c>
      <c r="J148">
        <v>3451.44</v>
      </c>
      <c r="K148" t="s">
        <v>58</v>
      </c>
      <c r="L148" t="s">
        <v>20</v>
      </c>
      <c r="M148" t="s">
        <v>30</v>
      </c>
      <c r="N148" t="s">
        <v>22</v>
      </c>
    </row>
    <row r="149" spans="1:14" x14ac:dyDescent="0.3">
      <c r="A149" t="s">
        <v>210</v>
      </c>
      <c r="B149" s="1">
        <v>45837</v>
      </c>
      <c r="C149" t="s">
        <v>36</v>
      </c>
      <c r="D149" t="s">
        <v>43</v>
      </c>
      <c r="E149" t="s">
        <v>49</v>
      </c>
      <c r="F149" t="s">
        <v>56</v>
      </c>
      <c r="G149">
        <v>2</v>
      </c>
      <c r="H149">
        <v>1527.23</v>
      </c>
      <c r="I149">
        <v>0</v>
      </c>
      <c r="J149">
        <v>3054.46</v>
      </c>
      <c r="K149" t="s">
        <v>33</v>
      </c>
      <c r="L149" t="s">
        <v>20</v>
      </c>
      <c r="M149" t="s">
        <v>30</v>
      </c>
      <c r="N149" t="s">
        <v>22</v>
      </c>
    </row>
    <row r="150" spans="1:14" x14ac:dyDescent="0.3">
      <c r="A150" t="s">
        <v>211</v>
      </c>
      <c r="B150" s="1">
        <v>45784</v>
      </c>
      <c r="C150" t="s">
        <v>36</v>
      </c>
      <c r="D150" t="s">
        <v>16</v>
      </c>
      <c r="E150" t="s">
        <v>61</v>
      </c>
      <c r="F150" t="s">
        <v>62</v>
      </c>
      <c r="G150">
        <v>5</v>
      </c>
      <c r="H150">
        <v>2766</v>
      </c>
      <c r="I150">
        <v>0.2</v>
      </c>
      <c r="J150">
        <v>11064</v>
      </c>
      <c r="K150" t="s">
        <v>46</v>
      </c>
      <c r="L150" t="s">
        <v>20</v>
      </c>
      <c r="M150" t="s">
        <v>21</v>
      </c>
      <c r="N150" t="s">
        <v>22</v>
      </c>
    </row>
    <row r="151" spans="1:14" x14ac:dyDescent="0.3">
      <c r="A151" t="s">
        <v>212</v>
      </c>
      <c r="B151" s="1">
        <v>45749</v>
      </c>
      <c r="C151" t="s">
        <v>48</v>
      </c>
      <c r="D151" t="s">
        <v>16</v>
      </c>
      <c r="E151" t="s">
        <v>49</v>
      </c>
      <c r="F151" t="s">
        <v>56</v>
      </c>
      <c r="G151">
        <v>1</v>
      </c>
      <c r="H151">
        <v>1849.76</v>
      </c>
      <c r="I151">
        <v>0.02</v>
      </c>
      <c r="J151">
        <v>1812.76</v>
      </c>
      <c r="K151" t="s">
        <v>46</v>
      </c>
      <c r="L151" t="s">
        <v>34</v>
      </c>
      <c r="M151" t="s">
        <v>54</v>
      </c>
      <c r="N151" t="s">
        <v>88</v>
      </c>
    </row>
    <row r="152" spans="1:14" x14ac:dyDescent="0.3">
      <c r="A152" t="s">
        <v>213</v>
      </c>
      <c r="B152" s="1">
        <v>45687</v>
      </c>
      <c r="C152" t="s">
        <v>24</v>
      </c>
      <c r="D152" t="s">
        <v>25</v>
      </c>
      <c r="E152" t="s">
        <v>99</v>
      </c>
      <c r="F152" t="s">
        <v>100</v>
      </c>
      <c r="G152">
        <v>3</v>
      </c>
      <c r="H152">
        <v>4086.19</v>
      </c>
      <c r="I152">
        <v>0.04</v>
      </c>
      <c r="J152">
        <v>11768.23</v>
      </c>
      <c r="K152" t="s">
        <v>46</v>
      </c>
      <c r="L152" t="s">
        <v>29</v>
      </c>
      <c r="M152" t="s">
        <v>21</v>
      </c>
      <c r="N152" t="s">
        <v>59</v>
      </c>
    </row>
    <row r="153" spans="1:14" x14ac:dyDescent="0.3">
      <c r="A153" t="s">
        <v>214</v>
      </c>
      <c r="B153" s="1">
        <v>45711</v>
      </c>
      <c r="C153" t="s">
        <v>52</v>
      </c>
      <c r="D153" t="s">
        <v>16</v>
      </c>
      <c r="E153" t="s">
        <v>49</v>
      </c>
      <c r="F153" t="s">
        <v>73</v>
      </c>
      <c r="G153">
        <v>4</v>
      </c>
      <c r="H153">
        <v>281.22000000000003</v>
      </c>
      <c r="I153">
        <v>0.05</v>
      </c>
      <c r="J153">
        <v>1068.6400000000001</v>
      </c>
      <c r="K153" t="s">
        <v>58</v>
      </c>
      <c r="L153" t="s">
        <v>29</v>
      </c>
      <c r="M153" t="s">
        <v>54</v>
      </c>
      <c r="N153" t="s">
        <v>22</v>
      </c>
    </row>
    <row r="154" spans="1:14" x14ac:dyDescent="0.3">
      <c r="A154" t="s">
        <v>215</v>
      </c>
      <c r="B154" s="1">
        <v>45687</v>
      </c>
      <c r="C154" t="s">
        <v>36</v>
      </c>
      <c r="D154" t="s">
        <v>16</v>
      </c>
      <c r="E154" t="s">
        <v>99</v>
      </c>
      <c r="F154" t="s">
        <v>115</v>
      </c>
      <c r="G154">
        <v>1</v>
      </c>
      <c r="H154">
        <v>3791.13</v>
      </c>
      <c r="I154">
        <v>0.05</v>
      </c>
      <c r="J154">
        <v>3601.57</v>
      </c>
      <c r="K154" t="s">
        <v>41</v>
      </c>
      <c r="L154" t="s">
        <v>34</v>
      </c>
      <c r="M154" t="s">
        <v>30</v>
      </c>
      <c r="N154" t="s">
        <v>37</v>
      </c>
    </row>
    <row r="155" spans="1:14" x14ac:dyDescent="0.3">
      <c r="A155" t="s">
        <v>216</v>
      </c>
      <c r="B155" s="1">
        <v>45707</v>
      </c>
      <c r="C155" t="s">
        <v>24</v>
      </c>
      <c r="D155" t="s">
        <v>39</v>
      </c>
      <c r="E155" t="s">
        <v>99</v>
      </c>
      <c r="F155" t="s">
        <v>111</v>
      </c>
      <c r="G155">
        <v>4</v>
      </c>
      <c r="H155">
        <v>3742.21</v>
      </c>
      <c r="I155">
        <v>0.22</v>
      </c>
      <c r="J155">
        <v>11675.7</v>
      </c>
      <c r="K155" t="s">
        <v>46</v>
      </c>
      <c r="L155" t="s">
        <v>34</v>
      </c>
      <c r="M155" t="s">
        <v>30</v>
      </c>
      <c r="N155" t="s">
        <v>59</v>
      </c>
    </row>
    <row r="156" spans="1:14" x14ac:dyDescent="0.3">
      <c r="A156" t="s">
        <v>217</v>
      </c>
      <c r="B156" s="1">
        <v>45804</v>
      </c>
      <c r="C156" t="s">
        <v>15</v>
      </c>
      <c r="D156" t="s">
        <v>43</v>
      </c>
      <c r="E156" t="s">
        <v>49</v>
      </c>
      <c r="F156" t="s">
        <v>50</v>
      </c>
      <c r="G156">
        <v>1</v>
      </c>
      <c r="H156">
        <v>3662.7</v>
      </c>
      <c r="I156">
        <v>0.02</v>
      </c>
      <c r="J156">
        <v>3589.45</v>
      </c>
      <c r="K156" t="s">
        <v>33</v>
      </c>
      <c r="L156" t="s">
        <v>34</v>
      </c>
      <c r="M156" t="s">
        <v>21</v>
      </c>
      <c r="N156" t="s">
        <v>22</v>
      </c>
    </row>
    <row r="157" spans="1:14" x14ac:dyDescent="0.3">
      <c r="A157" t="s">
        <v>218</v>
      </c>
      <c r="B157" s="1">
        <v>45769</v>
      </c>
      <c r="C157" t="s">
        <v>24</v>
      </c>
      <c r="D157" t="s">
        <v>43</v>
      </c>
      <c r="E157" t="s">
        <v>99</v>
      </c>
      <c r="F157" t="s">
        <v>120</v>
      </c>
      <c r="G157">
        <v>3</v>
      </c>
      <c r="H157">
        <v>1601.83</v>
      </c>
      <c r="I157">
        <v>0.15</v>
      </c>
      <c r="J157">
        <v>4084.67</v>
      </c>
      <c r="K157" t="s">
        <v>46</v>
      </c>
      <c r="L157" t="s">
        <v>29</v>
      </c>
      <c r="M157" t="s">
        <v>30</v>
      </c>
      <c r="N157" t="s">
        <v>22</v>
      </c>
    </row>
    <row r="158" spans="1:14" x14ac:dyDescent="0.3">
      <c r="A158" t="s">
        <v>219</v>
      </c>
      <c r="B158" s="1">
        <v>45764</v>
      </c>
      <c r="C158" t="s">
        <v>24</v>
      </c>
      <c r="D158" t="s">
        <v>16</v>
      </c>
      <c r="E158" t="s">
        <v>99</v>
      </c>
      <c r="F158" t="s">
        <v>115</v>
      </c>
      <c r="G158">
        <v>4</v>
      </c>
      <c r="H158">
        <v>1445.32</v>
      </c>
      <c r="I158">
        <v>0.25</v>
      </c>
      <c r="J158">
        <v>4335.96</v>
      </c>
      <c r="K158" t="s">
        <v>46</v>
      </c>
      <c r="L158" t="s">
        <v>29</v>
      </c>
      <c r="M158" t="s">
        <v>54</v>
      </c>
      <c r="N158" t="s">
        <v>22</v>
      </c>
    </row>
    <row r="159" spans="1:14" x14ac:dyDescent="0.3">
      <c r="A159" t="s">
        <v>220</v>
      </c>
      <c r="B159" s="1">
        <v>45711</v>
      </c>
      <c r="C159" t="s">
        <v>36</v>
      </c>
      <c r="D159" t="s">
        <v>16</v>
      </c>
      <c r="E159" t="s">
        <v>49</v>
      </c>
      <c r="F159" t="s">
        <v>53</v>
      </c>
      <c r="G159">
        <v>2</v>
      </c>
      <c r="H159">
        <v>4258.4799999999996</v>
      </c>
      <c r="I159">
        <v>0.17</v>
      </c>
      <c r="J159">
        <v>7069.08</v>
      </c>
      <c r="K159" t="s">
        <v>19</v>
      </c>
      <c r="L159" t="s">
        <v>20</v>
      </c>
      <c r="M159" t="s">
        <v>30</v>
      </c>
      <c r="N159" t="s">
        <v>22</v>
      </c>
    </row>
    <row r="160" spans="1:14" x14ac:dyDescent="0.3">
      <c r="A160" t="s">
        <v>221</v>
      </c>
      <c r="B160" s="1">
        <v>45805</v>
      </c>
      <c r="C160" t="s">
        <v>15</v>
      </c>
      <c r="D160" t="s">
        <v>39</v>
      </c>
      <c r="E160" t="s">
        <v>61</v>
      </c>
      <c r="F160" t="s">
        <v>66</v>
      </c>
      <c r="G160">
        <v>1</v>
      </c>
      <c r="H160">
        <v>3064.96</v>
      </c>
      <c r="I160">
        <v>0.17</v>
      </c>
      <c r="J160">
        <v>2543.92</v>
      </c>
      <c r="K160" t="s">
        <v>41</v>
      </c>
      <c r="L160" t="s">
        <v>29</v>
      </c>
      <c r="M160" t="s">
        <v>30</v>
      </c>
      <c r="N160" t="s">
        <v>22</v>
      </c>
    </row>
    <row r="161" spans="1:14" x14ac:dyDescent="0.3">
      <c r="A161" t="s">
        <v>222</v>
      </c>
      <c r="B161" s="1">
        <v>45773</v>
      </c>
      <c r="C161" t="s">
        <v>36</v>
      </c>
      <c r="D161" t="s">
        <v>16</v>
      </c>
      <c r="E161" t="s">
        <v>17</v>
      </c>
      <c r="F161" t="s">
        <v>44</v>
      </c>
      <c r="G161">
        <v>3</v>
      </c>
      <c r="H161">
        <v>3282.85</v>
      </c>
      <c r="I161">
        <v>0.06</v>
      </c>
      <c r="J161">
        <v>9257.64</v>
      </c>
      <c r="K161" t="s">
        <v>46</v>
      </c>
      <c r="L161" t="s">
        <v>34</v>
      </c>
      <c r="M161" t="s">
        <v>54</v>
      </c>
      <c r="N161" t="s">
        <v>22</v>
      </c>
    </row>
    <row r="162" spans="1:14" x14ac:dyDescent="0.3">
      <c r="A162" t="s">
        <v>223</v>
      </c>
      <c r="B162" s="1">
        <v>45743</v>
      </c>
      <c r="C162" t="s">
        <v>36</v>
      </c>
      <c r="D162" t="s">
        <v>39</v>
      </c>
      <c r="E162" t="s">
        <v>49</v>
      </c>
      <c r="F162" t="s">
        <v>50</v>
      </c>
      <c r="G162">
        <v>3</v>
      </c>
      <c r="H162">
        <v>3549.79</v>
      </c>
      <c r="I162">
        <v>0.05</v>
      </c>
      <c r="J162">
        <v>10116.9</v>
      </c>
      <c r="K162" t="s">
        <v>58</v>
      </c>
      <c r="L162" t="s">
        <v>34</v>
      </c>
      <c r="M162" t="s">
        <v>21</v>
      </c>
      <c r="N162" t="s">
        <v>22</v>
      </c>
    </row>
    <row r="163" spans="1:14" x14ac:dyDescent="0.3">
      <c r="A163" t="s">
        <v>224</v>
      </c>
      <c r="B163" s="1">
        <v>45834</v>
      </c>
      <c r="C163" t="s">
        <v>24</v>
      </c>
      <c r="D163" t="s">
        <v>39</v>
      </c>
      <c r="E163" t="s">
        <v>49</v>
      </c>
      <c r="F163" t="s">
        <v>73</v>
      </c>
      <c r="G163">
        <v>4</v>
      </c>
      <c r="H163">
        <v>946.02</v>
      </c>
      <c r="I163">
        <v>0.18</v>
      </c>
      <c r="J163">
        <v>3102.95</v>
      </c>
      <c r="K163" t="s">
        <v>19</v>
      </c>
      <c r="L163" t="s">
        <v>20</v>
      </c>
      <c r="M163" t="s">
        <v>54</v>
      </c>
      <c r="N163" t="s">
        <v>22</v>
      </c>
    </row>
    <row r="164" spans="1:14" x14ac:dyDescent="0.3">
      <c r="A164" t="s">
        <v>225</v>
      </c>
      <c r="B164" s="1">
        <v>45773</v>
      </c>
      <c r="C164" t="s">
        <v>15</v>
      </c>
      <c r="D164" t="s">
        <v>43</v>
      </c>
      <c r="E164" t="s">
        <v>17</v>
      </c>
      <c r="F164" t="s">
        <v>32</v>
      </c>
      <c r="G164">
        <v>2</v>
      </c>
      <c r="H164">
        <v>3989.11</v>
      </c>
      <c r="I164">
        <v>0.13</v>
      </c>
      <c r="J164">
        <v>6941.05</v>
      </c>
      <c r="K164" t="s">
        <v>19</v>
      </c>
      <c r="L164" t="s">
        <v>29</v>
      </c>
      <c r="M164" t="s">
        <v>54</v>
      </c>
      <c r="N164" t="s">
        <v>88</v>
      </c>
    </row>
    <row r="165" spans="1:14" x14ac:dyDescent="0.3">
      <c r="A165" t="s">
        <v>226</v>
      </c>
      <c r="B165" s="1">
        <v>45737</v>
      </c>
      <c r="C165" t="s">
        <v>24</v>
      </c>
      <c r="D165" t="s">
        <v>43</v>
      </c>
      <c r="E165" t="s">
        <v>61</v>
      </c>
      <c r="F165" t="s">
        <v>92</v>
      </c>
      <c r="G165">
        <v>5</v>
      </c>
      <c r="H165">
        <v>1907.66</v>
      </c>
      <c r="I165">
        <v>0.2</v>
      </c>
      <c r="J165">
        <v>7630.64</v>
      </c>
      <c r="K165" t="s">
        <v>46</v>
      </c>
      <c r="L165" t="s">
        <v>29</v>
      </c>
      <c r="M165" t="s">
        <v>21</v>
      </c>
      <c r="N165" t="s">
        <v>22</v>
      </c>
    </row>
    <row r="166" spans="1:14" x14ac:dyDescent="0.3">
      <c r="A166" t="s">
        <v>227</v>
      </c>
      <c r="B166" s="1">
        <v>45730</v>
      </c>
      <c r="C166" t="s">
        <v>15</v>
      </c>
      <c r="D166" t="s">
        <v>16</v>
      </c>
      <c r="E166" t="s">
        <v>17</v>
      </c>
      <c r="F166" t="s">
        <v>18</v>
      </c>
      <c r="G166">
        <v>4</v>
      </c>
      <c r="H166">
        <v>2675.91</v>
      </c>
      <c r="I166">
        <v>0.19</v>
      </c>
      <c r="J166">
        <v>8669.9500000000007</v>
      </c>
      <c r="K166" t="s">
        <v>41</v>
      </c>
      <c r="L166" t="s">
        <v>29</v>
      </c>
      <c r="M166" t="s">
        <v>21</v>
      </c>
      <c r="N166" t="s">
        <v>22</v>
      </c>
    </row>
    <row r="167" spans="1:14" x14ac:dyDescent="0.3">
      <c r="A167" t="s">
        <v>228</v>
      </c>
      <c r="B167" s="1">
        <v>45702</v>
      </c>
      <c r="C167" t="s">
        <v>48</v>
      </c>
      <c r="D167" t="s">
        <v>43</v>
      </c>
      <c r="E167" t="s">
        <v>99</v>
      </c>
      <c r="F167" t="s">
        <v>120</v>
      </c>
      <c r="G167">
        <v>5</v>
      </c>
      <c r="H167">
        <v>1788.12</v>
      </c>
      <c r="I167">
        <v>0.22</v>
      </c>
      <c r="J167">
        <v>6973.67</v>
      </c>
      <c r="K167" t="s">
        <v>41</v>
      </c>
      <c r="L167" t="s">
        <v>29</v>
      </c>
      <c r="M167" t="s">
        <v>21</v>
      </c>
      <c r="N167" t="s">
        <v>88</v>
      </c>
    </row>
    <row r="168" spans="1:14" x14ac:dyDescent="0.3">
      <c r="A168" t="s">
        <v>229</v>
      </c>
      <c r="B168" s="1">
        <v>45686</v>
      </c>
      <c r="C168" t="s">
        <v>36</v>
      </c>
      <c r="D168" t="s">
        <v>43</v>
      </c>
      <c r="E168" t="s">
        <v>61</v>
      </c>
      <c r="F168" t="s">
        <v>92</v>
      </c>
      <c r="G168">
        <v>5</v>
      </c>
      <c r="H168">
        <v>849.78</v>
      </c>
      <c r="I168">
        <v>0.04</v>
      </c>
      <c r="J168">
        <v>4078.94</v>
      </c>
      <c r="K168" t="s">
        <v>58</v>
      </c>
      <c r="L168" t="s">
        <v>20</v>
      </c>
      <c r="M168" t="s">
        <v>30</v>
      </c>
      <c r="N168" t="s">
        <v>22</v>
      </c>
    </row>
    <row r="169" spans="1:14" x14ac:dyDescent="0.3">
      <c r="A169" t="s">
        <v>230</v>
      </c>
      <c r="B169" s="1">
        <v>45758</v>
      </c>
      <c r="C169" t="s">
        <v>24</v>
      </c>
      <c r="D169" t="s">
        <v>16</v>
      </c>
      <c r="E169" t="s">
        <v>27</v>
      </c>
      <c r="F169" t="s">
        <v>28</v>
      </c>
      <c r="G169">
        <v>5</v>
      </c>
      <c r="H169">
        <v>1444.81</v>
      </c>
      <c r="I169">
        <v>0.16</v>
      </c>
      <c r="J169">
        <v>6068.2</v>
      </c>
      <c r="K169" t="s">
        <v>46</v>
      </c>
      <c r="L169" t="s">
        <v>20</v>
      </c>
      <c r="M169" t="s">
        <v>21</v>
      </c>
      <c r="N169" t="s">
        <v>22</v>
      </c>
    </row>
    <row r="170" spans="1:14" x14ac:dyDescent="0.3">
      <c r="A170" t="s">
        <v>231</v>
      </c>
      <c r="B170" s="1">
        <v>45755</v>
      </c>
      <c r="C170" t="s">
        <v>52</v>
      </c>
      <c r="D170" t="s">
        <v>16</v>
      </c>
      <c r="E170" t="s">
        <v>61</v>
      </c>
      <c r="F170" t="s">
        <v>75</v>
      </c>
      <c r="G170">
        <v>5</v>
      </c>
      <c r="H170">
        <v>1754.34</v>
      </c>
      <c r="I170">
        <v>0.23</v>
      </c>
      <c r="J170">
        <v>6754.21</v>
      </c>
      <c r="K170" t="s">
        <v>33</v>
      </c>
      <c r="L170" t="s">
        <v>29</v>
      </c>
      <c r="M170" t="s">
        <v>54</v>
      </c>
      <c r="N170" t="s">
        <v>22</v>
      </c>
    </row>
    <row r="171" spans="1:14" x14ac:dyDescent="0.3">
      <c r="A171" t="s">
        <v>232</v>
      </c>
      <c r="B171" s="1">
        <v>45677</v>
      </c>
      <c r="C171" t="s">
        <v>52</v>
      </c>
      <c r="D171" t="s">
        <v>39</v>
      </c>
      <c r="E171" t="s">
        <v>27</v>
      </c>
      <c r="F171" t="s">
        <v>28</v>
      </c>
      <c r="G171">
        <v>5</v>
      </c>
      <c r="H171">
        <v>3231.06</v>
      </c>
      <c r="I171">
        <v>0.12</v>
      </c>
      <c r="J171">
        <v>14216.66</v>
      </c>
      <c r="K171" t="s">
        <v>33</v>
      </c>
      <c r="L171" t="s">
        <v>34</v>
      </c>
      <c r="M171" t="s">
        <v>21</v>
      </c>
      <c r="N171" t="s">
        <v>22</v>
      </c>
    </row>
    <row r="172" spans="1:14" x14ac:dyDescent="0.3">
      <c r="A172" t="s">
        <v>233</v>
      </c>
      <c r="B172" s="1">
        <v>45806</v>
      </c>
      <c r="C172" t="s">
        <v>52</v>
      </c>
      <c r="D172" t="s">
        <v>25</v>
      </c>
      <c r="E172" t="s">
        <v>99</v>
      </c>
      <c r="F172" t="s">
        <v>115</v>
      </c>
      <c r="G172">
        <v>4</v>
      </c>
      <c r="H172">
        <v>457.57</v>
      </c>
      <c r="I172">
        <v>0.01</v>
      </c>
      <c r="J172">
        <v>1811.98</v>
      </c>
      <c r="K172" t="s">
        <v>41</v>
      </c>
      <c r="L172" t="s">
        <v>34</v>
      </c>
      <c r="M172" t="s">
        <v>30</v>
      </c>
      <c r="N172" t="s">
        <v>22</v>
      </c>
    </row>
    <row r="173" spans="1:14" x14ac:dyDescent="0.3">
      <c r="A173" t="s">
        <v>234</v>
      </c>
      <c r="B173" s="1">
        <v>45669</v>
      </c>
      <c r="C173" t="s">
        <v>36</v>
      </c>
      <c r="D173" t="s">
        <v>43</v>
      </c>
      <c r="E173" t="s">
        <v>61</v>
      </c>
      <c r="F173" t="s">
        <v>66</v>
      </c>
      <c r="G173">
        <v>3</v>
      </c>
      <c r="H173">
        <v>3697.58</v>
      </c>
      <c r="I173">
        <v>0.22</v>
      </c>
      <c r="J173">
        <v>8652.34</v>
      </c>
      <c r="K173" t="s">
        <v>19</v>
      </c>
      <c r="L173" t="s">
        <v>34</v>
      </c>
      <c r="M173" t="s">
        <v>30</v>
      </c>
      <c r="N173" t="s">
        <v>88</v>
      </c>
    </row>
    <row r="174" spans="1:14" x14ac:dyDescent="0.3">
      <c r="A174" t="s">
        <v>235</v>
      </c>
      <c r="B174" s="1">
        <v>45827</v>
      </c>
      <c r="C174" t="s">
        <v>15</v>
      </c>
      <c r="D174" t="s">
        <v>16</v>
      </c>
      <c r="E174" t="s">
        <v>27</v>
      </c>
      <c r="F174" t="s">
        <v>79</v>
      </c>
      <c r="G174">
        <v>1</v>
      </c>
      <c r="H174">
        <v>1410.61</v>
      </c>
      <c r="I174">
        <v>0.06</v>
      </c>
      <c r="J174">
        <v>1325.97</v>
      </c>
      <c r="K174" t="s">
        <v>19</v>
      </c>
      <c r="L174" t="s">
        <v>34</v>
      </c>
      <c r="M174" t="s">
        <v>54</v>
      </c>
      <c r="N174" t="s">
        <v>22</v>
      </c>
    </row>
    <row r="175" spans="1:14" x14ac:dyDescent="0.3">
      <c r="A175" t="s">
        <v>236</v>
      </c>
      <c r="B175" s="1">
        <v>45681</v>
      </c>
      <c r="C175" t="s">
        <v>52</v>
      </c>
      <c r="D175" t="s">
        <v>25</v>
      </c>
      <c r="E175" t="s">
        <v>49</v>
      </c>
      <c r="F175" t="s">
        <v>50</v>
      </c>
      <c r="G175">
        <v>5</v>
      </c>
      <c r="H175">
        <v>3633.53</v>
      </c>
      <c r="I175">
        <v>0.05</v>
      </c>
      <c r="J175">
        <v>17259.27</v>
      </c>
      <c r="K175" t="s">
        <v>19</v>
      </c>
      <c r="L175" t="s">
        <v>34</v>
      </c>
      <c r="M175" t="s">
        <v>54</v>
      </c>
      <c r="N175" t="s">
        <v>59</v>
      </c>
    </row>
    <row r="176" spans="1:14" x14ac:dyDescent="0.3">
      <c r="A176" t="s">
        <v>237</v>
      </c>
      <c r="B176" s="1">
        <v>45689</v>
      </c>
      <c r="C176" t="s">
        <v>15</v>
      </c>
      <c r="D176" t="s">
        <v>43</v>
      </c>
      <c r="E176" t="s">
        <v>49</v>
      </c>
      <c r="F176" t="s">
        <v>50</v>
      </c>
      <c r="G176">
        <v>1</v>
      </c>
      <c r="H176">
        <v>4731.6400000000003</v>
      </c>
      <c r="I176">
        <v>0.13</v>
      </c>
      <c r="J176">
        <v>4116.53</v>
      </c>
      <c r="K176" t="s">
        <v>41</v>
      </c>
      <c r="L176" t="s">
        <v>20</v>
      </c>
      <c r="M176" t="s">
        <v>54</v>
      </c>
      <c r="N176" t="s">
        <v>22</v>
      </c>
    </row>
    <row r="177" spans="1:14" x14ac:dyDescent="0.3">
      <c r="A177" t="s">
        <v>238</v>
      </c>
      <c r="B177" s="1">
        <v>45781</v>
      </c>
      <c r="C177" t="s">
        <v>15</v>
      </c>
      <c r="D177" t="s">
        <v>25</v>
      </c>
      <c r="E177" t="s">
        <v>17</v>
      </c>
      <c r="F177" t="s">
        <v>18</v>
      </c>
      <c r="G177">
        <v>4</v>
      </c>
      <c r="H177">
        <v>1500.17</v>
      </c>
      <c r="I177">
        <v>0</v>
      </c>
      <c r="J177">
        <v>6000.68</v>
      </c>
      <c r="K177" t="s">
        <v>41</v>
      </c>
      <c r="L177" t="s">
        <v>29</v>
      </c>
      <c r="M177" t="s">
        <v>54</v>
      </c>
      <c r="N177" t="s">
        <v>22</v>
      </c>
    </row>
    <row r="178" spans="1:14" x14ac:dyDescent="0.3">
      <c r="A178" t="s">
        <v>239</v>
      </c>
      <c r="B178" s="1">
        <v>45691</v>
      </c>
      <c r="C178" t="s">
        <v>48</v>
      </c>
      <c r="D178" t="s">
        <v>39</v>
      </c>
      <c r="E178" t="s">
        <v>99</v>
      </c>
      <c r="F178" t="s">
        <v>111</v>
      </c>
      <c r="G178">
        <v>4</v>
      </c>
      <c r="H178">
        <v>350.67</v>
      </c>
      <c r="I178">
        <v>0.14000000000000001</v>
      </c>
      <c r="J178">
        <v>1206.3</v>
      </c>
      <c r="K178" t="s">
        <v>46</v>
      </c>
      <c r="L178" t="s">
        <v>20</v>
      </c>
      <c r="M178" t="s">
        <v>30</v>
      </c>
      <c r="N178" t="s">
        <v>22</v>
      </c>
    </row>
    <row r="179" spans="1:14" x14ac:dyDescent="0.3">
      <c r="A179" t="s">
        <v>240</v>
      </c>
      <c r="B179" s="1">
        <v>45813</v>
      </c>
      <c r="C179" t="s">
        <v>36</v>
      </c>
      <c r="D179" t="s">
        <v>39</v>
      </c>
      <c r="E179" t="s">
        <v>27</v>
      </c>
      <c r="F179" t="s">
        <v>87</v>
      </c>
      <c r="G179">
        <v>5</v>
      </c>
      <c r="H179">
        <v>682.17</v>
      </c>
      <c r="I179">
        <v>0.24</v>
      </c>
      <c r="J179">
        <v>2592.25</v>
      </c>
      <c r="K179" t="s">
        <v>46</v>
      </c>
      <c r="L179" t="s">
        <v>29</v>
      </c>
      <c r="M179" t="s">
        <v>30</v>
      </c>
      <c r="N179" t="s">
        <v>88</v>
      </c>
    </row>
    <row r="180" spans="1:14" x14ac:dyDescent="0.3">
      <c r="A180" t="s">
        <v>241</v>
      </c>
      <c r="B180" s="1">
        <v>45792</v>
      </c>
      <c r="C180" t="s">
        <v>52</v>
      </c>
      <c r="D180" t="s">
        <v>43</v>
      </c>
      <c r="E180" t="s">
        <v>99</v>
      </c>
      <c r="F180" t="s">
        <v>111</v>
      </c>
      <c r="G180">
        <v>5</v>
      </c>
      <c r="H180">
        <v>2066.8000000000002</v>
      </c>
      <c r="I180">
        <v>0.01</v>
      </c>
      <c r="J180">
        <v>10230.66</v>
      </c>
      <c r="K180" t="s">
        <v>19</v>
      </c>
      <c r="L180" t="s">
        <v>29</v>
      </c>
      <c r="M180" t="s">
        <v>54</v>
      </c>
      <c r="N180" t="s">
        <v>22</v>
      </c>
    </row>
    <row r="181" spans="1:14" x14ac:dyDescent="0.3">
      <c r="A181" t="s">
        <v>242</v>
      </c>
      <c r="B181" s="1">
        <v>45741</v>
      </c>
      <c r="C181" t="s">
        <v>52</v>
      </c>
      <c r="D181" t="s">
        <v>25</v>
      </c>
      <c r="E181" t="s">
        <v>49</v>
      </c>
      <c r="F181" t="s">
        <v>50</v>
      </c>
      <c r="G181">
        <v>2</v>
      </c>
      <c r="H181">
        <v>1707.03</v>
      </c>
      <c r="I181">
        <v>0.15</v>
      </c>
      <c r="J181">
        <v>2901.95</v>
      </c>
      <c r="K181" t="s">
        <v>33</v>
      </c>
      <c r="L181" t="s">
        <v>29</v>
      </c>
      <c r="M181" t="s">
        <v>54</v>
      </c>
      <c r="N181" t="s">
        <v>59</v>
      </c>
    </row>
    <row r="182" spans="1:14" x14ac:dyDescent="0.3">
      <c r="A182" t="s">
        <v>243</v>
      </c>
      <c r="B182" s="1">
        <v>45775</v>
      </c>
      <c r="C182" t="s">
        <v>36</v>
      </c>
      <c r="D182" t="s">
        <v>39</v>
      </c>
      <c r="E182" t="s">
        <v>99</v>
      </c>
      <c r="F182" t="s">
        <v>111</v>
      </c>
      <c r="G182">
        <v>4</v>
      </c>
      <c r="H182">
        <v>3572.83</v>
      </c>
      <c r="I182">
        <v>7.0000000000000007E-2</v>
      </c>
      <c r="J182">
        <v>13290.93</v>
      </c>
      <c r="K182" t="s">
        <v>33</v>
      </c>
      <c r="L182" t="s">
        <v>29</v>
      </c>
      <c r="M182" t="s">
        <v>54</v>
      </c>
      <c r="N182" t="s">
        <v>22</v>
      </c>
    </row>
    <row r="183" spans="1:14" x14ac:dyDescent="0.3">
      <c r="A183" t="s">
        <v>244</v>
      </c>
      <c r="B183" s="1">
        <v>45672</v>
      </c>
      <c r="C183" t="s">
        <v>36</v>
      </c>
      <c r="D183" t="s">
        <v>43</v>
      </c>
      <c r="E183" t="s">
        <v>17</v>
      </c>
      <c r="F183" t="s">
        <v>40</v>
      </c>
      <c r="G183">
        <v>1</v>
      </c>
      <c r="H183">
        <v>3024.86</v>
      </c>
      <c r="I183">
        <v>7.0000000000000007E-2</v>
      </c>
      <c r="J183">
        <v>2813.12</v>
      </c>
      <c r="K183" t="s">
        <v>46</v>
      </c>
      <c r="L183" t="s">
        <v>29</v>
      </c>
      <c r="M183" t="s">
        <v>21</v>
      </c>
      <c r="N183" t="s">
        <v>22</v>
      </c>
    </row>
    <row r="184" spans="1:14" x14ac:dyDescent="0.3">
      <c r="A184" t="s">
        <v>245</v>
      </c>
      <c r="B184" s="1">
        <v>45734</v>
      </c>
      <c r="C184" t="s">
        <v>52</v>
      </c>
      <c r="D184" t="s">
        <v>43</v>
      </c>
      <c r="E184" t="s">
        <v>27</v>
      </c>
      <c r="F184" t="s">
        <v>87</v>
      </c>
      <c r="G184">
        <v>5</v>
      </c>
      <c r="H184">
        <v>3895.57</v>
      </c>
      <c r="I184">
        <v>0.1</v>
      </c>
      <c r="J184">
        <v>17530.07</v>
      </c>
      <c r="K184" t="s">
        <v>33</v>
      </c>
      <c r="L184" t="s">
        <v>29</v>
      </c>
      <c r="M184" t="s">
        <v>21</v>
      </c>
      <c r="N184" t="s">
        <v>22</v>
      </c>
    </row>
    <row r="185" spans="1:14" x14ac:dyDescent="0.3">
      <c r="A185" t="s">
        <v>246</v>
      </c>
      <c r="B185" s="1">
        <v>45734</v>
      </c>
      <c r="C185" t="s">
        <v>24</v>
      </c>
      <c r="D185" t="s">
        <v>25</v>
      </c>
      <c r="E185" t="s">
        <v>17</v>
      </c>
      <c r="F185" t="s">
        <v>44</v>
      </c>
      <c r="G185">
        <v>4</v>
      </c>
      <c r="H185">
        <v>842.01</v>
      </c>
      <c r="I185">
        <v>0.17</v>
      </c>
      <c r="J185">
        <v>2795.47</v>
      </c>
      <c r="K185" t="s">
        <v>41</v>
      </c>
      <c r="L185" t="s">
        <v>34</v>
      </c>
      <c r="M185" t="s">
        <v>30</v>
      </c>
      <c r="N185" t="s">
        <v>37</v>
      </c>
    </row>
    <row r="186" spans="1:14" x14ac:dyDescent="0.3">
      <c r="A186" t="s">
        <v>247</v>
      </c>
      <c r="B186" s="1">
        <v>45775</v>
      </c>
      <c r="C186" t="s">
        <v>36</v>
      </c>
      <c r="D186" t="s">
        <v>39</v>
      </c>
      <c r="E186" t="s">
        <v>17</v>
      </c>
      <c r="F186" t="s">
        <v>44</v>
      </c>
      <c r="G186">
        <v>3</v>
      </c>
      <c r="H186">
        <v>4990.8</v>
      </c>
      <c r="I186">
        <v>0.12</v>
      </c>
      <c r="J186">
        <v>13175.71</v>
      </c>
      <c r="K186" t="s">
        <v>19</v>
      </c>
      <c r="L186" t="s">
        <v>29</v>
      </c>
      <c r="M186" t="s">
        <v>30</v>
      </c>
      <c r="N186" t="s">
        <v>59</v>
      </c>
    </row>
    <row r="187" spans="1:14" x14ac:dyDescent="0.3">
      <c r="A187" t="s">
        <v>248</v>
      </c>
      <c r="B187" s="1">
        <v>45750</v>
      </c>
      <c r="C187" t="s">
        <v>36</v>
      </c>
      <c r="D187" t="s">
        <v>39</v>
      </c>
      <c r="E187" t="s">
        <v>49</v>
      </c>
      <c r="F187" t="s">
        <v>53</v>
      </c>
      <c r="G187">
        <v>3</v>
      </c>
      <c r="H187">
        <v>3089.38</v>
      </c>
      <c r="I187">
        <v>0.05</v>
      </c>
      <c r="J187">
        <v>8804.73</v>
      </c>
      <c r="K187" t="s">
        <v>46</v>
      </c>
      <c r="L187" t="s">
        <v>29</v>
      </c>
      <c r="M187" t="s">
        <v>54</v>
      </c>
      <c r="N187" t="s">
        <v>22</v>
      </c>
    </row>
    <row r="188" spans="1:14" x14ac:dyDescent="0.3">
      <c r="A188" t="s">
        <v>249</v>
      </c>
      <c r="B188" s="1">
        <v>45762</v>
      </c>
      <c r="C188" t="s">
        <v>15</v>
      </c>
      <c r="D188" t="s">
        <v>39</v>
      </c>
      <c r="E188" t="s">
        <v>61</v>
      </c>
      <c r="F188" t="s">
        <v>66</v>
      </c>
      <c r="G188">
        <v>4</v>
      </c>
      <c r="H188">
        <v>1653.5</v>
      </c>
      <c r="I188">
        <v>0.09</v>
      </c>
      <c r="J188">
        <v>6018.74</v>
      </c>
      <c r="K188" t="s">
        <v>19</v>
      </c>
      <c r="L188" t="s">
        <v>29</v>
      </c>
      <c r="M188" t="s">
        <v>21</v>
      </c>
      <c r="N188" t="s">
        <v>22</v>
      </c>
    </row>
    <row r="189" spans="1:14" x14ac:dyDescent="0.3">
      <c r="A189" t="s">
        <v>250</v>
      </c>
      <c r="B189" s="1">
        <v>45708</v>
      </c>
      <c r="C189" t="s">
        <v>48</v>
      </c>
      <c r="D189" t="s">
        <v>39</v>
      </c>
      <c r="E189" t="s">
        <v>27</v>
      </c>
      <c r="F189" t="s">
        <v>87</v>
      </c>
      <c r="G189">
        <v>3</v>
      </c>
      <c r="H189">
        <v>306.13</v>
      </c>
      <c r="I189">
        <v>0.24</v>
      </c>
      <c r="J189">
        <v>697.98</v>
      </c>
      <c r="K189" t="s">
        <v>46</v>
      </c>
      <c r="L189" t="s">
        <v>20</v>
      </c>
      <c r="M189" t="s">
        <v>54</v>
      </c>
      <c r="N189" t="s">
        <v>37</v>
      </c>
    </row>
    <row r="190" spans="1:14" x14ac:dyDescent="0.3">
      <c r="A190" t="s">
        <v>251</v>
      </c>
      <c r="B190" s="1">
        <v>45767</v>
      </c>
      <c r="C190" t="s">
        <v>52</v>
      </c>
      <c r="D190" t="s">
        <v>16</v>
      </c>
      <c r="E190" t="s">
        <v>99</v>
      </c>
      <c r="F190" t="s">
        <v>115</v>
      </c>
      <c r="G190">
        <v>3</v>
      </c>
      <c r="H190">
        <v>4671.82</v>
      </c>
      <c r="I190">
        <v>0.17</v>
      </c>
      <c r="J190">
        <v>11632.83</v>
      </c>
      <c r="K190" t="s">
        <v>19</v>
      </c>
      <c r="L190" t="s">
        <v>29</v>
      </c>
      <c r="M190" t="s">
        <v>54</v>
      </c>
      <c r="N190" t="s">
        <v>22</v>
      </c>
    </row>
    <row r="191" spans="1:14" x14ac:dyDescent="0.3">
      <c r="A191" t="s">
        <v>252</v>
      </c>
      <c r="B191" s="1">
        <v>45827</v>
      </c>
      <c r="C191" t="s">
        <v>52</v>
      </c>
      <c r="D191" t="s">
        <v>25</v>
      </c>
      <c r="E191" t="s">
        <v>27</v>
      </c>
      <c r="F191" t="s">
        <v>68</v>
      </c>
      <c r="G191">
        <v>5</v>
      </c>
      <c r="H191">
        <v>1205.79</v>
      </c>
      <c r="I191">
        <v>0.06</v>
      </c>
      <c r="J191">
        <v>5667.21</v>
      </c>
      <c r="K191" t="s">
        <v>58</v>
      </c>
      <c r="L191" t="s">
        <v>29</v>
      </c>
      <c r="M191" t="s">
        <v>54</v>
      </c>
      <c r="N191" t="s">
        <v>22</v>
      </c>
    </row>
    <row r="192" spans="1:14" x14ac:dyDescent="0.3">
      <c r="A192" t="s">
        <v>253</v>
      </c>
      <c r="B192" s="1">
        <v>45662</v>
      </c>
      <c r="C192" t="s">
        <v>52</v>
      </c>
      <c r="D192" t="s">
        <v>25</v>
      </c>
      <c r="E192" t="s">
        <v>49</v>
      </c>
      <c r="F192" t="s">
        <v>56</v>
      </c>
      <c r="G192">
        <v>2</v>
      </c>
      <c r="H192">
        <v>2093.85</v>
      </c>
      <c r="I192">
        <v>0.23</v>
      </c>
      <c r="J192">
        <v>3224.53</v>
      </c>
      <c r="K192" t="s">
        <v>58</v>
      </c>
      <c r="L192" t="s">
        <v>29</v>
      </c>
      <c r="M192" t="s">
        <v>30</v>
      </c>
      <c r="N192" t="s">
        <v>22</v>
      </c>
    </row>
    <row r="193" spans="1:14" x14ac:dyDescent="0.3">
      <c r="A193" t="s">
        <v>254</v>
      </c>
      <c r="B193" s="1">
        <v>45792</v>
      </c>
      <c r="C193" t="s">
        <v>15</v>
      </c>
      <c r="D193" t="s">
        <v>43</v>
      </c>
      <c r="E193" t="s">
        <v>99</v>
      </c>
      <c r="F193" t="s">
        <v>111</v>
      </c>
      <c r="G193">
        <v>5</v>
      </c>
      <c r="H193">
        <v>1237.8800000000001</v>
      </c>
      <c r="I193">
        <v>0.18</v>
      </c>
      <c r="J193">
        <v>5075.3100000000004</v>
      </c>
      <c r="K193" t="s">
        <v>58</v>
      </c>
      <c r="L193" t="s">
        <v>20</v>
      </c>
      <c r="M193" t="s">
        <v>54</v>
      </c>
      <c r="N193" t="s">
        <v>22</v>
      </c>
    </row>
    <row r="194" spans="1:14" x14ac:dyDescent="0.3">
      <c r="A194" t="s">
        <v>255</v>
      </c>
      <c r="B194" s="1">
        <v>45799</v>
      </c>
      <c r="C194" t="s">
        <v>48</v>
      </c>
      <c r="D194" t="s">
        <v>16</v>
      </c>
      <c r="E194" t="s">
        <v>61</v>
      </c>
      <c r="F194" t="s">
        <v>62</v>
      </c>
      <c r="G194">
        <v>3</v>
      </c>
      <c r="H194">
        <v>4396.04</v>
      </c>
      <c r="I194">
        <v>0</v>
      </c>
      <c r="J194">
        <v>13188.12</v>
      </c>
      <c r="K194" t="s">
        <v>41</v>
      </c>
      <c r="L194" t="s">
        <v>20</v>
      </c>
      <c r="M194" t="s">
        <v>21</v>
      </c>
      <c r="N194" t="s">
        <v>37</v>
      </c>
    </row>
    <row r="195" spans="1:14" x14ac:dyDescent="0.3">
      <c r="A195" t="s">
        <v>256</v>
      </c>
      <c r="B195" s="1">
        <v>45682</v>
      </c>
      <c r="C195" t="s">
        <v>48</v>
      </c>
      <c r="D195" t="s">
        <v>25</v>
      </c>
      <c r="E195" t="s">
        <v>99</v>
      </c>
      <c r="F195" t="s">
        <v>111</v>
      </c>
      <c r="G195">
        <v>4</v>
      </c>
      <c r="H195">
        <v>4457.37</v>
      </c>
      <c r="I195">
        <v>0.03</v>
      </c>
      <c r="J195">
        <v>17294.599999999999</v>
      </c>
      <c r="K195" t="s">
        <v>33</v>
      </c>
      <c r="L195" t="s">
        <v>29</v>
      </c>
      <c r="M195" t="s">
        <v>21</v>
      </c>
      <c r="N195" t="s">
        <v>22</v>
      </c>
    </row>
    <row r="196" spans="1:14" x14ac:dyDescent="0.3">
      <c r="A196" t="s">
        <v>257</v>
      </c>
      <c r="B196" s="1">
        <v>45792</v>
      </c>
      <c r="C196" t="s">
        <v>52</v>
      </c>
      <c r="D196" t="s">
        <v>39</v>
      </c>
      <c r="E196" t="s">
        <v>17</v>
      </c>
      <c r="F196" t="s">
        <v>32</v>
      </c>
      <c r="G196">
        <v>3</v>
      </c>
      <c r="H196">
        <v>3621.13</v>
      </c>
      <c r="I196">
        <v>0</v>
      </c>
      <c r="J196">
        <v>10863.39</v>
      </c>
      <c r="K196" t="s">
        <v>41</v>
      </c>
      <c r="L196" t="s">
        <v>29</v>
      </c>
      <c r="M196" t="s">
        <v>30</v>
      </c>
      <c r="N196" t="s">
        <v>22</v>
      </c>
    </row>
    <row r="197" spans="1:14" x14ac:dyDescent="0.3">
      <c r="A197" t="s">
        <v>258</v>
      </c>
      <c r="B197" s="1">
        <v>45831</v>
      </c>
      <c r="C197" t="s">
        <v>36</v>
      </c>
      <c r="D197" t="s">
        <v>43</v>
      </c>
      <c r="E197" t="s">
        <v>61</v>
      </c>
      <c r="F197" t="s">
        <v>75</v>
      </c>
      <c r="G197">
        <v>5</v>
      </c>
      <c r="H197">
        <v>1706.84</v>
      </c>
      <c r="I197">
        <v>0.1</v>
      </c>
      <c r="J197">
        <v>7680.78</v>
      </c>
      <c r="K197" t="s">
        <v>41</v>
      </c>
      <c r="L197" t="s">
        <v>34</v>
      </c>
      <c r="M197" t="s">
        <v>54</v>
      </c>
      <c r="N197" t="s">
        <v>59</v>
      </c>
    </row>
    <row r="198" spans="1:14" x14ac:dyDescent="0.3">
      <c r="A198" t="s">
        <v>259</v>
      </c>
      <c r="B198" s="1">
        <v>45764</v>
      </c>
      <c r="C198" t="s">
        <v>52</v>
      </c>
      <c r="D198" t="s">
        <v>39</v>
      </c>
      <c r="E198" t="s">
        <v>49</v>
      </c>
      <c r="F198" t="s">
        <v>53</v>
      </c>
      <c r="G198">
        <v>4</v>
      </c>
      <c r="H198">
        <v>1254.05</v>
      </c>
      <c r="I198">
        <v>0.19</v>
      </c>
      <c r="J198">
        <v>4063.12</v>
      </c>
      <c r="K198" t="s">
        <v>58</v>
      </c>
      <c r="L198" t="s">
        <v>34</v>
      </c>
      <c r="M198" t="s">
        <v>30</v>
      </c>
      <c r="N198" t="s">
        <v>22</v>
      </c>
    </row>
    <row r="199" spans="1:14" x14ac:dyDescent="0.3">
      <c r="A199" t="s">
        <v>260</v>
      </c>
      <c r="B199" s="1">
        <v>45805</v>
      </c>
      <c r="C199" t="s">
        <v>15</v>
      </c>
      <c r="D199" t="s">
        <v>43</v>
      </c>
      <c r="E199" t="s">
        <v>27</v>
      </c>
      <c r="F199" t="s">
        <v>79</v>
      </c>
      <c r="G199">
        <v>2</v>
      </c>
      <c r="H199">
        <v>404.41</v>
      </c>
      <c r="I199">
        <v>0.03</v>
      </c>
      <c r="J199">
        <v>784.56</v>
      </c>
      <c r="K199" t="s">
        <v>46</v>
      </c>
      <c r="L199" t="s">
        <v>29</v>
      </c>
      <c r="M199" t="s">
        <v>30</v>
      </c>
      <c r="N199" t="s">
        <v>22</v>
      </c>
    </row>
    <row r="200" spans="1:14" x14ac:dyDescent="0.3">
      <c r="A200" t="s">
        <v>261</v>
      </c>
      <c r="B200" s="1">
        <v>45711</v>
      </c>
      <c r="C200" t="s">
        <v>24</v>
      </c>
      <c r="D200" t="s">
        <v>43</v>
      </c>
      <c r="E200" t="s">
        <v>27</v>
      </c>
      <c r="F200" t="s">
        <v>28</v>
      </c>
      <c r="G200">
        <v>5</v>
      </c>
      <c r="H200">
        <v>1182.1600000000001</v>
      </c>
      <c r="I200">
        <v>0.24</v>
      </c>
      <c r="J200">
        <v>4492.21</v>
      </c>
      <c r="K200" t="s">
        <v>46</v>
      </c>
      <c r="L200" t="s">
        <v>34</v>
      </c>
      <c r="M200" t="s">
        <v>30</v>
      </c>
      <c r="N200" t="s">
        <v>22</v>
      </c>
    </row>
    <row r="201" spans="1:14" x14ac:dyDescent="0.3">
      <c r="A201" t="s">
        <v>262</v>
      </c>
      <c r="B201" s="1">
        <v>45809</v>
      </c>
      <c r="C201" t="s">
        <v>48</v>
      </c>
      <c r="D201" t="s">
        <v>16</v>
      </c>
      <c r="E201" t="s">
        <v>27</v>
      </c>
      <c r="F201" t="s">
        <v>28</v>
      </c>
      <c r="G201">
        <v>5</v>
      </c>
      <c r="H201">
        <v>4029.78</v>
      </c>
      <c r="I201">
        <v>0.21</v>
      </c>
      <c r="J201">
        <v>15917.63</v>
      </c>
      <c r="K201" t="s">
        <v>33</v>
      </c>
      <c r="L201" t="s">
        <v>34</v>
      </c>
      <c r="M201" t="s">
        <v>54</v>
      </c>
      <c r="N201" t="s">
        <v>22</v>
      </c>
    </row>
    <row r="202" spans="1:14" x14ac:dyDescent="0.3">
      <c r="A202" t="s">
        <v>263</v>
      </c>
      <c r="B202" s="1">
        <v>45784</v>
      </c>
      <c r="C202" t="s">
        <v>24</v>
      </c>
      <c r="D202" t="s">
        <v>43</v>
      </c>
      <c r="E202" t="s">
        <v>27</v>
      </c>
      <c r="F202" t="s">
        <v>28</v>
      </c>
      <c r="G202">
        <v>1</v>
      </c>
      <c r="H202">
        <v>4160.99</v>
      </c>
      <c r="I202">
        <v>0.23</v>
      </c>
      <c r="J202">
        <v>3203.96</v>
      </c>
      <c r="K202" t="s">
        <v>33</v>
      </c>
      <c r="L202" t="s">
        <v>20</v>
      </c>
      <c r="M202" t="s">
        <v>54</v>
      </c>
      <c r="N202" t="s">
        <v>22</v>
      </c>
    </row>
    <row r="203" spans="1:14" x14ac:dyDescent="0.3">
      <c r="A203" t="s">
        <v>264</v>
      </c>
      <c r="B203" s="1">
        <v>45726</v>
      </c>
      <c r="C203" t="s">
        <v>24</v>
      </c>
      <c r="D203" t="s">
        <v>16</v>
      </c>
      <c r="E203" t="s">
        <v>27</v>
      </c>
      <c r="F203" t="s">
        <v>87</v>
      </c>
      <c r="G203">
        <v>5</v>
      </c>
      <c r="H203">
        <v>2495.2600000000002</v>
      </c>
      <c r="I203">
        <v>0.22</v>
      </c>
      <c r="J203">
        <v>9731.51</v>
      </c>
      <c r="K203" t="s">
        <v>19</v>
      </c>
      <c r="L203" t="s">
        <v>29</v>
      </c>
      <c r="M203" t="s">
        <v>30</v>
      </c>
      <c r="N203" t="s">
        <v>22</v>
      </c>
    </row>
    <row r="204" spans="1:14" x14ac:dyDescent="0.3">
      <c r="A204" t="s">
        <v>265</v>
      </c>
      <c r="B204" s="1">
        <v>45681</v>
      </c>
      <c r="C204" t="s">
        <v>48</v>
      </c>
      <c r="D204" t="s">
        <v>16</v>
      </c>
      <c r="E204" t="s">
        <v>27</v>
      </c>
      <c r="F204" t="s">
        <v>87</v>
      </c>
      <c r="G204">
        <v>5</v>
      </c>
      <c r="H204">
        <v>2365.65</v>
      </c>
      <c r="I204">
        <v>0.2</v>
      </c>
      <c r="J204">
        <v>9462.6</v>
      </c>
      <c r="K204" t="s">
        <v>33</v>
      </c>
      <c r="L204" t="s">
        <v>20</v>
      </c>
      <c r="M204" t="s">
        <v>21</v>
      </c>
      <c r="N204" t="s">
        <v>22</v>
      </c>
    </row>
    <row r="205" spans="1:14" x14ac:dyDescent="0.3">
      <c r="A205" t="s">
        <v>266</v>
      </c>
      <c r="B205" s="1">
        <v>45716</v>
      </c>
      <c r="C205" t="s">
        <v>36</v>
      </c>
      <c r="D205" t="s">
        <v>16</v>
      </c>
      <c r="E205" t="s">
        <v>17</v>
      </c>
      <c r="F205" t="s">
        <v>44</v>
      </c>
      <c r="G205">
        <v>4</v>
      </c>
      <c r="H205">
        <v>1788.19</v>
      </c>
      <c r="I205">
        <v>0.02</v>
      </c>
      <c r="J205">
        <v>7009.7</v>
      </c>
      <c r="K205" t="s">
        <v>58</v>
      </c>
      <c r="L205" t="s">
        <v>20</v>
      </c>
      <c r="M205" t="s">
        <v>54</v>
      </c>
      <c r="N205" t="s">
        <v>59</v>
      </c>
    </row>
    <row r="206" spans="1:14" x14ac:dyDescent="0.3">
      <c r="A206" t="s">
        <v>267</v>
      </c>
      <c r="B206" s="1">
        <v>45744</v>
      </c>
      <c r="C206" t="s">
        <v>15</v>
      </c>
      <c r="D206" t="s">
        <v>25</v>
      </c>
      <c r="E206" t="s">
        <v>49</v>
      </c>
      <c r="F206" t="s">
        <v>56</v>
      </c>
      <c r="G206">
        <v>2</v>
      </c>
      <c r="H206">
        <v>3852.56</v>
      </c>
      <c r="I206">
        <v>0.24</v>
      </c>
      <c r="J206">
        <v>5855.89</v>
      </c>
      <c r="K206" t="s">
        <v>41</v>
      </c>
      <c r="L206" t="s">
        <v>20</v>
      </c>
      <c r="M206" t="s">
        <v>21</v>
      </c>
      <c r="N206" t="s">
        <v>22</v>
      </c>
    </row>
    <row r="207" spans="1:14" x14ac:dyDescent="0.3">
      <c r="A207" t="s">
        <v>268</v>
      </c>
      <c r="B207" s="1">
        <v>45690</v>
      </c>
      <c r="C207" t="s">
        <v>48</v>
      </c>
      <c r="D207" t="s">
        <v>43</v>
      </c>
      <c r="E207" t="s">
        <v>49</v>
      </c>
      <c r="F207" t="s">
        <v>50</v>
      </c>
      <c r="G207">
        <v>5</v>
      </c>
      <c r="H207">
        <v>751.65</v>
      </c>
      <c r="I207">
        <v>0.22</v>
      </c>
      <c r="J207">
        <v>2931.43</v>
      </c>
      <c r="K207" t="s">
        <v>41</v>
      </c>
      <c r="L207" t="s">
        <v>20</v>
      </c>
      <c r="M207" t="s">
        <v>54</v>
      </c>
      <c r="N207" t="s">
        <v>59</v>
      </c>
    </row>
    <row r="208" spans="1:14" x14ac:dyDescent="0.3">
      <c r="A208" t="s">
        <v>269</v>
      </c>
      <c r="B208" s="1">
        <v>45748</v>
      </c>
      <c r="C208" t="s">
        <v>52</v>
      </c>
      <c r="D208" t="s">
        <v>25</v>
      </c>
      <c r="E208" t="s">
        <v>49</v>
      </c>
      <c r="F208" t="s">
        <v>73</v>
      </c>
      <c r="G208">
        <v>3</v>
      </c>
      <c r="H208">
        <v>2368.7199999999998</v>
      </c>
      <c r="I208">
        <v>0.18</v>
      </c>
      <c r="J208">
        <v>5827.05</v>
      </c>
      <c r="K208" t="s">
        <v>58</v>
      </c>
      <c r="L208" t="s">
        <v>20</v>
      </c>
      <c r="M208" t="s">
        <v>30</v>
      </c>
      <c r="N208" t="s">
        <v>88</v>
      </c>
    </row>
    <row r="209" spans="1:14" x14ac:dyDescent="0.3">
      <c r="A209" t="s">
        <v>270</v>
      </c>
      <c r="B209" s="1">
        <v>45660</v>
      </c>
      <c r="C209" t="s">
        <v>15</v>
      </c>
      <c r="D209" t="s">
        <v>16</v>
      </c>
      <c r="E209" t="s">
        <v>61</v>
      </c>
      <c r="F209" t="s">
        <v>92</v>
      </c>
      <c r="G209">
        <v>2</v>
      </c>
      <c r="H209">
        <v>4693.3100000000004</v>
      </c>
      <c r="I209">
        <v>0.18</v>
      </c>
      <c r="J209">
        <v>7697.03</v>
      </c>
      <c r="K209" t="s">
        <v>19</v>
      </c>
      <c r="L209" t="s">
        <v>34</v>
      </c>
      <c r="M209" t="s">
        <v>54</v>
      </c>
      <c r="N209" t="s">
        <v>88</v>
      </c>
    </row>
    <row r="210" spans="1:14" x14ac:dyDescent="0.3">
      <c r="A210" t="s">
        <v>271</v>
      </c>
      <c r="B210" s="1">
        <v>45800</v>
      </c>
      <c r="C210" t="s">
        <v>52</v>
      </c>
      <c r="D210" t="s">
        <v>16</v>
      </c>
      <c r="E210" t="s">
        <v>49</v>
      </c>
      <c r="F210" t="s">
        <v>56</v>
      </c>
      <c r="G210">
        <v>1</v>
      </c>
      <c r="H210">
        <v>3010.33</v>
      </c>
      <c r="I210">
        <v>0.11</v>
      </c>
      <c r="J210">
        <v>2679.19</v>
      </c>
      <c r="K210" t="s">
        <v>19</v>
      </c>
      <c r="L210" t="s">
        <v>20</v>
      </c>
      <c r="M210" t="s">
        <v>21</v>
      </c>
      <c r="N210" t="s">
        <v>22</v>
      </c>
    </row>
    <row r="211" spans="1:14" x14ac:dyDescent="0.3">
      <c r="A211" t="s">
        <v>272</v>
      </c>
      <c r="B211" s="1">
        <v>45830</v>
      </c>
      <c r="C211" t="s">
        <v>48</v>
      </c>
      <c r="D211" t="s">
        <v>39</v>
      </c>
      <c r="E211" t="s">
        <v>17</v>
      </c>
      <c r="F211" t="s">
        <v>40</v>
      </c>
      <c r="G211">
        <v>2</v>
      </c>
      <c r="H211">
        <v>3796.49</v>
      </c>
      <c r="I211">
        <v>0.19</v>
      </c>
      <c r="J211">
        <v>6150.31</v>
      </c>
      <c r="K211" t="s">
        <v>19</v>
      </c>
      <c r="L211" t="s">
        <v>29</v>
      </c>
      <c r="M211" t="s">
        <v>54</v>
      </c>
      <c r="N211" t="s">
        <v>22</v>
      </c>
    </row>
    <row r="212" spans="1:14" x14ac:dyDescent="0.3">
      <c r="A212" t="s">
        <v>273</v>
      </c>
      <c r="B212" s="1">
        <v>45799</v>
      </c>
      <c r="C212" t="s">
        <v>36</v>
      </c>
      <c r="D212" t="s">
        <v>43</v>
      </c>
      <c r="E212" t="s">
        <v>27</v>
      </c>
      <c r="F212" t="s">
        <v>28</v>
      </c>
      <c r="G212">
        <v>3</v>
      </c>
      <c r="H212">
        <v>1260.83</v>
      </c>
      <c r="I212">
        <v>0.22</v>
      </c>
      <c r="J212">
        <v>2950.34</v>
      </c>
      <c r="K212" t="s">
        <v>33</v>
      </c>
      <c r="L212" t="s">
        <v>29</v>
      </c>
      <c r="M212" t="s">
        <v>21</v>
      </c>
      <c r="N212" t="s">
        <v>22</v>
      </c>
    </row>
    <row r="213" spans="1:14" x14ac:dyDescent="0.3">
      <c r="A213" t="s">
        <v>274</v>
      </c>
      <c r="B213" s="1">
        <v>45711</v>
      </c>
      <c r="C213" t="s">
        <v>36</v>
      </c>
      <c r="D213" t="s">
        <v>16</v>
      </c>
      <c r="E213" t="s">
        <v>99</v>
      </c>
      <c r="F213" t="s">
        <v>120</v>
      </c>
      <c r="G213">
        <v>2</v>
      </c>
      <c r="H213">
        <v>3167.37</v>
      </c>
      <c r="I213">
        <v>0.11</v>
      </c>
      <c r="J213">
        <v>5637.92</v>
      </c>
      <c r="K213" t="s">
        <v>33</v>
      </c>
      <c r="L213" t="s">
        <v>29</v>
      </c>
      <c r="M213" t="s">
        <v>30</v>
      </c>
      <c r="N213" t="s">
        <v>59</v>
      </c>
    </row>
    <row r="214" spans="1:14" x14ac:dyDescent="0.3">
      <c r="A214" t="s">
        <v>275</v>
      </c>
      <c r="B214" s="1">
        <v>45757</v>
      </c>
      <c r="C214" t="s">
        <v>48</v>
      </c>
      <c r="D214" t="s">
        <v>43</v>
      </c>
      <c r="E214" t="s">
        <v>49</v>
      </c>
      <c r="F214" t="s">
        <v>53</v>
      </c>
      <c r="G214">
        <v>3</v>
      </c>
      <c r="H214">
        <v>1944.65</v>
      </c>
      <c r="I214">
        <v>0.19</v>
      </c>
      <c r="J214">
        <v>4725.5</v>
      </c>
      <c r="K214" t="s">
        <v>41</v>
      </c>
      <c r="L214" t="s">
        <v>20</v>
      </c>
      <c r="M214" t="s">
        <v>30</v>
      </c>
      <c r="N214" t="s">
        <v>88</v>
      </c>
    </row>
    <row r="215" spans="1:14" x14ac:dyDescent="0.3">
      <c r="A215" t="s">
        <v>276</v>
      </c>
      <c r="B215" s="1">
        <v>45807</v>
      </c>
      <c r="C215" t="s">
        <v>48</v>
      </c>
      <c r="D215" t="s">
        <v>25</v>
      </c>
      <c r="E215" t="s">
        <v>99</v>
      </c>
      <c r="F215" t="s">
        <v>100</v>
      </c>
      <c r="G215">
        <v>4</v>
      </c>
      <c r="H215">
        <v>4842.1499999999996</v>
      </c>
      <c r="I215">
        <v>0.14000000000000001</v>
      </c>
      <c r="J215">
        <v>16657</v>
      </c>
      <c r="K215" t="s">
        <v>58</v>
      </c>
      <c r="L215" t="s">
        <v>29</v>
      </c>
      <c r="M215" t="s">
        <v>54</v>
      </c>
      <c r="N215" t="s">
        <v>22</v>
      </c>
    </row>
    <row r="216" spans="1:14" x14ac:dyDescent="0.3">
      <c r="A216" t="s">
        <v>277</v>
      </c>
      <c r="B216" s="1">
        <v>45694</v>
      </c>
      <c r="C216" t="s">
        <v>24</v>
      </c>
      <c r="D216" t="s">
        <v>39</v>
      </c>
      <c r="E216" t="s">
        <v>61</v>
      </c>
      <c r="F216" t="s">
        <v>66</v>
      </c>
      <c r="G216">
        <v>1</v>
      </c>
      <c r="H216">
        <v>2724.61</v>
      </c>
      <c r="I216">
        <v>0.21</v>
      </c>
      <c r="J216">
        <v>2152.44</v>
      </c>
      <c r="K216" t="s">
        <v>41</v>
      </c>
      <c r="L216" t="s">
        <v>34</v>
      </c>
      <c r="M216" t="s">
        <v>54</v>
      </c>
      <c r="N216" t="s">
        <v>22</v>
      </c>
    </row>
    <row r="217" spans="1:14" x14ac:dyDescent="0.3">
      <c r="A217" t="s">
        <v>278</v>
      </c>
      <c r="B217" s="1">
        <v>45758</v>
      </c>
      <c r="C217" t="s">
        <v>24</v>
      </c>
      <c r="D217" t="s">
        <v>39</v>
      </c>
      <c r="E217" t="s">
        <v>27</v>
      </c>
      <c r="F217" t="s">
        <v>79</v>
      </c>
      <c r="G217">
        <v>5</v>
      </c>
      <c r="H217">
        <v>1163.3800000000001</v>
      </c>
      <c r="I217">
        <v>0.05</v>
      </c>
      <c r="J217">
        <v>5526.06</v>
      </c>
      <c r="K217" t="s">
        <v>19</v>
      </c>
      <c r="L217" t="s">
        <v>29</v>
      </c>
      <c r="M217" t="s">
        <v>30</v>
      </c>
      <c r="N217" t="s">
        <v>59</v>
      </c>
    </row>
    <row r="218" spans="1:14" x14ac:dyDescent="0.3">
      <c r="A218" t="s">
        <v>279</v>
      </c>
      <c r="B218" s="1">
        <v>45837</v>
      </c>
      <c r="C218" t="s">
        <v>52</v>
      </c>
      <c r="D218" t="s">
        <v>43</v>
      </c>
      <c r="E218" t="s">
        <v>17</v>
      </c>
      <c r="F218" t="s">
        <v>44</v>
      </c>
      <c r="G218">
        <v>4</v>
      </c>
      <c r="H218">
        <v>4580.76</v>
      </c>
      <c r="I218">
        <v>0.17</v>
      </c>
      <c r="J218">
        <v>15208.12</v>
      </c>
      <c r="K218" t="s">
        <v>58</v>
      </c>
      <c r="L218" t="s">
        <v>29</v>
      </c>
      <c r="M218" t="s">
        <v>21</v>
      </c>
      <c r="N218" t="s">
        <v>22</v>
      </c>
    </row>
    <row r="219" spans="1:14" x14ac:dyDescent="0.3">
      <c r="A219" t="s">
        <v>280</v>
      </c>
      <c r="B219" s="1">
        <v>45680</v>
      </c>
      <c r="C219" t="s">
        <v>15</v>
      </c>
      <c r="D219" t="s">
        <v>25</v>
      </c>
      <c r="E219" t="s">
        <v>61</v>
      </c>
      <c r="F219" t="s">
        <v>66</v>
      </c>
      <c r="G219">
        <v>5</v>
      </c>
      <c r="H219">
        <v>3278.73</v>
      </c>
      <c r="I219">
        <v>0.08</v>
      </c>
      <c r="J219">
        <v>15082.16</v>
      </c>
      <c r="K219" t="s">
        <v>41</v>
      </c>
      <c r="L219" t="s">
        <v>34</v>
      </c>
      <c r="M219" t="s">
        <v>30</v>
      </c>
      <c r="N219" t="s">
        <v>22</v>
      </c>
    </row>
    <row r="220" spans="1:14" x14ac:dyDescent="0.3">
      <c r="A220" t="s">
        <v>281</v>
      </c>
      <c r="B220" s="1">
        <v>45829</v>
      </c>
      <c r="C220" t="s">
        <v>52</v>
      </c>
      <c r="D220" t="s">
        <v>43</v>
      </c>
      <c r="E220" t="s">
        <v>49</v>
      </c>
      <c r="F220" t="s">
        <v>53</v>
      </c>
      <c r="G220">
        <v>4</v>
      </c>
      <c r="H220">
        <v>324.01</v>
      </c>
      <c r="I220">
        <v>0.22</v>
      </c>
      <c r="J220">
        <v>1010.91</v>
      </c>
      <c r="K220" t="s">
        <v>46</v>
      </c>
      <c r="L220" t="s">
        <v>34</v>
      </c>
      <c r="M220" t="s">
        <v>21</v>
      </c>
      <c r="N220" t="s">
        <v>22</v>
      </c>
    </row>
    <row r="221" spans="1:14" x14ac:dyDescent="0.3">
      <c r="A221" t="s">
        <v>282</v>
      </c>
      <c r="B221" s="1">
        <v>45781</v>
      </c>
      <c r="C221" t="s">
        <v>15</v>
      </c>
      <c r="D221" t="s">
        <v>25</v>
      </c>
      <c r="E221" t="s">
        <v>27</v>
      </c>
      <c r="F221" t="s">
        <v>87</v>
      </c>
      <c r="G221">
        <v>3</v>
      </c>
      <c r="H221">
        <v>1227.0899999999999</v>
      </c>
      <c r="I221">
        <v>0.14000000000000001</v>
      </c>
      <c r="J221">
        <v>3165.89</v>
      </c>
      <c r="K221" t="s">
        <v>19</v>
      </c>
      <c r="L221" t="s">
        <v>20</v>
      </c>
      <c r="M221" t="s">
        <v>54</v>
      </c>
      <c r="N221" t="s">
        <v>22</v>
      </c>
    </row>
    <row r="222" spans="1:14" x14ac:dyDescent="0.3">
      <c r="A222" t="s">
        <v>283</v>
      </c>
      <c r="B222" s="1">
        <v>45717</v>
      </c>
      <c r="C222" t="s">
        <v>48</v>
      </c>
      <c r="D222" t="s">
        <v>25</v>
      </c>
      <c r="E222" t="s">
        <v>99</v>
      </c>
      <c r="F222" t="s">
        <v>111</v>
      </c>
      <c r="G222">
        <v>2</v>
      </c>
      <c r="H222">
        <v>3690.58</v>
      </c>
      <c r="I222">
        <v>0.09</v>
      </c>
      <c r="J222">
        <v>6716.86</v>
      </c>
      <c r="K222" t="s">
        <v>41</v>
      </c>
      <c r="L222" t="s">
        <v>34</v>
      </c>
      <c r="M222" t="s">
        <v>54</v>
      </c>
      <c r="N222" t="s">
        <v>22</v>
      </c>
    </row>
    <row r="223" spans="1:14" x14ac:dyDescent="0.3">
      <c r="A223" t="s">
        <v>284</v>
      </c>
      <c r="B223" s="1">
        <v>45823</v>
      </c>
      <c r="C223" t="s">
        <v>36</v>
      </c>
      <c r="D223" t="s">
        <v>43</v>
      </c>
      <c r="E223" t="s">
        <v>27</v>
      </c>
      <c r="F223" t="s">
        <v>79</v>
      </c>
      <c r="G223">
        <v>1</v>
      </c>
      <c r="H223">
        <v>3845.26</v>
      </c>
      <c r="I223">
        <v>0.1</v>
      </c>
      <c r="J223">
        <v>3460.73</v>
      </c>
      <c r="K223" t="s">
        <v>58</v>
      </c>
      <c r="L223" t="s">
        <v>20</v>
      </c>
      <c r="M223" t="s">
        <v>21</v>
      </c>
      <c r="N223" t="s">
        <v>22</v>
      </c>
    </row>
    <row r="224" spans="1:14" x14ac:dyDescent="0.3">
      <c r="A224" t="s">
        <v>285</v>
      </c>
      <c r="B224" s="1">
        <v>45784</v>
      </c>
      <c r="C224" t="s">
        <v>52</v>
      </c>
      <c r="D224" t="s">
        <v>25</v>
      </c>
      <c r="E224" t="s">
        <v>61</v>
      </c>
      <c r="F224" t="s">
        <v>62</v>
      </c>
      <c r="G224">
        <v>3</v>
      </c>
      <c r="H224">
        <v>396.21</v>
      </c>
      <c r="I224">
        <v>0.16</v>
      </c>
      <c r="J224">
        <v>998.45</v>
      </c>
      <c r="K224" t="s">
        <v>33</v>
      </c>
      <c r="L224" t="s">
        <v>34</v>
      </c>
      <c r="M224" t="s">
        <v>21</v>
      </c>
      <c r="N224" t="s">
        <v>22</v>
      </c>
    </row>
    <row r="225" spans="1:14" x14ac:dyDescent="0.3">
      <c r="A225" t="s">
        <v>286</v>
      </c>
      <c r="B225" s="1">
        <v>45758</v>
      </c>
      <c r="C225" t="s">
        <v>36</v>
      </c>
      <c r="D225" t="s">
        <v>39</v>
      </c>
      <c r="E225" t="s">
        <v>17</v>
      </c>
      <c r="F225" t="s">
        <v>18</v>
      </c>
      <c r="G225">
        <v>1</v>
      </c>
      <c r="H225">
        <v>181.96</v>
      </c>
      <c r="I225">
        <v>0.18</v>
      </c>
      <c r="J225">
        <v>149.21</v>
      </c>
      <c r="K225" t="s">
        <v>33</v>
      </c>
      <c r="L225" t="s">
        <v>34</v>
      </c>
      <c r="M225" t="s">
        <v>21</v>
      </c>
      <c r="N225" t="s">
        <v>22</v>
      </c>
    </row>
    <row r="226" spans="1:14" x14ac:dyDescent="0.3">
      <c r="A226" t="s">
        <v>287</v>
      </c>
      <c r="B226" s="1">
        <v>45778</v>
      </c>
      <c r="C226" t="s">
        <v>24</v>
      </c>
      <c r="D226" t="s">
        <v>39</v>
      </c>
      <c r="E226" t="s">
        <v>49</v>
      </c>
      <c r="F226" t="s">
        <v>73</v>
      </c>
      <c r="G226">
        <v>2</v>
      </c>
      <c r="H226">
        <v>1280.75</v>
      </c>
      <c r="I226">
        <v>0.15</v>
      </c>
      <c r="J226">
        <v>2177.2800000000002</v>
      </c>
      <c r="K226" t="s">
        <v>58</v>
      </c>
      <c r="L226" t="s">
        <v>29</v>
      </c>
      <c r="M226" t="s">
        <v>30</v>
      </c>
      <c r="N226" t="s">
        <v>22</v>
      </c>
    </row>
    <row r="227" spans="1:14" x14ac:dyDescent="0.3">
      <c r="A227" t="s">
        <v>288</v>
      </c>
      <c r="B227" s="1">
        <v>45698</v>
      </c>
      <c r="C227" t="s">
        <v>15</v>
      </c>
      <c r="D227" t="s">
        <v>16</v>
      </c>
      <c r="E227" t="s">
        <v>49</v>
      </c>
      <c r="F227" t="s">
        <v>56</v>
      </c>
      <c r="G227">
        <v>5</v>
      </c>
      <c r="H227">
        <v>1291.72</v>
      </c>
      <c r="I227">
        <v>0.17</v>
      </c>
      <c r="J227">
        <v>5360.64</v>
      </c>
      <c r="K227" t="s">
        <v>41</v>
      </c>
      <c r="L227" t="s">
        <v>34</v>
      </c>
      <c r="M227" t="s">
        <v>30</v>
      </c>
      <c r="N227" t="s">
        <v>22</v>
      </c>
    </row>
    <row r="228" spans="1:14" x14ac:dyDescent="0.3">
      <c r="A228" t="s">
        <v>289</v>
      </c>
      <c r="B228" s="1">
        <v>45689</v>
      </c>
      <c r="C228" t="s">
        <v>48</v>
      </c>
      <c r="D228" t="s">
        <v>43</v>
      </c>
      <c r="E228" t="s">
        <v>17</v>
      </c>
      <c r="F228" t="s">
        <v>18</v>
      </c>
      <c r="G228">
        <v>5</v>
      </c>
      <c r="H228">
        <v>2432.42</v>
      </c>
      <c r="I228">
        <v>0.16</v>
      </c>
      <c r="J228">
        <v>10216.16</v>
      </c>
      <c r="K228" t="s">
        <v>41</v>
      </c>
      <c r="L228" t="s">
        <v>34</v>
      </c>
      <c r="M228" t="s">
        <v>21</v>
      </c>
      <c r="N228" t="s">
        <v>22</v>
      </c>
    </row>
    <row r="229" spans="1:14" x14ac:dyDescent="0.3">
      <c r="A229" t="s">
        <v>290</v>
      </c>
      <c r="B229" s="1">
        <v>45732</v>
      </c>
      <c r="C229" t="s">
        <v>36</v>
      </c>
      <c r="D229" t="s">
        <v>25</v>
      </c>
      <c r="E229" t="s">
        <v>49</v>
      </c>
      <c r="F229" t="s">
        <v>53</v>
      </c>
      <c r="G229">
        <v>1</v>
      </c>
      <c r="H229">
        <v>1225.8599999999999</v>
      </c>
      <c r="I229">
        <v>0.23</v>
      </c>
      <c r="J229">
        <v>943.91</v>
      </c>
      <c r="K229" t="s">
        <v>58</v>
      </c>
      <c r="L229" t="s">
        <v>29</v>
      </c>
      <c r="M229" t="s">
        <v>21</v>
      </c>
      <c r="N229" t="s">
        <v>22</v>
      </c>
    </row>
    <row r="230" spans="1:14" x14ac:dyDescent="0.3">
      <c r="A230" t="s">
        <v>291</v>
      </c>
      <c r="B230" s="1">
        <v>45808</v>
      </c>
      <c r="C230" t="s">
        <v>36</v>
      </c>
      <c r="D230" t="s">
        <v>43</v>
      </c>
      <c r="E230" t="s">
        <v>17</v>
      </c>
      <c r="F230" t="s">
        <v>32</v>
      </c>
      <c r="G230">
        <v>1</v>
      </c>
      <c r="H230">
        <v>978.84</v>
      </c>
      <c r="I230">
        <v>0.21</v>
      </c>
      <c r="J230">
        <v>773.28</v>
      </c>
      <c r="K230" t="s">
        <v>33</v>
      </c>
      <c r="L230" t="s">
        <v>29</v>
      </c>
      <c r="M230" t="s">
        <v>54</v>
      </c>
      <c r="N230" t="s">
        <v>22</v>
      </c>
    </row>
    <row r="231" spans="1:14" x14ac:dyDescent="0.3">
      <c r="A231" t="s">
        <v>292</v>
      </c>
      <c r="B231" s="1">
        <v>45691</v>
      </c>
      <c r="C231" t="s">
        <v>15</v>
      </c>
      <c r="D231" t="s">
        <v>39</v>
      </c>
      <c r="E231" t="s">
        <v>49</v>
      </c>
      <c r="F231" t="s">
        <v>56</v>
      </c>
      <c r="G231">
        <v>2</v>
      </c>
      <c r="H231">
        <v>2876.81</v>
      </c>
      <c r="I231">
        <v>0.21</v>
      </c>
      <c r="J231">
        <v>4545.3599999999997</v>
      </c>
      <c r="K231" t="s">
        <v>19</v>
      </c>
      <c r="L231" t="s">
        <v>29</v>
      </c>
      <c r="M231" t="s">
        <v>21</v>
      </c>
      <c r="N231" t="s">
        <v>22</v>
      </c>
    </row>
    <row r="232" spans="1:14" x14ac:dyDescent="0.3">
      <c r="A232" t="s">
        <v>293</v>
      </c>
      <c r="B232" s="1">
        <v>45764</v>
      </c>
      <c r="C232" t="s">
        <v>36</v>
      </c>
      <c r="D232" t="s">
        <v>25</v>
      </c>
      <c r="E232" t="s">
        <v>61</v>
      </c>
      <c r="F232" t="s">
        <v>62</v>
      </c>
      <c r="G232">
        <v>1</v>
      </c>
      <c r="H232">
        <v>2241.73</v>
      </c>
      <c r="I232">
        <v>0.21</v>
      </c>
      <c r="J232">
        <v>1770.97</v>
      </c>
      <c r="K232" t="s">
        <v>46</v>
      </c>
      <c r="L232" t="s">
        <v>20</v>
      </c>
      <c r="M232" t="s">
        <v>30</v>
      </c>
      <c r="N232" t="s">
        <v>59</v>
      </c>
    </row>
    <row r="233" spans="1:14" x14ac:dyDescent="0.3">
      <c r="A233" t="s">
        <v>294</v>
      </c>
      <c r="B233" s="1">
        <v>45811</v>
      </c>
      <c r="C233" t="s">
        <v>15</v>
      </c>
      <c r="D233" t="s">
        <v>43</v>
      </c>
      <c r="E233" t="s">
        <v>99</v>
      </c>
      <c r="F233" t="s">
        <v>120</v>
      </c>
      <c r="G233">
        <v>2</v>
      </c>
      <c r="H233">
        <v>1843.47</v>
      </c>
      <c r="I233">
        <v>0.24</v>
      </c>
      <c r="J233">
        <v>2802.07</v>
      </c>
      <c r="K233" t="s">
        <v>41</v>
      </c>
      <c r="L233" t="s">
        <v>34</v>
      </c>
      <c r="M233" t="s">
        <v>30</v>
      </c>
      <c r="N233" t="s">
        <v>22</v>
      </c>
    </row>
    <row r="234" spans="1:14" x14ac:dyDescent="0.3">
      <c r="A234" t="s">
        <v>295</v>
      </c>
      <c r="B234" s="1">
        <v>45839</v>
      </c>
      <c r="C234" t="s">
        <v>36</v>
      </c>
      <c r="D234" t="s">
        <v>43</v>
      </c>
      <c r="E234" t="s">
        <v>49</v>
      </c>
      <c r="F234" t="s">
        <v>56</v>
      </c>
      <c r="G234">
        <v>1</v>
      </c>
      <c r="H234">
        <v>501.99</v>
      </c>
      <c r="I234">
        <v>0.04</v>
      </c>
      <c r="J234">
        <v>481.91</v>
      </c>
      <c r="K234" t="s">
        <v>46</v>
      </c>
      <c r="L234" t="s">
        <v>20</v>
      </c>
      <c r="M234" t="s">
        <v>21</v>
      </c>
      <c r="N234" t="s">
        <v>22</v>
      </c>
    </row>
    <row r="235" spans="1:14" x14ac:dyDescent="0.3">
      <c r="A235" t="s">
        <v>296</v>
      </c>
      <c r="B235" s="1">
        <v>45762</v>
      </c>
      <c r="C235" t="s">
        <v>24</v>
      </c>
      <c r="D235" t="s">
        <v>43</v>
      </c>
      <c r="E235" t="s">
        <v>99</v>
      </c>
      <c r="F235" t="s">
        <v>111</v>
      </c>
      <c r="G235">
        <v>3</v>
      </c>
      <c r="H235">
        <v>2279.21</v>
      </c>
      <c r="I235">
        <v>0.19</v>
      </c>
      <c r="J235">
        <v>5538.48</v>
      </c>
      <c r="K235" t="s">
        <v>58</v>
      </c>
      <c r="L235" t="s">
        <v>20</v>
      </c>
      <c r="M235" t="s">
        <v>54</v>
      </c>
      <c r="N235" t="s">
        <v>22</v>
      </c>
    </row>
    <row r="236" spans="1:14" x14ac:dyDescent="0.3">
      <c r="A236" t="s">
        <v>297</v>
      </c>
      <c r="B236" s="1">
        <v>45838</v>
      </c>
      <c r="C236" t="s">
        <v>36</v>
      </c>
      <c r="D236" t="s">
        <v>16</v>
      </c>
      <c r="E236" t="s">
        <v>49</v>
      </c>
      <c r="F236" t="s">
        <v>50</v>
      </c>
      <c r="G236">
        <v>4</v>
      </c>
      <c r="H236">
        <v>606.14</v>
      </c>
      <c r="I236">
        <v>0.02</v>
      </c>
      <c r="J236">
        <v>2376.0700000000002</v>
      </c>
      <c r="K236" t="s">
        <v>33</v>
      </c>
      <c r="L236" t="s">
        <v>29</v>
      </c>
      <c r="M236" t="s">
        <v>21</v>
      </c>
      <c r="N236" t="s">
        <v>22</v>
      </c>
    </row>
    <row r="237" spans="1:14" x14ac:dyDescent="0.3">
      <c r="A237" t="s">
        <v>298</v>
      </c>
      <c r="B237" s="1">
        <v>45660</v>
      </c>
      <c r="C237" t="s">
        <v>24</v>
      </c>
      <c r="D237" t="s">
        <v>43</v>
      </c>
      <c r="E237" t="s">
        <v>99</v>
      </c>
      <c r="F237" t="s">
        <v>115</v>
      </c>
      <c r="G237">
        <v>4</v>
      </c>
      <c r="H237">
        <v>3917.93</v>
      </c>
      <c r="I237">
        <v>0.18</v>
      </c>
      <c r="J237">
        <v>12850.81</v>
      </c>
      <c r="K237" t="s">
        <v>46</v>
      </c>
      <c r="L237" t="s">
        <v>34</v>
      </c>
      <c r="M237" t="s">
        <v>21</v>
      </c>
      <c r="N237" t="s">
        <v>22</v>
      </c>
    </row>
    <row r="238" spans="1:14" x14ac:dyDescent="0.3">
      <c r="A238" t="s">
        <v>299</v>
      </c>
      <c r="B238" s="1">
        <v>45776</v>
      </c>
      <c r="C238" t="s">
        <v>52</v>
      </c>
      <c r="D238" t="s">
        <v>25</v>
      </c>
      <c r="E238" t="s">
        <v>61</v>
      </c>
      <c r="F238" t="s">
        <v>92</v>
      </c>
      <c r="G238">
        <v>3</v>
      </c>
      <c r="H238">
        <v>1415.19</v>
      </c>
      <c r="I238">
        <v>0.04</v>
      </c>
      <c r="J238">
        <v>4075.75</v>
      </c>
      <c r="K238" t="s">
        <v>19</v>
      </c>
      <c r="L238" t="s">
        <v>34</v>
      </c>
      <c r="M238" t="s">
        <v>54</v>
      </c>
      <c r="N238" t="s">
        <v>22</v>
      </c>
    </row>
    <row r="239" spans="1:14" x14ac:dyDescent="0.3">
      <c r="A239" t="s">
        <v>300</v>
      </c>
      <c r="B239" s="1">
        <v>45722</v>
      </c>
      <c r="C239" t="s">
        <v>24</v>
      </c>
      <c r="D239" t="s">
        <v>43</v>
      </c>
      <c r="E239" t="s">
        <v>99</v>
      </c>
      <c r="F239" t="s">
        <v>115</v>
      </c>
      <c r="G239">
        <v>2</v>
      </c>
      <c r="H239">
        <v>3632.41</v>
      </c>
      <c r="I239">
        <v>0.12</v>
      </c>
      <c r="J239">
        <v>6393.04</v>
      </c>
      <c r="K239" t="s">
        <v>46</v>
      </c>
      <c r="L239" t="s">
        <v>34</v>
      </c>
      <c r="M239" t="s">
        <v>21</v>
      </c>
      <c r="N239" t="s">
        <v>22</v>
      </c>
    </row>
    <row r="240" spans="1:14" x14ac:dyDescent="0.3">
      <c r="A240" t="s">
        <v>301</v>
      </c>
      <c r="B240" s="1">
        <v>45754</v>
      </c>
      <c r="C240" t="s">
        <v>24</v>
      </c>
      <c r="D240" t="s">
        <v>39</v>
      </c>
      <c r="E240" t="s">
        <v>61</v>
      </c>
      <c r="F240" t="s">
        <v>66</v>
      </c>
      <c r="G240">
        <v>5</v>
      </c>
      <c r="H240">
        <v>1961.46</v>
      </c>
      <c r="I240">
        <v>0.22</v>
      </c>
      <c r="J240">
        <v>7649.69</v>
      </c>
      <c r="K240" t="s">
        <v>41</v>
      </c>
      <c r="L240" t="s">
        <v>34</v>
      </c>
      <c r="M240" t="s">
        <v>30</v>
      </c>
      <c r="N240" t="s">
        <v>22</v>
      </c>
    </row>
    <row r="241" spans="1:14" x14ac:dyDescent="0.3">
      <c r="A241" t="s">
        <v>302</v>
      </c>
      <c r="B241" s="1">
        <v>45663</v>
      </c>
      <c r="C241" t="s">
        <v>15</v>
      </c>
      <c r="D241" t="s">
        <v>39</v>
      </c>
      <c r="E241" t="s">
        <v>27</v>
      </c>
      <c r="F241" t="s">
        <v>68</v>
      </c>
      <c r="G241">
        <v>2</v>
      </c>
      <c r="H241">
        <v>2447.15</v>
      </c>
      <c r="I241">
        <v>0.04</v>
      </c>
      <c r="J241">
        <v>4698.53</v>
      </c>
      <c r="K241" t="s">
        <v>46</v>
      </c>
      <c r="L241" t="s">
        <v>29</v>
      </c>
      <c r="M241" t="s">
        <v>30</v>
      </c>
      <c r="N241" t="s">
        <v>22</v>
      </c>
    </row>
    <row r="242" spans="1:14" x14ac:dyDescent="0.3">
      <c r="A242" t="s">
        <v>303</v>
      </c>
      <c r="B242" s="1">
        <v>45681</v>
      </c>
      <c r="C242" t="s">
        <v>15</v>
      </c>
      <c r="D242" t="s">
        <v>43</v>
      </c>
      <c r="E242" t="s">
        <v>49</v>
      </c>
      <c r="F242" t="s">
        <v>73</v>
      </c>
      <c r="G242">
        <v>4</v>
      </c>
      <c r="H242">
        <v>1888.58</v>
      </c>
      <c r="I242">
        <v>0.23</v>
      </c>
      <c r="J242">
        <v>5816.83</v>
      </c>
      <c r="K242" t="s">
        <v>41</v>
      </c>
      <c r="L242" t="s">
        <v>34</v>
      </c>
      <c r="M242" t="s">
        <v>54</v>
      </c>
      <c r="N242" t="s">
        <v>22</v>
      </c>
    </row>
    <row r="243" spans="1:14" x14ac:dyDescent="0.3">
      <c r="A243" t="s">
        <v>304</v>
      </c>
      <c r="B243" s="1">
        <v>45840</v>
      </c>
      <c r="C243" t="s">
        <v>48</v>
      </c>
      <c r="D243" t="s">
        <v>25</v>
      </c>
      <c r="E243" t="s">
        <v>27</v>
      </c>
      <c r="F243" t="s">
        <v>79</v>
      </c>
      <c r="G243">
        <v>3</v>
      </c>
      <c r="H243">
        <v>4173.28</v>
      </c>
      <c r="I243">
        <v>0.02</v>
      </c>
      <c r="J243">
        <v>12269.44</v>
      </c>
      <c r="K243" t="s">
        <v>19</v>
      </c>
      <c r="L243" t="s">
        <v>34</v>
      </c>
      <c r="M243" t="s">
        <v>30</v>
      </c>
      <c r="N243" t="s">
        <v>22</v>
      </c>
    </row>
    <row r="244" spans="1:14" x14ac:dyDescent="0.3">
      <c r="A244" t="s">
        <v>305</v>
      </c>
      <c r="B244" s="1">
        <v>45730</v>
      </c>
      <c r="C244" t="s">
        <v>15</v>
      </c>
      <c r="D244" t="s">
        <v>25</v>
      </c>
      <c r="E244" t="s">
        <v>99</v>
      </c>
      <c r="F244" t="s">
        <v>100</v>
      </c>
      <c r="G244">
        <v>4</v>
      </c>
      <c r="H244">
        <v>3966.48</v>
      </c>
      <c r="I244">
        <v>0.02</v>
      </c>
      <c r="J244">
        <v>15548.6</v>
      </c>
      <c r="K244" t="s">
        <v>19</v>
      </c>
      <c r="L244" t="s">
        <v>29</v>
      </c>
      <c r="M244" t="s">
        <v>21</v>
      </c>
      <c r="N244" t="s">
        <v>22</v>
      </c>
    </row>
    <row r="245" spans="1:14" x14ac:dyDescent="0.3">
      <c r="A245" t="s">
        <v>306</v>
      </c>
      <c r="B245" s="1">
        <v>45830</v>
      </c>
      <c r="C245" t="s">
        <v>36</v>
      </c>
      <c r="D245" t="s">
        <v>43</v>
      </c>
      <c r="E245" t="s">
        <v>27</v>
      </c>
      <c r="F245" t="s">
        <v>87</v>
      </c>
      <c r="G245">
        <v>5</v>
      </c>
      <c r="H245">
        <v>3009.72</v>
      </c>
      <c r="I245">
        <v>0.23</v>
      </c>
      <c r="J245">
        <v>11587.42</v>
      </c>
      <c r="K245" t="s">
        <v>58</v>
      </c>
      <c r="L245" t="s">
        <v>34</v>
      </c>
      <c r="M245" t="s">
        <v>54</v>
      </c>
      <c r="N245" t="s">
        <v>22</v>
      </c>
    </row>
    <row r="246" spans="1:14" x14ac:dyDescent="0.3">
      <c r="A246" t="s">
        <v>307</v>
      </c>
      <c r="B246" s="1">
        <v>45821</v>
      </c>
      <c r="C246" t="s">
        <v>36</v>
      </c>
      <c r="D246" t="s">
        <v>16</v>
      </c>
      <c r="E246" t="s">
        <v>99</v>
      </c>
      <c r="F246" t="s">
        <v>100</v>
      </c>
      <c r="G246">
        <v>4</v>
      </c>
      <c r="H246">
        <v>4837.37</v>
      </c>
      <c r="I246">
        <v>0.08</v>
      </c>
      <c r="J246">
        <v>17801.52</v>
      </c>
      <c r="K246" t="s">
        <v>58</v>
      </c>
      <c r="L246" t="s">
        <v>29</v>
      </c>
      <c r="M246" t="s">
        <v>30</v>
      </c>
      <c r="N246" t="s">
        <v>22</v>
      </c>
    </row>
    <row r="247" spans="1:14" x14ac:dyDescent="0.3">
      <c r="A247" t="s">
        <v>308</v>
      </c>
      <c r="B247" s="1">
        <v>45816</v>
      </c>
      <c r="C247" t="s">
        <v>36</v>
      </c>
      <c r="D247" t="s">
        <v>25</v>
      </c>
      <c r="E247" t="s">
        <v>99</v>
      </c>
      <c r="F247" t="s">
        <v>100</v>
      </c>
      <c r="G247">
        <v>5</v>
      </c>
      <c r="H247">
        <v>3469.56</v>
      </c>
      <c r="I247">
        <v>0.06</v>
      </c>
      <c r="J247">
        <v>16306.93</v>
      </c>
      <c r="K247" t="s">
        <v>33</v>
      </c>
      <c r="L247" t="s">
        <v>29</v>
      </c>
      <c r="M247" t="s">
        <v>30</v>
      </c>
      <c r="N247" t="s">
        <v>22</v>
      </c>
    </row>
    <row r="248" spans="1:14" x14ac:dyDescent="0.3">
      <c r="A248" t="s">
        <v>309</v>
      </c>
      <c r="B248" s="1">
        <v>45719</v>
      </c>
      <c r="C248" t="s">
        <v>15</v>
      </c>
      <c r="D248" t="s">
        <v>16</v>
      </c>
      <c r="E248" t="s">
        <v>27</v>
      </c>
      <c r="F248" t="s">
        <v>68</v>
      </c>
      <c r="G248">
        <v>1</v>
      </c>
      <c r="H248">
        <v>1547.62</v>
      </c>
      <c r="I248">
        <v>0.23</v>
      </c>
      <c r="J248">
        <v>1191.67</v>
      </c>
      <c r="K248" t="s">
        <v>58</v>
      </c>
      <c r="L248" t="s">
        <v>34</v>
      </c>
      <c r="M248" t="s">
        <v>54</v>
      </c>
      <c r="N248" t="s">
        <v>88</v>
      </c>
    </row>
    <row r="249" spans="1:14" x14ac:dyDescent="0.3">
      <c r="A249" t="s">
        <v>310</v>
      </c>
      <c r="B249" s="1">
        <v>45706</v>
      </c>
      <c r="C249" t="s">
        <v>15</v>
      </c>
      <c r="D249" t="s">
        <v>25</v>
      </c>
      <c r="E249" t="s">
        <v>61</v>
      </c>
      <c r="F249" t="s">
        <v>66</v>
      </c>
      <c r="G249">
        <v>2</v>
      </c>
      <c r="H249">
        <v>2653.46</v>
      </c>
      <c r="I249">
        <v>0.09</v>
      </c>
      <c r="J249">
        <v>4829.3</v>
      </c>
      <c r="K249" t="s">
        <v>46</v>
      </c>
      <c r="L249" t="s">
        <v>34</v>
      </c>
      <c r="M249" t="s">
        <v>54</v>
      </c>
      <c r="N249" t="s">
        <v>22</v>
      </c>
    </row>
    <row r="250" spans="1:14" x14ac:dyDescent="0.3">
      <c r="A250" t="s">
        <v>311</v>
      </c>
      <c r="B250" s="1">
        <v>45671</v>
      </c>
      <c r="C250" t="s">
        <v>24</v>
      </c>
      <c r="D250" t="s">
        <v>43</v>
      </c>
      <c r="E250" t="s">
        <v>49</v>
      </c>
      <c r="F250" t="s">
        <v>53</v>
      </c>
      <c r="G250">
        <v>1</v>
      </c>
      <c r="H250">
        <v>210.67</v>
      </c>
      <c r="I250">
        <v>0.09</v>
      </c>
      <c r="J250">
        <v>191.71</v>
      </c>
      <c r="K250" t="s">
        <v>46</v>
      </c>
      <c r="L250" t="s">
        <v>20</v>
      </c>
      <c r="M250" t="s">
        <v>54</v>
      </c>
      <c r="N250" t="s">
        <v>37</v>
      </c>
    </row>
    <row r="251" spans="1:14" x14ac:dyDescent="0.3">
      <c r="A251" t="s">
        <v>312</v>
      </c>
      <c r="B251" s="1">
        <v>45706</v>
      </c>
      <c r="C251" t="s">
        <v>36</v>
      </c>
      <c r="D251" t="s">
        <v>43</v>
      </c>
      <c r="E251" t="s">
        <v>61</v>
      </c>
      <c r="F251" t="s">
        <v>75</v>
      </c>
      <c r="G251">
        <v>5</v>
      </c>
      <c r="H251">
        <v>2189.21</v>
      </c>
      <c r="I251">
        <v>0.12</v>
      </c>
      <c r="J251">
        <v>9632.52</v>
      </c>
      <c r="K251" t="s">
        <v>19</v>
      </c>
      <c r="L251" t="s">
        <v>34</v>
      </c>
      <c r="M251" t="s">
        <v>30</v>
      </c>
      <c r="N251" t="s">
        <v>22</v>
      </c>
    </row>
    <row r="252" spans="1:14" x14ac:dyDescent="0.3">
      <c r="A252" t="s">
        <v>313</v>
      </c>
      <c r="B252" s="1">
        <v>45830</v>
      </c>
      <c r="C252" t="s">
        <v>24</v>
      </c>
      <c r="D252" t="s">
        <v>43</v>
      </c>
      <c r="E252" t="s">
        <v>49</v>
      </c>
      <c r="F252" t="s">
        <v>50</v>
      </c>
      <c r="G252">
        <v>4</v>
      </c>
      <c r="H252">
        <v>3001.8</v>
      </c>
      <c r="I252">
        <v>0.1</v>
      </c>
      <c r="J252">
        <v>10806.48</v>
      </c>
      <c r="K252" t="s">
        <v>33</v>
      </c>
      <c r="L252" t="s">
        <v>20</v>
      </c>
      <c r="M252" t="s">
        <v>21</v>
      </c>
      <c r="N252" t="s">
        <v>22</v>
      </c>
    </row>
    <row r="253" spans="1:14" x14ac:dyDescent="0.3">
      <c r="A253" t="s">
        <v>314</v>
      </c>
      <c r="B253" s="1">
        <v>45770</v>
      </c>
      <c r="C253" t="s">
        <v>36</v>
      </c>
      <c r="D253" t="s">
        <v>25</v>
      </c>
      <c r="E253" t="s">
        <v>17</v>
      </c>
      <c r="F253" t="s">
        <v>18</v>
      </c>
      <c r="G253">
        <v>3</v>
      </c>
      <c r="H253">
        <v>1065.6600000000001</v>
      </c>
      <c r="I253">
        <v>0.03</v>
      </c>
      <c r="J253">
        <v>3101.07</v>
      </c>
      <c r="K253" t="s">
        <v>19</v>
      </c>
      <c r="L253" t="s">
        <v>34</v>
      </c>
      <c r="M253" t="s">
        <v>21</v>
      </c>
      <c r="N253" t="s">
        <v>22</v>
      </c>
    </row>
    <row r="254" spans="1:14" x14ac:dyDescent="0.3">
      <c r="A254" t="s">
        <v>315</v>
      </c>
      <c r="B254" s="1">
        <v>45675</v>
      </c>
      <c r="C254" t="s">
        <v>36</v>
      </c>
      <c r="D254" t="s">
        <v>43</v>
      </c>
      <c r="E254" t="s">
        <v>99</v>
      </c>
      <c r="F254" t="s">
        <v>115</v>
      </c>
      <c r="G254">
        <v>1</v>
      </c>
      <c r="H254">
        <v>1804.83</v>
      </c>
      <c r="I254">
        <v>0.21</v>
      </c>
      <c r="J254">
        <v>1425.82</v>
      </c>
      <c r="K254" t="s">
        <v>41</v>
      </c>
      <c r="L254" t="s">
        <v>29</v>
      </c>
      <c r="M254" t="s">
        <v>21</v>
      </c>
      <c r="N254" t="s">
        <v>88</v>
      </c>
    </row>
    <row r="255" spans="1:14" x14ac:dyDescent="0.3">
      <c r="A255" t="s">
        <v>316</v>
      </c>
      <c r="B255" s="1">
        <v>45676</v>
      </c>
      <c r="C255" t="s">
        <v>52</v>
      </c>
      <c r="D255" t="s">
        <v>43</v>
      </c>
      <c r="E255" t="s">
        <v>99</v>
      </c>
      <c r="F255" t="s">
        <v>120</v>
      </c>
      <c r="G255">
        <v>2</v>
      </c>
      <c r="H255">
        <v>1596.36</v>
      </c>
      <c r="I255">
        <v>0.05</v>
      </c>
      <c r="J255">
        <v>3033.08</v>
      </c>
      <c r="K255" t="s">
        <v>46</v>
      </c>
      <c r="L255" t="s">
        <v>20</v>
      </c>
      <c r="M255" t="s">
        <v>21</v>
      </c>
      <c r="N255" t="s">
        <v>22</v>
      </c>
    </row>
    <row r="256" spans="1:14" x14ac:dyDescent="0.3">
      <c r="A256" t="s">
        <v>317</v>
      </c>
      <c r="B256" s="1">
        <v>45802</v>
      </c>
      <c r="C256" t="s">
        <v>36</v>
      </c>
      <c r="D256" t="s">
        <v>43</v>
      </c>
      <c r="E256" t="s">
        <v>49</v>
      </c>
      <c r="F256" t="s">
        <v>73</v>
      </c>
      <c r="G256">
        <v>2</v>
      </c>
      <c r="H256">
        <v>2484.6799999999998</v>
      </c>
      <c r="I256">
        <v>0.13</v>
      </c>
      <c r="J256">
        <v>4323.34</v>
      </c>
      <c r="K256" t="s">
        <v>41</v>
      </c>
      <c r="L256" t="s">
        <v>34</v>
      </c>
      <c r="M256" t="s">
        <v>21</v>
      </c>
      <c r="N256" t="s">
        <v>22</v>
      </c>
    </row>
    <row r="257" spans="1:14" x14ac:dyDescent="0.3">
      <c r="A257" t="s">
        <v>318</v>
      </c>
      <c r="B257" s="1">
        <v>45754</v>
      </c>
      <c r="C257" t="s">
        <v>52</v>
      </c>
      <c r="D257" t="s">
        <v>25</v>
      </c>
      <c r="E257" t="s">
        <v>49</v>
      </c>
      <c r="F257" t="s">
        <v>53</v>
      </c>
      <c r="G257">
        <v>4</v>
      </c>
      <c r="H257">
        <v>3135.11</v>
      </c>
      <c r="I257">
        <v>0.22</v>
      </c>
      <c r="J257">
        <v>9781.5400000000009</v>
      </c>
      <c r="K257" t="s">
        <v>19</v>
      </c>
      <c r="L257" t="s">
        <v>34</v>
      </c>
      <c r="M257" t="s">
        <v>54</v>
      </c>
      <c r="N257" t="s">
        <v>22</v>
      </c>
    </row>
    <row r="258" spans="1:14" x14ac:dyDescent="0.3">
      <c r="A258" t="s">
        <v>319</v>
      </c>
      <c r="B258" s="1">
        <v>45818</v>
      </c>
      <c r="C258" t="s">
        <v>48</v>
      </c>
      <c r="D258" t="s">
        <v>43</v>
      </c>
      <c r="E258" t="s">
        <v>49</v>
      </c>
      <c r="F258" t="s">
        <v>50</v>
      </c>
      <c r="G258">
        <v>4</v>
      </c>
      <c r="H258">
        <v>2494.63</v>
      </c>
      <c r="I258">
        <v>0.02</v>
      </c>
      <c r="J258">
        <v>9778.9500000000007</v>
      </c>
      <c r="K258" t="s">
        <v>41</v>
      </c>
      <c r="L258" t="s">
        <v>34</v>
      </c>
      <c r="M258" t="s">
        <v>54</v>
      </c>
      <c r="N258" t="s">
        <v>22</v>
      </c>
    </row>
    <row r="259" spans="1:14" x14ac:dyDescent="0.3">
      <c r="A259" t="s">
        <v>320</v>
      </c>
      <c r="B259" s="1">
        <v>45673</v>
      </c>
      <c r="C259" t="s">
        <v>36</v>
      </c>
      <c r="D259" t="s">
        <v>16</v>
      </c>
      <c r="E259" t="s">
        <v>99</v>
      </c>
      <c r="F259" t="s">
        <v>100</v>
      </c>
      <c r="G259">
        <v>4</v>
      </c>
      <c r="H259">
        <v>2871.69</v>
      </c>
      <c r="I259">
        <v>0.19</v>
      </c>
      <c r="J259">
        <v>9304.2800000000007</v>
      </c>
      <c r="K259" t="s">
        <v>46</v>
      </c>
      <c r="L259" t="s">
        <v>20</v>
      </c>
      <c r="M259" t="s">
        <v>30</v>
      </c>
      <c r="N259" t="s">
        <v>22</v>
      </c>
    </row>
    <row r="260" spans="1:14" x14ac:dyDescent="0.3">
      <c r="A260" t="s">
        <v>321</v>
      </c>
      <c r="B260" s="1">
        <v>45807</v>
      </c>
      <c r="C260" t="s">
        <v>36</v>
      </c>
      <c r="D260" t="s">
        <v>43</v>
      </c>
      <c r="E260" t="s">
        <v>99</v>
      </c>
      <c r="F260" t="s">
        <v>111</v>
      </c>
      <c r="G260">
        <v>4</v>
      </c>
      <c r="H260">
        <v>2777.13</v>
      </c>
      <c r="I260">
        <v>0.25</v>
      </c>
      <c r="J260">
        <v>8331.39</v>
      </c>
      <c r="K260" t="s">
        <v>58</v>
      </c>
      <c r="L260" t="s">
        <v>29</v>
      </c>
      <c r="M260" t="s">
        <v>54</v>
      </c>
      <c r="N260" t="s">
        <v>22</v>
      </c>
    </row>
    <row r="261" spans="1:14" x14ac:dyDescent="0.3">
      <c r="A261" t="s">
        <v>322</v>
      </c>
      <c r="B261" s="1">
        <v>45763</v>
      </c>
      <c r="C261" t="s">
        <v>15</v>
      </c>
      <c r="D261" t="s">
        <v>43</v>
      </c>
      <c r="E261" t="s">
        <v>17</v>
      </c>
      <c r="F261" t="s">
        <v>40</v>
      </c>
      <c r="G261">
        <v>4</v>
      </c>
      <c r="H261">
        <v>4339.92</v>
      </c>
      <c r="I261">
        <v>0.03</v>
      </c>
      <c r="J261">
        <v>16838.89</v>
      </c>
      <c r="K261" t="s">
        <v>46</v>
      </c>
      <c r="L261" t="s">
        <v>20</v>
      </c>
      <c r="M261" t="s">
        <v>54</v>
      </c>
      <c r="N261" t="s">
        <v>88</v>
      </c>
    </row>
    <row r="262" spans="1:14" x14ac:dyDescent="0.3">
      <c r="A262" t="s">
        <v>323</v>
      </c>
      <c r="B262" s="1">
        <v>45808</v>
      </c>
      <c r="C262" t="s">
        <v>36</v>
      </c>
      <c r="D262" t="s">
        <v>16</v>
      </c>
      <c r="E262" t="s">
        <v>27</v>
      </c>
      <c r="F262" t="s">
        <v>28</v>
      </c>
      <c r="G262">
        <v>5</v>
      </c>
      <c r="H262">
        <v>782.25</v>
      </c>
      <c r="I262">
        <v>0.05</v>
      </c>
      <c r="J262">
        <v>3715.69</v>
      </c>
      <c r="K262" t="s">
        <v>41</v>
      </c>
      <c r="L262" t="s">
        <v>20</v>
      </c>
      <c r="M262" t="s">
        <v>54</v>
      </c>
      <c r="N262" t="s">
        <v>22</v>
      </c>
    </row>
    <row r="263" spans="1:14" x14ac:dyDescent="0.3">
      <c r="A263" t="s">
        <v>324</v>
      </c>
      <c r="B263" s="1">
        <v>45684</v>
      </c>
      <c r="C263" t="s">
        <v>36</v>
      </c>
      <c r="D263" t="s">
        <v>39</v>
      </c>
      <c r="E263" t="s">
        <v>27</v>
      </c>
      <c r="F263" t="s">
        <v>28</v>
      </c>
      <c r="G263">
        <v>3</v>
      </c>
      <c r="H263">
        <v>4897.1000000000004</v>
      </c>
      <c r="I263">
        <v>7.0000000000000007E-2</v>
      </c>
      <c r="J263">
        <v>13662.91</v>
      </c>
      <c r="K263" t="s">
        <v>33</v>
      </c>
      <c r="L263" t="s">
        <v>20</v>
      </c>
      <c r="M263" t="s">
        <v>21</v>
      </c>
      <c r="N263" t="s">
        <v>59</v>
      </c>
    </row>
    <row r="264" spans="1:14" x14ac:dyDescent="0.3">
      <c r="A264" t="s">
        <v>325</v>
      </c>
      <c r="B264" s="1">
        <v>45684</v>
      </c>
      <c r="C264" t="s">
        <v>52</v>
      </c>
      <c r="D264" t="s">
        <v>43</v>
      </c>
      <c r="E264" t="s">
        <v>27</v>
      </c>
      <c r="F264" t="s">
        <v>79</v>
      </c>
      <c r="G264">
        <v>3</v>
      </c>
      <c r="H264">
        <v>4348.53</v>
      </c>
      <c r="I264">
        <v>0.03</v>
      </c>
      <c r="J264">
        <v>12654.22</v>
      </c>
      <c r="K264" t="s">
        <v>41</v>
      </c>
      <c r="L264" t="s">
        <v>20</v>
      </c>
      <c r="M264" t="s">
        <v>54</v>
      </c>
      <c r="N264" t="s">
        <v>22</v>
      </c>
    </row>
    <row r="265" spans="1:14" x14ac:dyDescent="0.3">
      <c r="A265" t="s">
        <v>326</v>
      </c>
      <c r="B265" s="1">
        <v>45788</v>
      </c>
      <c r="C265" t="s">
        <v>48</v>
      </c>
      <c r="D265" t="s">
        <v>25</v>
      </c>
      <c r="E265" t="s">
        <v>99</v>
      </c>
      <c r="F265" t="s">
        <v>100</v>
      </c>
      <c r="G265">
        <v>5</v>
      </c>
      <c r="H265">
        <v>3198.77</v>
      </c>
      <c r="I265">
        <v>0.16</v>
      </c>
      <c r="J265">
        <v>13434.83</v>
      </c>
      <c r="K265" t="s">
        <v>41</v>
      </c>
      <c r="L265" t="s">
        <v>20</v>
      </c>
      <c r="M265" t="s">
        <v>30</v>
      </c>
      <c r="N265" t="s">
        <v>22</v>
      </c>
    </row>
    <row r="266" spans="1:14" x14ac:dyDescent="0.3">
      <c r="A266" t="s">
        <v>327</v>
      </c>
      <c r="B266" s="1">
        <v>45752</v>
      </c>
      <c r="C266" t="s">
        <v>36</v>
      </c>
      <c r="D266" t="s">
        <v>16</v>
      </c>
      <c r="E266" t="s">
        <v>17</v>
      </c>
      <c r="F266" t="s">
        <v>40</v>
      </c>
      <c r="G266">
        <v>3</v>
      </c>
      <c r="H266">
        <v>2328.0100000000002</v>
      </c>
      <c r="I266">
        <v>0.12</v>
      </c>
      <c r="J266">
        <v>6145.95</v>
      </c>
      <c r="K266" t="s">
        <v>46</v>
      </c>
      <c r="L266" t="s">
        <v>29</v>
      </c>
      <c r="M266" t="s">
        <v>21</v>
      </c>
      <c r="N266" t="s">
        <v>37</v>
      </c>
    </row>
    <row r="267" spans="1:14" x14ac:dyDescent="0.3">
      <c r="A267" t="s">
        <v>328</v>
      </c>
      <c r="B267" s="1">
        <v>45766</v>
      </c>
      <c r="C267" t="s">
        <v>15</v>
      </c>
      <c r="D267" t="s">
        <v>25</v>
      </c>
      <c r="E267" t="s">
        <v>17</v>
      </c>
      <c r="F267" t="s">
        <v>40</v>
      </c>
      <c r="G267">
        <v>4</v>
      </c>
      <c r="H267">
        <v>1167.3699999999999</v>
      </c>
      <c r="I267">
        <v>0.11</v>
      </c>
      <c r="J267">
        <v>4155.84</v>
      </c>
      <c r="K267" t="s">
        <v>58</v>
      </c>
      <c r="L267" t="s">
        <v>29</v>
      </c>
      <c r="M267" t="s">
        <v>54</v>
      </c>
      <c r="N267" t="s">
        <v>22</v>
      </c>
    </row>
    <row r="268" spans="1:14" x14ac:dyDescent="0.3">
      <c r="A268" t="s">
        <v>329</v>
      </c>
      <c r="B268" s="1">
        <v>45692</v>
      </c>
      <c r="C268" t="s">
        <v>36</v>
      </c>
      <c r="D268" t="s">
        <v>16</v>
      </c>
      <c r="E268" t="s">
        <v>99</v>
      </c>
      <c r="F268" t="s">
        <v>111</v>
      </c>
      <c r="G268">
        <v>5</v>
      </c>
      <c r="H268">
        <v>4276.87</v>
      </c>
      <c r="I268">
        <v>0.2</v>
      </c>
      <c r="J268">
        <v>17107.48</v>
      </c>
      <c r="K268" t="s">
        <v>33</v>
      </c>
      <c r="L268" t="s">
        <v>20</v>
      </c>
      <c r="M268" t="s">
        <v>21</v>
      </c>
      <c r="N268" t="s">
        <v>22</v>
      </c>
    </row>
    <row r="269" spans="1:14" x14ac:dyDescent="0.3">
      <c r="A269" t="s">
        <v>330</v>
      </c>
      <c r="B269" s="1">
        <v>45711</v>
      </c>
      <c r="C269" t="s">
        <v>24</v>
      </c>
      <c r="D269" t="s">
        <v>43</v>
      </c>
      <c r="E269" t="s">
        <v>49</v>
      </c>
      <c r="F269" t="s">
        <v>56</v>
      </c>
      <c r="G269">
        <v>4</v>
      </c>
      <c r="H269">
        <v>103.31</v>
      </c>
      <c r="I269">
        <v>0.24</v>
      </c>
      <c r="J269">
        <v>314.06</v>
      </c>
      <c r="K269" t="s">
        <v>19</v>
      </c>
      <c r="L269" t="s">
        <v>34</v>
      </c>
      <c r="M269" t="s">
        <v>54</v>
      </c>
      <c r="N269" t="s">
        <v>37</v>
      </c>
    </row>
    <row r="270" spans="1:14" x14ac:dyDescent="0.3">
      <c r="A270" t="s">
        <v>331</v>
      </c>
      <c r="B270" s="1">
        <v>45762</v>
      </c>
      <c r="C270" t="s">
        <v>15</v>
      </c>
      <c r="D270" t="s">
        <v>43</v>
      </c>
      <c r="E270" t="s">
        <v>99</v>
      </c>
      <c r="F270" t="s">
        <v>100</v>
      </c>
      <c r="G270">
        <v>3</v>
      </c>
      <c r="H270">
        <v>1326.91</v>
      </c>
      <c r="I270">
        <v>0.09</v>
      </c>
      <c r="J270">
        <v>3622.46</v>
      </c>
      <c r="K270" t="s">
        <v>58</v>
      </c>
      <c r="L270" t="s">
        <v>29</v>
      </c>
      <c r="M270" t="s">
        <v>21</v>
      </c>
      <c r="N270" t="s">
        <v>22</v>
      </c>
    </row>
    <row r="271" spans="1:14" x14ac:dyDescent="0.3">
      <c r="A271" t="s">
        <v>332</v>
      </c>
      <c r="B271" s="1">
        <v>45829</v>
      </c>
      <c r="C271" t="s">
        <v>48</v>
      </c>
      <c r="D271" t="s">
        <v>43</v>
      </c>
      <c r="E271" t="s">
        <v>99</v>
      </c>
      <c r="F271" t="s">
        <v>100</v>
      </c>
      <c r="G271">
        <v>1</v>
      </c>
      <c r="H271">
        <v>105.32</v>
      </c>
      <c r="I271">
        <v>0.12</v>
      </c>
      <c r="J271">
        <v>92.68</v>
      </c>
      <c r="K271" t="s">
        <v>58</v>
      </c>
      <c r="L271" t="s">
        <v>29</v>
      </c>
      <c r="M271" t="s">
        <v>54</v>
      </c>
      <c r="N271" t="s">
        <v>22</v>
      </c>
    </row>
    <row r="272" spans="1:14" x14ac:dyDescent="0.3">
      <c r="A272" t="s">
        <v>333</v>
      </c>
      <c r="B272" s="1">
        <v>45777</v>
      </c>
      <c r="C272" t="s">
        <v>24</v>
      </c>
      <c r="D272" t="s">
        <v>25</v>
      </c>
      <c r="E272" t="s">
        <v>49</v>
      </c>
      <c r="F272" t="s">
        <v>56</v>
      </c>
      <c r="G272">
        <v>4</v>
      </c>
      <c r="H272">
        <v>3500.75</v>
      </c>
      <c r="I272">
        <v>0.12</v>
      </c>
      <c r="J272">
        <v>12322.64</v>
      </c>
      <c r="K272" t="s">
        <v>46</v>
      </c>
      <c r="L272" t="s">
        <v>20</v>
      </c>
      <c r="M272" t="s">
        <v>54</v>
      </c>
      <c r="N272" t="s">
        <v>22</v>
      </c>
    </row>
    <row r="273" spans="1:14" x14ac:dyDescent="0.3">
      <c r="A273" t="s">
        <v>334</v>
      </c>
      <c r="B273" s="1">
        <v>45742</v>
      </c>
      <c r="C273" t="s">
        <v>15</v>
      </c>
      <c r="D273" t="s">
        <v>43</v>
      </c>
      <c r="E273" t="s">
        <v>17</v>
      </c>
      <c r="F273" t="s">
        <v>18</v>
      </c>
      <c r="G273">
        <v>2</v>
      </c>
      <c r="H273">
        <v>1975.33</v>
      </c>
      <c r="I273">
        <v>0.2</v>
      </c>
      <c r="J273">
        <v>3160.53</v>
      </c>
      <c r="K273" t="s">
        <v>46</v>
      </c>
      <c r="L273" t="s">
        <v>34</v>
      </c>
      <c r="M273" t="s">
        <v>54</v>
      </c>
      <c r="N273" t="s">
        <v>22</v>
      </c>
    </row>
    <row r="274" spans="1:14" x14ac:dyDescent="0.3">
      <c r="A274" t="s">
        <v>335</v>
      </c>
      <c r="B274" s="1">
        <v>45701</v>
      </c>
      <c r="C274" t="s">
        <v>36</v>
      </c>
      <c r="D274" t="s">
        <v>25</v>
      </c>
      <c r="E274" t="s">
        <v>27</v>
      </c>
      <c r="F274" t="s">
        <v>79</v>
      </c>
      <c r="G274">
        <v>3</v>
      </c>
      <c r="H274">
        <v>3639.92</v>
      </c>
      <c r="I274">
        <v>0.16</v>
      </c>
      <c r="J274">
        <v>9172.6</v>
      </c>
      <c r="K274" t="s">
        <v>19</v>
      </c>
      <c r="L274" t="s">
        <v>34</v>
      </c>
      <c r="M274" t="s">
        <v>54</v>
      </c>
      <c r="N274" t="s">
        <v>22</v>
      </c>
    </row>
    <row r="275" spans="1:14" x14ac:dyDescent="0.3">
      <c r="A275" t="s">
        <v>336</v>
      </c>
      <c r="B275" s="1">
        <v>45840</v>
      </c>
      <c r="C275" t="s">
        <v>24</v>
      </c>
      <c r="D275" t="s">
        <v>39</v>
      </c>
      <c r="E275" t="s">
        <v>49</v>
      </c>
      <c r="F275" t="s">
        <v>73</v>
      </c>
      <c r="G275">
        <v>1</v>
      </c>
      <c r="H275">
        <v>2988.91</v>
      </c>
      <c r="I275">
        <v>0.1</v>
      </c>
      <c r="J275">
        <v>2690.02</v>
      </c>
      <c r="K275" t="s">
        <v>58</v>
      </c>
      <c r="L275" t="s">
        <v>20</v>
      </c>
      <c r="M275" t="s">
        <v>30</v>
      </c>
      <c r="N275" t="s">
        <v>88</v>
      </c>
    </row>
    <row r="276" spans="1:14" x14ac:dyDescent="0.3">
      <c r="A276" t="s">
        <v>337</v>
      </c>
      <c r="B276" s="1">
        <v>45764</v>
      </c>
      <c r="C276" t="s">
        <v>24</v>
      </c>
      <c r="D276" t="s">
        <v>16</v>
      </c>
      <c r="E276" t="s">
        <v>61</v>
      </c>
      <c r="F276" t="s">
        <v>66</v>
      </c>
      <c r="G276">
        <v>5</v>
      </c>
      <c r="H276">
        <v>3040.04</v>
      </c>
      <c r="I276">
        <v>0.15</v>
      </c>
      <c r="J276">
        <v>12920.17</v>
      </c>
      <c r="K276" t="s">
        <v>19</v>
      </c>
      <c r="L276" t="s">
        <v>29</v>
      </c>
      <c r="M276" t="s">
        <v>21</v>
      </c>
      <c r="N276" t="s">
        <v>88</v>
      </c>
    </row>
    <row r="277" spans="1:14" x14ac:dyDescent="0.3">
      <c r="A277" t="s">
        <v>338</v>
      </c>
      <c r="B277" s="1">
        <v>45806</v>
      </c>
      <c r="C277" t="s">
        <v>36</v>
      </c>
      <c r="D277" t="s">
        <v>43</v>
      </c>
      <c r="E277" t="s">
        <v>99</v>
      </c>
      <c r="F277" t="s">
        <v>100</v>
      </c>
      <c r="G277">
        <v>2</v>
      </c>
      <c r="H277">
        <v>3764.43</v>
      </c>
      <c r="I277">
        <v>7.0000000000000007E-2</v>
      </c>
      <c r="J277">
        <v>7001.84</v>
      </c>
      <c r="K277" t="s">
        <v>33</v>
      </c>
      <c r="L277" t="s">
        <v>29</v>
      </c>
      <c r="M277" t="s">
        <v>54</v>
      </c>
      <c r="N277" t="s">
        <v>22</v>
      </c>
    </row>
    <row r="278" spans="1:14" x14ac:dyDescent="0.3">
      <c r="A278" t="s">
        <v>339</v>
      </c>
      <c r="B278" s="1">
        <v>45801</v>
      </c>
      <c r="C278" t="s">
        <v>48</v>
      </c>
      <c r="D278" t="s">
        <v>39</v>
      </c>
      <c r="E278" t="s">
        <v>17</v>
      </c>
      <c r="F278" t="s">
        <v>44</v>
      </c>
      <c r="G278">
        <v>5</v>
      </c>
      <c r="H278">
        <v>4454.75</v>
      </c>
      <c r="I278">
        <v>0</v>
      </c>
      <c r="J278">
        <v>22273.75</v>
      </c>
      <c r="K278" t="s">
        <v>33</v>
      </c>
      <c r="L278" t="s">
        <v>20</v>
      </c>
      <c r="M278" t="s">
        <v>30</v>
      </c>
      <c r="N278" t="s">
        <v>22</v>
      </c>
    </row>
    <row r="279" spans="1:14" x14ac:dyDescent="0.3">
      <c r="A279" t="s">
        <v>340</v>
      </c>
      <c r="B279" s="1">
        <v>45793</v>
      </c>
      <c r="C279" t="s">
        <v>15</v>
      </c>
      <c r="D279" t="s">
        <v>16</v>
      </c>
      <c r="E279" t="s">
        <v>27</v>
      </c>
      <c r="F279" t="s">
        <v>87</v>
      </c>
      <c r="G279">
        <v>2</v>
      </c>
      <c r="H279">
        <v>3837.36</v>
      </c>
      <c r="I279">
        <v>0.24</v>
      </c>
      <c r="J279">
        <v>5832.79</v>
      </c>
      <c r="K279" t="s">
        <v>33</v>
      </c>
      <c r="L279" t="s">
        <v>29</v>
      </c>
      <c r="M279" t="s">
        <v>54</v>
      </c>
      <c r="N279" t="s">
        <v>22</v>
      </c>
    </row>
    <row r="280" spans="1:14" x14ac:dyDescent="0.3">
      <c r="A280" t="s">
        <v>341</v>
      </c>
      <c r="B280" s="1">
        <v>45699</v>
      </c>
      <c r="C280" t="s">
        <v>52</v>
      </c>
      <c r="D280" t="s">
        <v>25</v>
      </c>
      <c r="E280" t="s">
        <v>17</v>
      </c>
      <c r="F280" t="s">
        <v>32</v>
      </c>
      <c r="G280">
        <v>4</v>
      </c>
      <c r="H280">
        <v>2582.39</v>
      </c>
      <c r="I280">
        <v>0.16</v>
      </c>
      <c r="J280">
        <v>8676.83</v>
      </c>
      <c r="K280" t="s">
        <v>58</v>
      </c>
      <c r="L280" t="s">
        <v>20</v>
      </c>
      <c r="M280" t="s">
        <v>21</v>
      </c>
      <c r="N280" t="s">
        <v>22</v>
      </c>
    </row>
    <row r="281" spans="1:14" x14ac:dyDescent="0.3">
      <c r="A281" t="s">
        <v>342</v>
      </c>
      <c r="B281" s="1">
        <v>45798</v>
      </c>
      <c r="C281" t="s">
        <v>36</v>
      </c>
      <c r="D281" t="s">
        <v>43</v>
      </c>
      <c r="E281" t="s">
        <v>49</v>
      </c>
      <c r="F281" t="s">
        <v>56</v>
      </c>
      <c r="G281">
        <v>2</v>
      </c>
      <c r="H281">
        <v>1459.59</v>
      </c>
      <c r="I281">
        <v>0.08</v>
      </c>
      <c r="J281">
        <v>2685.65</v>
      </c>
      <c r="K281" t="s">
        <v>33</v>
      </c>
      <c r="L281" t="s">
        <v>29</v>
      </c>
      <c r="M281" t="s">
        <v>21</v>
      </c>
      <c r="N281" t="s">
        <v>59</v>
      </c>
    </row>
    <row r="282" spans="1:14" x14ac:dyDescent="0.3">
      <c r="A282" t="s">
        <v>343</v>
      </c>
      <c r="B282" s="1">
        <v>45720</v>
      </c>
      <c r="C282" t="s">
        <v>48</v>
      </c>
      <c r="D282" t="s">
        <v>16</v>
      </c>
      <c r="E282" t="s">
        <v>61</v>
      </c>
      <c r="F282" t="s">
        <v>66</v>
      </c>
      <c r="G282">
        <v>1</v>
      </c>
      <c r="H282">
        <v>1619.83</v>
      </c>
      <c r="I282">
        <v>0.11</v>
      </c>
      <c r="J282">
        <v>1441.65</v>
      </c>
      <c r="K282" t="s">
        <v>33</v>
      </c>
      <c r="L282" t="s">
        <v>29</v>
      </c>
      <c r="M282" t="s">
        <v>54</v>
      </c>
      <c r="N282" t="s">
        <v>22</v>
      </c>
    </row>
    <row r="283" spans="1:14" x14ac:dyDescent="0.3">
      <c r="A283" t="s">
        <v>344</v>
      </c>
      <c r="B283" s="1">
        <v>45737</v>
      </c>
      <c r="C283" t="s">
        <v>48</v>
      </c>
      <c r="D283" t="s">
        <v>43</v>
      </c>
      <c r="E283" t="s">
        <v>49</v>
      </c>
      <c r="F283" t="s">
        <v>56</v>
      </c>
      <c r="G283">
        <v>1</v>
      </c>
      <c r="H283">
        <v>1615.52</v>
      </c>
      <c r="I283">
        <v>0.19</v>
      </c>
      <c r="J283">
        <v>1308.57</v>
      </c>
      <c r="K283" t="s">
        <v>33</v>
      </c>
      <c r="L283" t="s">
        <v>29</v>
      </c>
      <c r="M283" t="s">
        <v>21</v>
      </c>
      <c r="N283" t="s">
        <v>22</v>
      </c>
    </row>
    <row r="284" spans="1:14" x14ac:dyDescent="0.3">
      <c r="A284" t="s">
        <v>345</v>
      </c>
      <c r="B284" s="1">
        <v>45790</v>
      </c>
      <c r="C284" t="s">
        <v>52</v>
      </c>
      <c r="D284" t="s">
        <v>43</v>
      </c>
      <c r="E284" t="s">
        <v>61</v>
      </c>
      <c r="F284" t="s">
        <v>62</v>
      </c>
      <c r="G284">
        <v>5</v>
      </c>
      <c r="H284">
        <v>2634.39</v>
      </c>
      <c r="I284">
        <v>0.21</v>
      </c>
      <c r="J284">
        <v>10405.84</v>
      </c>
      <c r="K284" t="s">
        <v>41</v>
      </c>
      <c r="L284" t="s">
        <v>34</v>
      </c>
      <c r="M284" t="s">
        <v>30</v>
      </c>
      <c r="N284" t="s">
        <v>22</v>
      </c>
    </row>
    <row r="285" spans="1:14" x14ac:dyDescent="0.3">
      <c r="A285" t="s">
        <v>346</v>
      </c>
      <c r="B285" s="1">
        <v>45786</v>
      </c>
      <c r="C285" t="s">
        <v>24</v>
      </c>
      <c r="D285" t="s">
        <v>16</v>
      </c>
      <c r="E285" t="s">
        <v>99</v>
      </c>
      <c r="F285" t="s">
        <v>120</v>
      </c>
      <c r="G285">
        <v>3</v>
      </c>
      <c r="H285">
        <v>2666.89</v>
      </c>
      <c r="I285">
        <v>7.0000000000000007E-2</v>
      </c>
      <c r="J285">
        <v>7440.62</v>
      </c>
      <c r="K285" t="s">
        <v>46</v>
      </c>
      <c r="L285" t="s">
        <v>34</v>
      </c>
      <c r="M285" t="s">
        <v>21</v>
      </c>
      <c r="N285" t="s">
        <v>22</v>
      </c>
    </row>
    <row r="286" spans="1:14" x14ac:dyDescent="0.3">
      <c r="A286" t="s">
        <v>347</v>
      </c>
      <c r="B286" s="1">
        <v>45732</v>
      </c>
      <c r="C286" t="s">
        <v>24</v>
      </c>
      <c r="D286" t="s">
        <v>16</v>
      </c>
      <c r="E286" t="s">
        <v>27</v>
      </c>
      <c r="F286" t="s">
        <v>28</v>
      </c>
      <c r="G286">
        <v>2</v>
      </c>
      <c r="H286">
        <v>1901.67</v>
      </c>
      <c r="I286">
        <v>0.06</v>
      </c>
      <c r="J286">
        <v>3575.14</v>
      </c>
      <c r="K286" t="s">
        <v>41</v>
      </c>
      <c r="L286" t="s">
        <v>29</v>
      </c>
      <c r="M286" t="s">
        <v>54</v>
      </c>
      <c r="N286" t="s">
        <v>22</v>
      </c>
    </row>
    <row r="287" spans="1:14" x14ac:dyDescent="0.3">
      <c r="A287" t="s">
        <v>348</v>
      </c>
      <c r="B287" s="1">
        <v>45745</v>
      </c>
      <c r="C287" t="s">
        <v>24</v>
      </c>
      <c r="D287" t="s">
        <v>43</v>
      </c>
      <c r="E287" t="s">
        <v>27</v>
      </c>
      <c r="F287" t="s">
        <v>79</v>
      </c>
      <c r="G287">
        <v>1</v>
      </c>
      <c r="H287">
        <v>2411.65</v>
      </c>
      <c r="I287">
        <v>0.1</v>
      </c>
      <c r="J287">
        <v>2170.4899999999998</v>
      </c>
      <c r="K287" t="s">
        <v>58</v>
      </c>
      <c r="L287" t="s">
        <v>20</v>
      </c>
      <c r="M287" t="s">
        <v>54</v>
      </c>
      <c r="N287" t="s">
        <v>37</v>
      </c>
    </row>
    <row r="288" spans="1:14" x14ac:dyDescent="0.3">
      <c r="A288" t="s">
        <v>349</v>
      </c>
      <c r="B288" s="1">
        <v>45834</v>
      </c>
      <c r="C288" t="s">
        <v>52</v>
      </c>
      <c r="D288" t="s">
        <v>39</v>
      </c>
      <c r="E288" t="s">
        <v>17</v>
      </c>
      <c r="F288" t="s">
        <v>40</v>
      </c>
      <c r="G288">
        <v>4</v>
      </c>
      <c r="H288">
        <v>4587.6899999999996</v>
      </c>
      <c r="I288">
        <v>0.08</v>
      </c>
      <c r="J288">
        <v>16882.7</v>
      </c>
      <c r="K288" t="s">
        <v>46</v>
      </c>
      <c r="L288" t="s">
        <v>20</v>
      </c>
      <c r="M288" t="s">
        <v>54</v>
      </c>
      <c r="N288" t="s">
        <v>22</v>
      </c>
    </row>
    <row r="289" spans="1:14" x14ac:dyDescent="0.3">
      <c r="A289" t="s">
        <v>350</v>
      </c>
      <c r="B289" s="1">
        <v>45760</v>
      </c>
      <c r="C289" t="s">
        <v>52</v>
      </c>
      <c r="D289" t="s">
        <v>39</v>
      </c>
      <c r="E289" t="s">
        <v>17</v>
      </c>
      <c r="F289" t="s">
        <v>44</v>
      </c>
      <c r="G289">
        <v>4</v>
      </c>
      <c r="H289">
        <v>437.74</v>
      </c>
      <c r="I289">
        <v>0.12</v>
      </c>
      <c r="J289">
        <v>1540.84</v>
      </c>
      <c r="K289" t="s">
        <v>33</v>
      </c>
      <c r="L289" t="s">
        <v>20</v>
      </c>
      <c r="M289" t="s">
        <v>30</v>
      </c>
      <c r="N289" t="s">
        <v>22</v>
      </c>
    </row>
    <row r="290" spans="1:14" x14ac:dyDescent="0.3">
      <c r="A290" t="s">
        <v>351</v>
      </c>
      <c r="B290" s="1">
        <v>45747</v>
      </c>
      <c r="C290" t="s">
        <v>24</v>
      </c>
      <c r="D290" t="s">
        <v>43</v>
      </c>
      <c r="E290" t="s">
        <v>27</v>
      </c>
      <c r="F290" t="s">
        <v>87</v>
      </c>
      <c r="G290">
        <v>3</v>
      </c>
      <c r="H290">
        <v>2862.65</v>
      </c>
      <c r="I290">
        <v>0.08</v>
      </c>
      <c r="J290">
        <v>7900.91</v>
      </c>
      <c r="K290" t="s">
        <v>46</v>
      </c>
      <c r="L290" t="s">
        <v>20</v>
      </c>
      <c r="M290" t="s">
        <v>21</v>
      </c>
      <c r="N290" t="s">
        <v>22</v>
      </c>
    </row>
    <row r="291" spans="1:14" x14ac:dyDescent="0.3">
      <c r="A291" t="s">
        <v>352</v>
      </c>
      <c r="B291" s="1">
        <v>45683</v>
      </c>
      <c r="C291" t="s">
        <v>52</v>
      </c>
      <c r="D291" t="s">
        <v>39</v>
      </c>
      <c r="E291" t="s">
        <v>27</v>
      </c>
      <c r="F291" t="s">
        <v>87</v>
      </c>
      <c r="G291">
        <v>2</v>
      </c>
      <c r="H291">
        <v>131.25</v>
      </c>
      <c r="I291">
        <v>0.1</v>
      </c>
      <c r="J291">
        <v>236.25</v>
      </c>
      <c r="K291" t="s">
        <v>33</v>
      </c>
      <c r="L291" t="s">
        <v>20</v>
      </c>
      <c r="M291" t="s">
        <v>54</v>
      </c>
      <c r="N291" t="s">
        <v>22</v>
      </c>
    </row>
    <row r="292" spans="1:14" x14ac:dyDescent="0.3">
      <c r="A292" t="s">
        <v>353</v>
      </c>
      <c r="B292" s="1">
        <v>45708</v>
      </c>
      <c r="C292" t="s">
        <v>24</v>
      </c>
      <c r="D292" t="s">
        <v>25</v>
      </c>
      <c r="E292" t="s">
        <v>17</v>
      </c>
      <c r="F292" t="s">
        <v>32</v>
      </c>
      <c r="G292">
        <v>3</v>
      </c>
      <c r="H292">
        <v>609.35</v>
      </c>
      <c r="I292">
        <v>0.13</v>
      </c>
      <c r="J292">
        <v>1590.4</v>
      </c>
      <c r="K292" t="s">
        <v>41</v>
      </c>
      <c r="L292" t="s">
        <v>29</v>
      </c>
      <c r="M292" t="s">
        <v>54</v>
      </c>
      <c r="N292" t="s">
        <v>22</v>
      </c>
    </row>
    <row r="293" spans="1:14" x14ac:dyDescent="0.3">
      <c r="A293" t="s">
        <v>354</v>
      </c>
      <c r="B293" s="1">
        <v>45703</v>
      </c>
      <c r="C293" t="s">
        <v>15</v>
      </c>
      <c r="D293" t="s">
        <v>39</v>
      </c>
      <c r="E293" t="s">
        <v>17</v>
      </c>
      <c r="F293" t="s">
        <v>44</v>
      </c>
      <c r="G293">
        <v>2</v>
      </c>
      <c r="H293">
        <v>4496.71</v>
      </c>
      <c r="I293">
        <v>0.13</v>
      </c>
      <c r="J293">
        <v>7824.28</v>
      </c>
      <c r="K293" t="s">
        <v>58</v>
      </c>
      <c r="L293" t="s">
        <v>20</v>
      </c>
      <c r="M293" t="s">
        <v>21</v>
      </c>
      <c r="N293" t="s">
        <v>22</v>
      </c>
    </row>
    <row r="294" spans="1:14" x14ac:dyDescent="0.3">
      <c r="A294" t="s">
        <v>355</v>
      </c>
      <c r="B294" s="1">
        <v>45672</v>
      </c>
      <c r="C294" t="s">
        <v>36</v>
      </c>
      <c r="D294" t="s">
        <v>43</v>
      </c>
      <c r="E294" t="s">
        <v>17</v>
      </c>
      <c r="F294" t="s">
        <v>18</v>
      </c>
      <c r="G294">
        <v>4</v>
      </c>
      <c r="H294">
        <v>466.67</v>
      </c>
      <c r="I294">
        <v>0.14000000000000001</v>
      </c>
      <c r="J294">
        <v>1605.34</v>
      </c>
      <c r="K294" t="s">
        <v>19</v>
      </c>
      <c r="L294" t="s">
        <v>29</v>
      </c>
      <c r="M294" t="s">
        <v>30</v>
      </c>
      <c r="N294" t="s">
        <v>22</v>
      </c>
    </row>
    <row r="295" spans="1:14" x14ac:dyDescent="0.3">
      <c r="A295" t="s">
        <v>356</v>
      </c>
      <c r="B295" s="1">
        <v>45725</v>
      </c>
      <c r="C295" t="s">
        <v>48</v>
      </c>
      <c r="D295" t="s">
        <v>43</v>
      </c>
      <c r="E295" t="s">
        <v>99</v>
      </c>
      <c r="F295" t="s">
        <v>111</v>
      </c>
      <c r="G295">
        <v>4</v>
      </c>
      <c r="H295">
        <v>1432.58</v>
      </c>
      <c r="I295">
        <v>0.02</v>
      </c>
      <c r="J295">
        <v>5615.71</v>
      </c>
      <c r="K295" t="s">
        <v>46</v>
      </c>
      <c r="L295" t="s">
        <v>34</v>
      </c>
      <c r="M295" t="s">
        <v>54</v>
      </c>
      <c r="N295" t="s">
        <v>88</v>
      </c>
    </row>
    <row r="296" spans="1:14" x14ac:dyDescent="0.3">
      <c r="A296" t="s">
        <v>357</v>
      </c>
      <c r="B296" s="1">
        <v>45664</v>
      </c>
      <c r="C296" t="s">
        <v>52</v>
      </c>
      <c r="D296" t="s">
        <v>39</v>
      </c>
      <c r="E296" t="s">
        <v>27</v>
      </c>
      <c r="F296" t="s">
        <v>79</v>
      </c>
      <c r="G296">
        <v>4</v>
      </c>
      <c r="H296">
        <v>2383.67</v>
      </c>
      <c r="I296">
        <v>0.1</v>
      </c>
      <c r="J296">
        <v>8581.2099999999991</v>
      </c>
      <c r="K296" t="s">
        <v>58</v>
      </c>
      <c r="L296" t="s">
        <v>20</v>
      </c>
      <c r="M296" t="s">
        <v>21</v>
      </c>
      <c r="N296" t="s">
        <v>59</v>
      </c>
    </row>
    <row r="297" spans="1:14" x14ac:dyDescent="0.3">
      <c r="A297" t="s">
        <v>358</v>
      </c>
      <c r="B297" s="1">
        <v>45774</v>
      </c>
      <c r="C297" t="s">
        <v>15</v>
      </c>
      <c r="D297" t="s">
        <v>16</v>
      </c>
      <c r="E297" t="s">
        <v>61</v>
      </c>
      <c r="F297" t="s">
        <v>92</v>
      </c>
      <c r="G297">
        <v>1</v>
      </c>
      <c r="H297">
        <v>543.05999999999995</v>
      </c>
      <c r="I297">
        <v>0.2</v>
      </c>
      <c r="J297">
        <v>434.45</v>
      </c>
      <c r="K297" t="s">
        <v>41</v>
      </c>
      <c r="L297" t="s">
        <v>34</v>
      </c>
      <c r="M297" t="s">
        <v>30</v>
      </c>
      <c r="N297" t="s">
        <v>22</v>
      </c>
    </row>
    <row r="298" spans="1:14" x14ac:dyDescent="0.3">
      <c r="A298" t="s">
        <v>359</v>
      </c>
      <c r="B298" s="1">
        <v>45767</v>
      </c>
      <c r="C298" t="s">
        <v>24</v>
      </c>
      <c r="D298" t="s">
        <v>43</v>
      </c>
      <c r="E298" t="s">
        <v>99</v>
      </c>
      <c r="F298" t="s">
        <v>100</v>
      </c>
      <c r="G298">
        <v>4</v>
      </c>
      <c r="H298">
        <v>2615.9499999999998</v>
      </c>
      <c r="I298">
        <v>0.17</v>
      </c>
      <c r="J298">
        <v>8684.9500000000007</v>
      </c>
      <c r="K298" t="s">
        <v>19</v>
      </c>
      <c r="L298" t="s">
        <v>34</v>
      </c>
      <c r="M298" t="s">
        <v>30</v>
      </c>
      <c r="N298" t="s">
        <v>22</v>
      </c>
    </row>
    <row r="299" spans="1:14" x14ac:dyDescent="0.3">
      <c r="A299" t="s">
        <v>360</v>
      </c>
      <c r="B299" s="1">
        <v>45704</v>
      </c>
      <c r="C299" t="s">
        <v>36</v>
      </c>
      <c r="D299" t="s">
        <v>16</v>
      </c>
      <c r="E299" t="s">
        <v>49</v>
      </c>
      <c r="F299" t="s">
        <v>50</v>
      </c>
      <c r="G299">
        <v>1</v>
      </c>
      <c r="H299">
        <v>2364.0100000000002</v>
      </c>
      <c r="I299">
        <v>0.2</v>
      </c>
      <c r="J299">
        <v>1891.21</v>
      </c>
      <c r="K299" t="s">
        <v>33</v>
      </c>
      <c r="L299" t="s">
        <v>20</v>
      </c>
      <c r="M299" t="s">
        <v>54</v>
      </c>
      <c r="N299" t="s">
        <v>22</v>
      </c>
    </row>
    <row r="300" spans="1:14" x14ac:dyDescent="0.3">
      <c r="A300" t="s">
        <v>361</v>
      </c>
      <c r="B300" s="1">
        <v>45774</v>
      </c>
      <c r="C300" t="s">
        <v>52</v>
      </c>
      <c r="D300" t="s">
        <v>16</v>
      </c>
      <c r="E300" t="s">
        <v>61</v>
      </c>
      <c r="F300" t="s">
        <v>75</v>
      </c>
      <c r="G300">
        <v>1</v>
      </c>
      <c r="H300">
        <v>2953.39</v>
      </c>
      <c r="I300">
        <v>0.06</v>
      </c>
      <c r="J300">
        <v>2776.19</v>
      </c>
      <c r="K300" t="s">
        <v>41</v>
      </c>
      <c r="L300" t="s">
        <v>34</v>
      </c>
      <c r="M300" t="s">
        <v>54</v>
      </c>
      <c r="N300" t="s">
        <v>59</v>
      </c>
    </row>
    <row r="301" spans="1:14" x14ac:dyDescent="0.3">
      <c r="A301" t="s">
        <v>362</v>
      </c>
      <c r="B301" s="1">
        <v>45702</v>
      </c>
      <c r="C301" t="s">
        <v>52</v>
      </c>
      <c r="D301" t="s">
        <v>25</v>
      </c>
      <c r="E301" t="s">
        <v>61</v>
      </c>
      <c r="F301" t="s">
        <v>92</v>
      </c>
      <c r="G301">
        <v>1</v>
      </c>
      <c r="H301">
        <v>309.20999999999998</v>
      </c>
      <c r="I301">
        <v>0.12</v>
      </c>
      <c r="J301">
        <v>272.10000000000002</v>
      </c>
      <c r="K301" t="s">
        <v>58</v>
      </c>
      <c r="L301" t="s">
        <v>34</v>
      </c>
      <c r="M301" t="s">
        <v>54</v>
      </c>
      <c r="N301" t="s">
        <v>88</v>
      </c>
    </row>
    <row r="302" spans="1:14" x14ac:dyDescent="0.3">
      <c r="A302" t="s">
        <v>363</v>
      </c>
      <c r="B302" s="1">
        <v>45661</v>
      </c>
      <c r="C302" t="s">
        <v>24</v>
      </c>
      <c r="D302" t="s">
        <v>39</v>
      </c>
      <c r="E302" t="s">
        <v>49</v>
      </c>
      <c r="F302" t="s">
        <v>50</v>
      </c>
      <c r="G302">
        <v>4</v>
      </c>
      <c r="H302">
        <v>946.76</v>
      </c>
      <c r="I302">
        <v>0.05</v>
      </c>
      <c r="J302">
        <v>3597.69</v>
      </c>
      <c r="K302" t="s">
        <v>41</v>
      </c>
      <c r="L302" t="s">
        <v>29</v>
      </c>
      <c r="M302" t="s">
        <v>54</v>
      </c>
      <c r="N302" t="s">
        <v>22</v>
      </c>
    </row>
    <row r="303" spans="1:14" x14ac:dyDescent="0.3">
      <c r="A303" t="s">
        <v>364</v>
      </c>
      <c r="B303" s="1">
        <v>45673</v>
      </c>
      <c r="C303" t="s">
        <v>36</v>
      </c>
      <c r="D303" t="s">
        <v>25</v>
      </c>
      <c r="E303" t="s">
        <v>61</v>
      </c>
      <c r="F303" t="s">
        <v>62</v>
      </c>
      <c r="G303">
        <v>2</v>
      </c>
      <c r="H303">
        <v>3271.66</v>
      </c>
      <c r="I303">
        <v>0.12</v>
      </c>
      <c r="J303">
        <v>5758.12</v>
      </c>
      <c r="K303" t="s">
        <v>33</v>
      </c>
      <c r="L303" t="s">
        <v>29</v>
      </c>
      <c r="M303" t="s">
        <v>21</v>
      </c>
      <c r="N303" t="s">
        <v>22</v>
      </c>
    </row>
    <row r="304" spans="1:14" x14ac:dyDescent="0.3">
      <c r="A304" t="s">
        <v>365</v>
      </c>
      <c r="B304" s="1">
        <v>45797</v>
      </c>
      <c r="C304" t="s">
        <v>52</v>
      </c>
      <c r="D304" t="s">
        <v>16</v>
      </c>
      <c r="E304" t="s">
        <v>99</v>
      </c>
      <c r="F304" t="s">
        <v>115</v>
      </c>
      <c r="G304">
        <v>5</v>
      </c>
      <c r="H304">
        <v>1320.82</v>
      </c>
      <c r="I304">
        <v>0.25</v>
      </c>
      <c r="J304">
        <v>4953.07</v>
      </c>
      <c r="K304" t="s">
        <v>41</v>
      </c>
      <c r="L304" t="s">
        <v>20</v>
      </c>
      <c r="M304" t="s">
        <v>21</v>
      </c>
      <c r="N304" t="s">
        <v>59</v>
      </c>
    </row>
    <row r="305" spans="1:14" x14ac:dyDescent="0.3">
      <c r="A305" t="s">
        <v>366</v>
      </c>
      <c r="B305" s="1">
        <v>45782</v>
      </c>
      <c r="C305" t="s">
        <v>36</v>
      </c>
      <c r="D305" t="s">
        <v>16</v>
      </c>
      <c r="E305" t="s">
        <v>99</v>
      </c>
      <c r="F305" t="s">
        <v>115</v>
      </c>
      <c r="G305">
        <v>5</v>
      </c>
      <c r="H305">
        <v>2561.73</v>
      </c>
      <c r="I305">
        <v>0.1</v>
      </c>
      <c r="J305">
        <v>11527.78</v>
      </c>
      <c r="K305" t="s">
        <v>41</v>
      </c>
      <c r="L305" t="s">
        <v>34</v>
      </c>
      <c r="M305" t="s">
        <v>54</v>
      </c>
      <c r="N305" t="s">
        <v>22</v>
      </c>
    </row>
    <row r="306" spans="1:14" x14ac:dyDescent="0.3">
      <c r="A306" t="s">
        <v>367</v>
      </c>
      <c r="B306" s="1">
        <v>45671</v>
      </c>
      <c r="C306" t="s">
        <v>15</v>
      </c>
      <c r="D306" t="s">
        <v>43</v>
      </c>
      <c r="E306" t="s">
        <v>61</v>
      </c>
      <c r="F306" t="s">
        <v>62</v>
      </c>
      <c r="G306">
        <v>5</v>
      </c>
      <c r="H306">
        <v>1851.42</v>
      </c>
      <c r="I306">
        <v>0.15</v>
      </c>
      <c r="J306">
        <v>7868.53</v>
      </c>
      <c r="K306" t="s">
        <v>58</v>
      </c>
      <c r="L306" t="s">
        <v>34</v>
      </c>
      <c r="M306" t="s">
        <v>54</v>
      </c>
      <c r="N306" t="s">
        <v>22</v>
      </c>
    </row>
    <row r="307" spans="1:14" x14ac:dyDescent="0.3">
      <c r="A307" t="s">
        <v>368</v>
      </c>
      <c r="B307" s="1">
        <v>45704</v>
      </c>
      <c r="C307" t="s">
        <v>36</v>
      </c>
      <c r="D307" t="s">
        <v>43</v>
      </c>
      <c r="E307" t="s">
        <v>61</v>
      </c>
      <c r="F307" t="s">
        <v>66</v>
      </c>
      <c r="G307">
        <v>5</v>
      </c>
      <c r="H307">
        <v>4247.87</v>
      </c>
      <c r="I307">
        <v>0.2</v>
      </c>
      <c r="J307">
        <v>16991.48</v>
      </c>
      <c r="K307" t="s">
        <v>58</v>
      </c>
      <c r="L307" t="s">
        <v>20</v>
      </c>
      <c r="M307" t="s">
        <v>30</v>
      </c>
      <c r="N307" t="s">
        <v>22</v>
      </c>
    </row>
    <row r="308" spans="1:14" x14ac:dyDescent="0.3">
      <c r="A308" t="s">
        <v>369</v>
      </c>
      <c r="B308" s="1">
        <v>45673</v>
      </c>
      <c r="C308" t="s">
        <v>15</v>
      </c>
      <c r="D308" t="s">
        <v>43</v>
      </c>
      <c r="E308" t="s">
        <v>27</v>
      </c>
      <c r="F308" t="s">
        <v>28</v>
      </c>
      <c r="G308">
        <v>3</v>
      </c>
      <c r="H308">
        <v>4743.04</v>
      </c>
      <c r="I308">
        <v>0.14000000000000001</v>
      </c>
      <c r="J308">
        <v>12237.04</v>
      </c>
      <c r="K308" t="s">
        <v>33</v>
      </c>
      <c r="L308" t="s">
        <v>20</v>
      </c>
      <c r="M308" t="s">
        <v>21</v>
      </c>
      <c r="N308" t="s">
        <v>88</v>
      </c>
    </row>
    <row r="309" spans="1:14" x14ac:dyDescent="0.3">
      <c r="A309" t="s">
        <v>370</v>
      </c>
      <c r="B309" s="1">
        <v>45835</v>
      </c>
      <c r="C309" t="s">
        <v>52</v>
      </c>
      <c r="D309" t="s">
        <v>25</v>
      </c>
      <c r="E309" t="s">
        <v>49</v>
      </c>
      <c r="F309" t="s">
        <v>53</v>
      </c>
      <c r="G309">
        <v>1</v>
      </c>
      <c r="H309">
        <v>375.22</v>
      </c>
      <c r="I309">
        <v>0.15</v>
      </c>
      <c r="J309">
        <v>318.94</v>
      </c>
      <c r="K309" t="s">
        <v>41</v>
      </c>
      <c r="L309" t="s">
        <v>20</v>
      </c>
      <c r="M309" t="s">
        <v>54</v>
      </c>
      <c r="N309" t="s">
        <v>22</v>
      </c>
    </row>
    <row r="310" spans="1:14" x14ac:dyDescent="0.3">
      <c r="A310" t="s">
        <v>371</v>
      </c>
      <c r="B310" s="1">
        <v>45666</v>
      </c>
      <c r="C310" t="s">
        <v>52</v>
      </c>
      <c r="D310" t="s">
        <v>16</v>
      </c>
      <c r="E310" t="s">
        <v>27</v>
      </c>
      <c r="F310" t="s">
        <v>68</v>
      </c>
      <c r="G310">
        <v>2</v>
      </c>
      <c r="H310">
        <v>4602.03</v>
      </c>
      <c r="I310">
        <v>0.21</v>
      </c>
      <c r="J310">
        <v>7271.21</v>
      </c>
      <c r="K310" t="s">
        <v>46</v>
      </c>
      <c r="L310" t="s">
        <v>29</v>
      </c>
      <c r="M310" t="s">
        <v>30</v>
      </c>
      <c r="N310" t="s">
        <v>22</v>
      </c>
    </row>
    <row r="311" spans="1:14" x14ac:dyDescent="0.3">
      <c r="A311" t="s">
        <v>372</v>
      </c>
      <c r="B311" s="1">
        <v>45826</v>
      </c>
      <c r="C311" t="s">
        <v>24</v>
      </c>
      <c r="D311" t="s">
        <v>16</v>
      </c>
      <c r="E311" t="s">
        <v>27</v>
      </c>
      <c r="F311" t="s">
        <v>68</v>
      </c>
      <c r="G311">
        <v>1</v>
      </c>
      <c r="H311">
        <v>1930.59</v>
      </c>
      <c r="I311">
        <v>0.24</v>
      </c>
      <c r="J311">
        <v>1467.25</v>
      </c>
      <c r="K311" t="s">
        <v>33</v>
      </c>
      <c r="L311" t="s">
        <v>34</v>
      </c>
      <c r="M311" t="s">
        <v>30</v>
      </c>
      <c r="N311" t="s">
        <v>22</v>
      </c>
    </row>
    <row r="312" spans="1:14" x14ac:dyDescent="0.3">
      <c r="A312" t="s">
        <v>373</v>
      </c>
      <c r="B312" s="1">
        <v>45724</v>
      </c>
      <c r="C312" t="s">
        <v>52</v>
      </c>
      <c r="D312" t="s">
        <v>39</v>
      </c>
      <c r="E312" t="s">
        <v>99</v>
      </c>
      <c r="F312" t="s">
        <v>100</v>
      </c>
      <c r="G312">
        <v>4</v>
      </c>
      <c r="H312">
        <v>3280.98</v>
      </c>
      <c r="I312">
        <v>0.04</v>
      </c>
      <c r="J312">
        <v>12598.96</v>
      </c>
      <c r="K312" t="s">
        <v>41</v>
      </c>
      <c r="L312" t="s">
        <v>29</v>
      </c>
      <c r="M312" t="s">
        <v>21</v>
      </c>
      <c r="N312" t="s">
        <v>22</v>
      </c>
    </row>
    <row r="313" spans="1:14" x14ac:dyDescent="0.3">
      <c r="A313" t="s">
        <v>374</v>
      </c>
      <c r="B313" s="1">
        <v>45673</v>
      </c>
      <c r="C313" t="s">
        <v>48</v>
      </c>
      <c r="D313" t="s">
        <v>25</v>
      </c>
      <c r="E313" t="s">
        <v>27</v>
      </c>
      <c r="F313" t="s">
        <v>68</v>
      </c>
      <c r="G313">
        <v>3</v>
      </c>
      <c r="H313">
        <v>724.01</v>
      </c>
      <c r="I313">
        <v>0.18</v>
      </c>
      <c r="J313">
        <v>1781.06</v>
      </c>
      <c r="K313" t="s">
        <v>46</v>
      </c>
      <c r="L313" t="s">
        <v>29</v>
      </c>
      <c r="M313" t="s">
        <v>21</v>
      </c>
      <c r="N313" t="s">
        <v>37</v>
      </c>
    </row>
    <row r="314" spans="1:14" x14ac:dyDescent="0.3">
      <c r="A314" t="s">
        <v>375</v>
      </c>
      <c r="B314" s="1">
        <v>45759</v>
      </c>
      <c r="C314" t="s">
        <v>52</v>
      </c>
      <c r="D314" t="s">
        <v>43</v>
      </c>
      <c r="E314" t="s">
        <v>27</v>
      </c>
      <c r="F314" t="s">
        <v>79</v>
      </c>
      <c r="G314">
        <v>5</v>
      </c>
      <c r="H314">
        <v>1182.3900000000001</v>
      </c>
      <c r="I314">
        <v>0.14000000000000001</v>
      </c>
      <c r="J314">
        <v>5084.28</v>
      </c>
      <c r="K314" t="s">
        <v>33</v>
      </c>
      <c r="L314" t="s">
        <v>34</v>
      </c>
      <c r="M314" t="s">
        <v>30</v>
      </c>
      <c r="N314" t="s">
        <v>22</v>
      </c>
    </row>
    <row r="315" spans="1:14" x14ac:dyDescent="0.3">
      <c r="A315" t="s">
        <v>376</v>
      </c>
      <c r="B315" s="1">
        <v>45706</v>
      </c>
      <c r="C315" t="s">
        <v>15</v>
      </c>
      <c r="D315" t="s">
        <v>39</v>
      </c>
      <c r="E315" t="s">
        <v>17</v>
      </c>
      <c r="F315" t="s">
        <v>44</v>
      </c>
      <c r="G315">
        <v>1</v>
      </c>
      <c r="H315">
        <v>4126.1400000000003</v>
      </c>
      <c r="I315">
        <v>0.17</v>
      </c>
      <c r="J315">
        <v>3424.7</v>
      </c>
      <c r="K315" t="s">
        <v>46</v>
      </c>
      <c r="L315" t="s">
        <v>20</v>
      </c>
      <c r="M315" t="s">
        <v>21</v>
      </c>
      <c r="N315" t="s">
        <v>22</v>
      </c>
    </row>
    <row r="316" spans="1:14" x14ac:dyDescent="0.3">
      <c r="A316" t="s">
        <v>377</v>
      </c>
      <c r="B316" s="1">
        <v>45714</v>
      </c>
      <c r="C316" t="s">
        <v>52</v>
      </c>
      <c r="D316" t="s">
        <v>25</v>
      </c>
      <c r="E316" t="s">
        <v>99</v>
      </c>
      <c r="F316" t="s">
        <v>100</v>
      </c>
      <c r="G316">
        <v>3</v>
      </c>
      <c r="H316">
        <v>3956.4</v>
      </c>
      <c r="I316">
        <v>0.18</v>
      </c>
      <c r="J316">
        <v>9732.74</v>
      </c>
      <c r="K316" t="s">
        <v>58</v>
      </c>
      <c r="L316" t="s">
        <v>34</v>
      </c>
      <c r="M316" t="s">
        <v>54</v>
      </c>
      <c r="N316" t="s">
        <v>22</v>
      </c>
    </row>
    <row r="317" spans="1:14" x14ac:dyDescent="0.3">
      <c r="A317" t="s">
        <v>378</v>
      </c>
      <c r="B317" s="1">
        <v>45789</v>
      </c>
      <c r="C317" t="s">
        <v>48</v>
      </c>
      <c r="D317" t="s">
        <v>43</v>
      </c>
      <c r="E317" t="s">
        <v>49</v>
      </c>
      <c r="F317" t="s">
        <v>73</v>
      </c>
      <c r="G317">
        <v>3</v>
      </c>
      <c r="H317">
        <v>2775.52</v>
      </c>
      <c r="I317">
        <v>0.03</v>
      </c>
      <c r="J317">
        <v>8076.76</v>
      </c>
      <c r="K317" t="s">
        <v>41</v>
      </c>
      <c r="L317" t="s">
        <v>34</v>
      </c>
      <c r="M317" t="s">
        <v>30</v>
      </c>
      <c r="N317" t="s">
        <v>22</v>
      </c>
    </row>
    <row r="318" spans="1:14" x14ac:dyDescent="0.3">
      <c r="A318" t="s">
        <v>379</v>
      </c>
      <c r="B318" s="1">
        <v>45754</v>
      </c>
      <c r="C318" t="s">
        <v>15</v>
      </c>
      <c r="D318" t="s">
        <v>25</v>
      </c>
      <c r="E318" t="s">
        <v>17</v>
      </c>
      <c r="F318" t="s">
        <v>18</v>
      </c>
      <c r="G318">
        <v>3</v>
      </c>
      <c r="H318">
        <v>4763.1400000000003</v>
      </c>
      <c r="I318">
        <v>0.02</v>
      </c>
      <c r="J318">
        <v>14003.63</v>
      </c>
      <c r="K318" t="s">
        <v>58</v>
      </c>
      <c r="L318" t="s">
        <v>34</v>
      </c>
      <c r="M318" t="s">
        <v>54</v>
      </c>
      <c r="N318" t="s">
        <v>22</v>
      </c>
    </row>
    <row r="319" spans="1:14" x14ac:dyDescent="0.3">
      <c r="A319" t="s">
        <v>380</v>
      </c>
      <c r="B319" s="1">
        <v>45701</v>
      </c>
      <c r="C319" t="s">
        <v>15</v>
      </c>
      <c r="D319" t="s">
        <v>43</v>
      </c>
      <c r="E319" t="s">
        <v>17</v>
      </c>
      <c r="F319" t="s">
        <v>18</v>
      </c>
      <c r="G319">
        <v>4</v>
      </c>
      <c r="H319">
        <v>3552.07</v>
      </c>
      <c r="I319">
        <v>0.11</v>
      </c>
      <c r="J319">
        <v>12645.37</v>
      </c>
      <c r="K319" t="s">
        <v>33</v>
      </c>
      <c r="L319" t="s">
        <v>29</v>
      </c>
      <c r="M319" t="s">
        <v>21</v>
      </c>
      <c r="N319" t="s">
        <v>22</v>
      </c>
    </row>
    <row r="320" spans="1:14" x14ac:dyDescent="0.3">
      <c r="A320" t="s">
        <v>381</v>
      </c>
      <c r="B320" s="1">
        <v>45764</v>
      </c>
      <c r="C320" t="s">
        <v>24</v>
      </c>
      <c r="D320" t="s">
        <v>39</v>
      </c>
      <c r="E320" t="s">
        <v>49</v>
      </c>
      <c r="F320" t="s">
        <v>73</v>
      </c>
      <c r="G320">
        <v>2</v>
      </c>
      <c r="H320">
        <v>4874.55</v>
      </c>
      <c r="I320">
        <v>0.1</v>
      </c>
      <c r="J320">
        <v>8774.19</v>
      </c>
      <c r="K320" t="s">
        <v>58</v>
      </c>
      <c r="L320" t="s">
        <v>34</v>
      </c>
      <c r="M320" t="s">
        <v>21</v>
      </c>
      <c r="N320" t="s">
        <v>22</v>
      </c>
    </row>
    <row r="321" spans="1:14" x14ac:dyDescent="0.3">
      <c r="A321" t="s">
        <v>382</v>
      </c>
      <c r="B321" s="1">
        <v>45685</v>
      </c>
      <c r="C321" t="s">
        <v>24</v>
      </c>
      <c r="D321" t="s">
        <v>39</v>
      </c>
      <c r="E321" t="s">
        <v>99</v>
      </c>
      <c r="F321" t="s">
        <v>100</v>
      </c>
      <c r="G321">
        <v>5</v>
      </c>
      <c r="H321">
        <v>2793.35</v>
      </c>
      <c r="I321">
        <v>0.12</v>
      </c>
      <c r="J321">
        <v>12290.74</v>
      </c>
      <c r="K321" t="s">
        <v>58</v>
      </c>
      <c r="L321" t="s">
        <v>34</v>
      </c>
      <c r="M321" t="s">
        <v>54</v>
      </c>
      <c r="N321" t="s">
        <v>22</v>
      </c>
    </row>
    <row r="322" spans="1:14" x14ac:dyDescent="0.3">
      <c r="A322" t="s">
        <v>383</v>
      </c>
      <c r="B322" s="1">
        <v>45800</v>
      </c>
      <c r="C322" t="s">
        <v>36</v>
      </c>
      <c r="D322" t="s">
        <v>16</v>
      </c>
      <c r="E322" t="s">
        <v>17</v>
      </c>
      <c r="F322" t="s">
        <v>32</v>
      </c>
      <c r="G322">
        <v>1</v>
      </c>
      <c r="H322">
        <v>226.1</v>
      </c>
      <c r="I322">
        <v>0.04</v>
      </c>
      <c r="J322">
        <v>217.06</v>
      </c>
      <c r="K322" t="s">
        <v>41</v>
      </c>
      <c r="L322" t="s">
        <v>20</v>
      </c>
      <c r="M322" t="s">
        <v>30</v>
      </c>
      <c r="N322" t="s">
        <v>22</v>
      </c>
    </row>
    <row r="323" spans="1:14" x14ac:dyDescent="0.3">
      <c r="A323" t="s">
        <v>384</v>
      </c>
      <c r="B323" s="1">
        <v>45841</v>
      </c>
      <c r="C323" t="s">
        <v>48</v>
      </c>
      <c r="D323" t="s">
        <v>39</v>
      </c>
      <c r="E323" t="s">
        <v>17</v>
      </c>
      <c r="F323" t="s">
        <v>32</v>
      </c>
      <c r="G323">
        <v>3</v>
      </c>
      <c r="H323">
        <v>546.57000000000005</v>
      </c>
      <c r="I323">
        <v>0.14000000000000001</v>
      </c>
      <c r="J323">
        <v>1410.15</v>
      </c>
      <c r="K323" t="s">
        <v>41</v>
      </c>
      <c r="L323" t="s">
        <v>34</v>
      </c>
      <c r="M323" t="s">
        <v>54</v>
      </c>
      <c r="N323" t="s">
        <v>37</v>
      </c>
    </row>
    <row r="324" spans="1:14" x14ac:dyDescent="0.3">
      <c r="A324" t="s">
        <v>385</v>
      </c>
      <c r="B324" s="1">
        <v>45831</v>
      </c>
      <c r="C324" t="s">
        <v>48</v>
      </c>
      <c r="D324" t="s">
        <v>16</v>
      </c>
      <c r="E324" t="s">
        <v>99</v>
      </c>
      <c r="F324" t="s">
        <v>100</v>
      </c>
      <c r="G324">
        <v>4</v>
      </c>
      <c r="H324">
        <v>2378.7800000000002</v>
      </c>
      <c r="I324">
        <v>0.06</v>
      </c>
      <c r="J324">
        <v>8944.2099999999991</v>
      </c>
      <c r="K324" t="s">
        <v>58</v>
      </c>
      <c r="L324" t="s">
        <v>34</v>
      </c>
      <c r="M324" t="s">
        <v>30</v>
      </c>
      <c r="N324" t="s">
        <v>22</v>
      </c>
    </row>
    <row r="325" spans="1:14" x14ac:dyDescent="0.3">
      <c r="A325" t="s">
        <v>386</v>
      </c>
      <c r="B325" s="1">
        <v>45770</v>
      </c>
      <c r="C325" t="s">
        <v>15</v>
      </c>
      <c r="D325" t="s">
        <v>25</v>
      </c>
      <c r="E325" t="s">
        <v>17</v>
      </c>
      <c r="F325" t="s">
        <v>18</v>
      </c>
      <c r="G325">
        <v>5</v>
      </c>
      <c r="H325">
        <v>1214.81</v>
      </c>
      <c r="I325">
        <v>0.02</v>
      </c>
      <c r="J325">
        <v>5952.57</v>
      </c>
      <c r="K325" t="s">
        <v>33</v>
      </c>
      <c r="L325" t="s">
        <v>34</v>
      </c>
      <c r="M325" t="s">
        <v>30</v>
      </c>
      <c r="N325" t="s">
        <v>59</v>
      </c>
    </row>
    <row r="326" spans="1:14" x14ac:dyDescent="0.3">
      <c r="A326" t="s">
        <v>387</v>
      </c>
      <c r="B326" s="1">
        <v>45771</v>
      </c>
      <c r="C326" t="s">
        <v>48</v>
      </c>
      <c r="D326" t="s">
        <v>43</v>
      </c>
      <c r="E326" t="s">
        <v>49</v>
      </c>
      <c r="F326" t="s">
        <v>73</v>
      </c>
      <c r="G326">
        <v>4</v>
      </c>
      <c r="H326">
        <v>4523.6099999999997</v>
      </c>
      <c r="I326">
        <v>0.18</v>
      </c>
      <c r="J326">
        <v>14837.44</v>
      </c>
      <c r="K326" t="s">
        <v>46</v>
      </c>
      <c r="L326" t="s">
        <v>20</v>
      </c>
      <c r="M326" t="s">
        <v>21</v>
      </c>
      <c r="N326" t="s">
        <v>22</v>
      </c>
    </row>
    <row r="327" spans="1:14" x14ac:dyDescent="0.3">
      <c r="A327" t="s">
        <v>388</v>
      </c>
      <c r="B327" s="1">
        <v>45751</v>
      </c>
      <c r="C327" t="s">
        <v>52</v>
      </c>
      <c r="D327" t="s">
        <v>25</v>
      </c>
      <c r="E327" t="s">
        <v>49</v>
      </c>
      <c r="F327" t="s">
        <v>73</v>
      </c>
      <c r="G327">
        <v>2</v>
      </c>
      <c r="H327">
        <v>309.11</v>
      </c>
      <c r="I327">
        <v>0.02</v>
      </c>
      <c r="J327">
        <v>605.86</v>
      </c>
      <c r="K327" t="s">
        <v>19</v>
      </c>
      <c r="L327" t="s">
        <v>20</v>
      </c>
      <c r="M327" t="s">
        <v>21</v>
      </c>
      <c r="N327" t="s">
        <v>22</v>
      </c>
    </row>
    <row r="328" spans="1:14" x14ac:dyDescent="0.3">
      <c r="A328" t="s">
        <v>389</v>
      </c>
      <c r="B328" s="1">
        <v>45707</v>
      </c>
      <c r="C328" t="s">
        <v>15</v>
      </c>
      <c r="D328" t="s">
        <v>25</v>
      </c>
      <c r="E328" t="s">
        <v>61</v>
      </c>
      <c r="F328" t="s">
        <v>66</v>
      </c>
      <c r="G328">
        <v>4</v>
      </c>
      <c r="H328">
        <v>2826.18</v>
      </c>
      <c r="I328">
        <v>0.14000000000000001</v>
      </c>
      <c r="J328">
        <v>9722.06</v>
      </c>
      <c r="K328" t="s">
        <v>58</v>
      </c>
      <c r="L328" t="s">
        <v>20</v>
      </c>
      <c r="M328" t="s">
        <v>30</v>
      </c>
      <c r="N328" t="s">
        <v>37</v>
      </c>
    </row>
    <row r="329" spans="1:14" x14ac:dyDescent="0.3">
      <c r="A329" t="s">
        <v>390</v>
      </c>
      <c r="B329" s="1">
        <v>45812</v>
      </c>
      <c r="C329" t="s">
        <v>24</v>
      </c>
      <c r="D329" t="s">
        <v>16</v>
      </c>
      <c r="E329" t="s">
        <v>17</v>
      </c>
      <c r="F329" t="s">
        <v>40</v>
      </c>
      <c r="G329">
        <v>2</v>
      </c>
      <c r="H329">
        <v>2876.31</v>
      </c>
      <c r="I329">
        <v>0.15</v>
      </c>
      <c r="J329">
        <v>4889.7299999999996</v>
      </c>
      <c r="K329" t="s">
        <v>41</v>
      </c>
      <c r="L329" t="s">
        <v>20</v>
      </c>
      <c r="M329" t="s">
        <v>54</v>
      </c>
      <c r="N329" t="s">
        <v>22</v>
      </c>
    </row>
    <row r="330" spans="1:14" x14ac:dyDescent="0.3">
      <c r="A330" t="s">
        <v>391</v>
      </c>
      <c r="B330" s="1">
        <v>45751</v>
      </c>
      <c r="C330" t="s">
        <v>36</v>
      </c>
      <c r="D330" t="s">
        <v>25</v>
      </c>
      <c r="E330" t="s">
        <v>17</v>
      </c>
      <c r="F330" t="s">
        <v>32</v>
      </c>
      <c r="G330">
        <v>3</v>
      </c>
      <c r="H330">
        <v>1976.91</v>
      </c>
      <c r="I330">
        <v>0.12</v>
      </c>
      <c r="J330">
        <v>5219.04</v>
      </c>
      <c r="K330" t="s">
        <v>46</v>
      </c>
      <c r="L330" t="s">
        <v>34</v>
      </c>
      <c r="M330" t="s">
        <v>21</v>
      </c>
      <c r="N330" t="s">
        <v>22</v>
      </c>
    </row>
    <row r="331" spans="1:14" x14ac:dyDescent="0.3">
      <c r="A331" t="s">
        <v>392</v>
      </c>
      <c r="B331" s="1">
        <v>45816</v>
      </c>
      <c r="C331" t="s">
        <v>52</v>
      </c>
      <c r="D331" t="s">
        <v>43</v>
      </c>
      <c r="E331" t="s">
        <v>99</v>
      </c>
      <c r="F331" t="s">
        <v>115</v>
      </c>
      <c r="G331">
        <v>4</v>
      </c>
      <c r="H331">
        <v>290.02999999999997</v>
      </c>
      <c r="I331">
        <v>0.22</v>
      </c>
      <c r="J331">
        <v>904.89</v>
      </c>
      <c r="K331" t="s">
        <v>33</v>
      </c>
      <c r="L331" t="s">
        <v>29</v>
      </c>
      <c r="M331" t="s">
        <v>30</v>
      </c>
      <c r="N331" t="s">
        <v>22</v>
      </c>
    </row>
    <row r="332" spans="1:14" x14ac:dyDescent="0.3">
      <c r="A332" t="s">
        <v>393</v>
      </c>
      <c r="B332" s="1">
        <v>45739</v>
      </c>
      <c r="C332" t="s">
        <v>15</v>
      </c>
      <c r="D332" t="s">
        <v>16</v>
      </c>
      <c r="E332" t="s">
        <v>49</v>
      </c>
      <c r="F332" t="s">
        <v>53</v>
      </c>
      <c r="G332">
        <v>3</v>
      </c>
      <c r="H332">
        <v>1623.65</v>
      </c>
      <c r="I332">
        <v>0.21</v>
      </c>
      <c r="J332">
        <v>3848.05</v>
      </c>
      <c r="K332" t="s">
        <v>58</v>
      </c>
      <c r="L332" t="s">
        <v>34</v>
      </c>
      <c r="M332" t="s">
        <v>21</v>
      </c>
      <c r="N332" t="s">
        <v>59</v>
      </c>
    </row>
    <row r="333" spans="1:14" x14ac:dyDescent="0.3">
      <c r="A333" t="s">
        <v>394</v>
      </c>
      <c r="B333" s="1">
        <v>45696</v>
      </c>
      <c r="C333" t="s">
        <v>15</v>
      </c>
      <c r="D333" t="s">
        <v>43</v>
      </c>
      <c r="E333" t="s">
        <v>61</v>
      </c>
      <c r="F333" t="s">
        <v>75</v>
      </c>
      <c r="G333">
        <v>3</v>
      </c>
      <c r="H333">
        <v>3671.12</v>
      </c>
      <c r="I333">
        <v>0.15</v>
      </c>
      <c r="J333">
        <v>9361.36</v>
      </c>
      <c r="K333" t="s">
        <v>41</v>
      </c>
      <c r="L333" t="s">
        <v>34</v>
      </c>
      <c r="M333" t="s">
        <v>54</v>
      </c>
      <c r="N333" t="s">
        <v>22</v>
      </c>
    </row>
    <row r="334" spans="1:14" x14ac:dyDescent="0.3">
      <c r="A334" t="s">
        <v>395</v>
      </c>
      <c r="B334" s="1">
        <v>45678</v>
      </c>
      <c r="C334" t="s">
        <v>36</v>
      </c>
      <c r="D334" t="s">
        <v>25</v>
      </c>
      <c r="E334" t="s">
        <v>49</v>
      </c>
      <c r="F334" t="s">
        <v>50</v>
      </c>
      <c r="G334">
        <v>5</v>
      </c>
      <c r="H334">
        <v>3978.3</v>
      </c>
      <c r="I334">
        <v>0.02</v>
      </c>
      <c r="J334">
        <v>19493.669999999998</v>
      </c>
      <c r="K334" t="s">
        <v>46</v>
      </c>
      <c r="L334" t="s">
        <v>20</v>
      </c>
      <c r="M334" t="s">
        <v>21</v>
      </c>
      <c r="N334" t="s">
        <v>22</v>
      </c>
    </row>
    <row r="335" spans="1:14" x14ac:dyDescent="0.3">
      <c r="A335" t="s">
        <v>396</v>
      </c>
      <c r="B335" s="1">
        <v>45678</v>
      </c>
      <c r="C335" t="s">
        <v>52</v>
      </c>
      <c r="D335" t="s">
        <v>43</v>
      </c>
      <c r="E335" t="s">
        <v>27</v>
      </c>
      <c r="F335" t="s">
        <v>79</v>
      </c>
      <c r="G335">
        <v>1</v>
      </c>
      <c r="H335">
        <v>1322.5</v>
      </c>
      <c r="I335">
        <v>0.11</v>
      </c>
      <c r="J335">
        <v>1177.03</v>
      </c>
      <c r="K335" t="s">
        <v>19</v>
      </c>
      <c r="L335" t="s">
        <v>20</v>
      </c>
      <c r="M335" t="s">
        <v>30</v>
      </c>
      <c r="N335" t="s">
        <v>22</v>
      </c>
    </row>
    <row r="336" spans="1:14" x14ac:dyDescent="0.3">
      <c r="A336" t="s">
        <v>397</v>
      </c>
      <c r="B336" s="1">
        <v>45787</v>
      </c>
      <c r="C336" t="s">
        <v>24</v>
      </c>
      <c r="D336" t="s">
        <v>39</v>
      </c>
      <c r="E336" t="s">
        <v>49</v>
      </c>
      <c r="F336" t="s">
        <v>50</v>
      </c>
      <c r="G336">
        <v>3</v>
      </c>
      <c r="H336">
        <v>2495.06</v>
      </c>
      <c r="I336">
        <v>0.11</v>
      </c>
      <c r="J336">
        <v>6661.81</v>
      </c>
      <c r="K336" t="s">
        <v>58</v>
      </c>
      <c r="L336" t="s">
        <v>20</v>
      </c>
      <c r="M336" t="s">
        <v>30</v>
      </c>
      <c r="N336" t="s">
        <v>22</v>
      </c>
    </row>
    <row r="337" spans="1:14" x14ac:dyDescent="0.3">
      <c r="A337" t="s">
        <v>398</v>
      </c>
      <c r="B337" s="1">
        <v>45743</v>
      </c>
      <c r="C337" t="s">
        <v>15</v>
      </c>
      <c r="D337" t="s">
        <v>43</v>
      </c>
      <c r="E337" t="s">
        <v>99</v>
      </c>
      <c r="F337" t="s">
        <v>120</v>
      </c>
      <c r="G337">
        <v>1</v>
      </c>
      <c r="H337">
        <v>898.25</v>
      </c>
      <c r="I337">
        <v>0.14000000000000001</v>
      </c>
      <c r="J337">
        <v>772.5</v>
      </c>
      <c r="K337" t="s">
        <v>58</v>
      </c>
      <c r="L337" t="s">
        <v>34</v>
      </c>
      <c r="M337" t="s">
        <v>54</v>
      </c>
      <c r="N337" t="s">
        <v>22</v>
      </c>
    </row>
    <row r="338" spans="1:14" x14ac:dyDescent="0.3">
      <c r="A338" t="s">
        <v>399</v>
      </c>
      <c r="B338" s="1">
        <v>45728</v>
      </c>
      <c r="C338" t="s">
        <v>48</v>
      </c>
      <c r="D338" t="s">
        <v>16</v>
      </c>
      <c r="E338" t="s">
        <v>61</v>
      </c>
      <c r="F338" t="s">
        <v>66</v>
      </c>
      <c r="G338">
        <v>1</v>
      </c>
      <c r="H338">
        <v>2423.08</v>
      </c>
      <c r="I338">
        <v>0.03</v>
      </c>
      <c r="J338">
        <v>2350.39</v>
      </c>
      <c r="K338" t="s">
        <v>33</v>
      </c>
      <c r="L338" t="s">
        <v>20</v>
      </c>
      <c r="M338" t="s">
        <v>54</v>
      </c>
      <c r="N338" t="s">
        <v>22</v>
      </c>
    </row>
    <row r="339" spans="1:14" x14ac:dyDescent="0.3">
      <c r="A339" t="s">
        <v>400</v>
      </c>
      <c r="B339" s="1">
        <v>45742</v>
      </c>
      <c r="C339" t="s">
        <v>15</v>
      </c>
      <c r="D339" t="s">
        <v>25</v>
      </c>
      <c r="E339" t="s">
        <v>27</v>
      </c>
      <c r="F339" t="s">
        <v>28</v>
      </c>
      <c r="G339">
        <v>3</v>
      </c>
      <c r="H339">
        <v>2349.09</v>
      </c>
      <c r="I339">
        <v>0.05</v>
      </c>
      <c r="J339">
        <v>6694.91</v>
      </c>
      <c r="K339" t="s">
        <v>41</v>
      </c>
      <c r="L339" t="s">
        <v>34</v>
      </c>
      <c r="M339" t="s">
        <v>30</v>
      </c>
      <c r="N339" t="s">
        <v>22</v>
      </c>
    </row>
    <row r="340" spans="1:14" x14ac:dyDescent="0.3">
      <c r="A340" t="s">
        <v>401</v>
      </c>
      <c r="B340" s="1">
        <v>45739</v>
      </c>
      <c r="C340" t="s">
        <v>36</v>
      </c>
      <c r="D340" t="s">
        <v>39</v>
      </c>
      <c r="E340" t="s">
        <v>17</v>
      </c>
      <c r="F340" t="s">
        <v>32</v>
      </c>
      <c r="G340">
        <v>3</v>
      </c>
      <c r="H340">
        <v>1562.53</v>
      </c>
      <c r="I340">
        <v>0.03</v>
      </c>
      <c r="J340">
        <v>4546.96</v>
      </c>
      <c r="K340" t="s">
        <v>33</v>
      </c>
      <c r="L340" t="s">
        <v>29</v>
      </c>
      <c r="M340" t="s">
        <v>54</v>
      </c>
      <c r="N340" t="s">
        <v>59</v>
      </c>
    </row>
    <row r="341" spans="1:14" x14ac:dyDescent="0.3">
      <c r="A341" t="s">
        <v>402</v>
      </c>
      <c r="B341" s="1">
        <v>45750</v>
      </c>
      <c r="C341" t="s">
        <v>15</v>
      </c>
      <c r="D341" t="s">
        <v>25</v>
      </c>
      <c r="E341" t="s">
        <v>99</v>
      </c>
      <c r="F341" t="s">
        <v>111</v>
      </c>
      <c r="G341">
        <v>2</v>
      </c>
      <c r="H341">
        <v>2634.74</v>
      </c>
      <c r="I341">
        <v>0.06</v>
      </c>
      <c r="J341">
        <v>4953.3100000000004</v>
      </c>
      <c r="K341" t="s">
        <v>46</v>
      </c>
      <c r="L341" t="s">
        <v>20</v>
      </c>
      <c r="M341" t="s">
        <v>54</v>
      </c>
      <c r="N341" t="s">
        <v>22</v>
      </c>
    </row>
    <row r="342" spans="1:14" x14ac:dyDescent="0.3">
      <c r="A342" t="s">
        <v>403</v>
      </c>
      <c r="B342" s="1">
        <v>45827</v>
      </c>
      <c r="C342" t="s">
        <v>48</v>
      </c>
      <c r="D342" t="s">
        <v>43</v>
      </c>
      <c r="E342" t="s">
        <v>61</v>
      </c>
      <c r="F342" t="s">
        <v>62</v>
      </c>
      <c r="G342">
        <v>4</v>
      </c>
      <c r="H342">
        <v>2082.5300000000002</v>
      </c>
      <c r="I342">
        <v>0.18</v>
      </c>
      <c r="J342">
        <v>6830.7</v>
      </c>
      <c r="K342" t="s">
        <v>46</v>
      </c>
      <c r="L342" t="s">
        <v>34</v>
      </c>
      <c r="M342" t="s">
        <v>21</v>
      </c>
      <c r="N342" t="s">
        <v>22</v>
      </c>
    </row>
    <row r="343" spans="1:14" x14ac:dyDescent="0.3">
      <c r="A343" t="s">
        <v>404</v>
      </c>
      <c r="B343" s="1">
        <v>45801</v>
      </c>
      <c r="C343" t="s">
        <v>15</v>
      </c>
      <c r="D343" t="s">
        <v>39</v>
      </c>
      <c r="E343" t="s">
        <v>61</v>
      </c>
      <c r="F343" t="s">
        <v>92</v>
      </c>
      <c r="G343">
        <v>2</v>
      </c>
      <c r="H343">
        <v>4219.13</v>
      </c>
      <c r="I343">
        <v>0.22</v>
      </c>
      <c r="J343">
        <v>6581.84</v>
      </c>
      <c r="K343" t="s">
        <v>33</v>
      </c>
      <c r="L343" t="s">
        <v>34</v>
      </c>
      <c r="M343" t="s">
        <v>54</v>
      </c>
      <c r="N343" t="s">
        <v>22</v>
      </c>
    </row>
    <row r="344" spans="1:14" x14ac:dyDescent="0.3">
      <c r="A344" t="s">
        <v>405</v>
      </c>
      <c r="B344" s="1">
        <v>45670</v>
      </c>
      <c r="C344" t="s">
        <v>36</v>
      </c>
      <c r="D344" t="s">
        <v>39</v>
      </c>
      <c r="E344" t="s">
        <v>61</v>
      </c>
      <c r="F344" t="s">
        <v>66</v>
      </c>
      <c r="G344">
        <v>3</v>
      </c>
      <c r="H344">
        <v>3306.73</v>
      </c>
      <c r="I344">
        <v>0.06</v>
      </c>
      <c r="J344">
        <v>9324.98</v>
      </c>
      <c r="K344" t="s">
        <v>19</v>
      </c>
      <c r="L344" t="s">
        <v>29</v>
      </c>
      <c r="M344" t="s">
        <v>54</v>
      </c>
      <c r="N344" t="s">
        <v>22</v>
      </c>
    </row>
    <row r="345" spans="1:14" x14ac:dyDescent="0.3">
      <c r="A345" t="s">
        <v>406</v>
      </c>
      <c r="B345" s="1">
        <v>45790</v>
      </c>
      <c r="C345" t="s">
        <v>15</v>
      </c>
      <c r="D345" t="s">
        <v>16</v>
      </c>
      <c r="E345" t="s">
        <v>99</v>
      </c>
      <c r="F345" t="s">
        <v>111</v>
      </c>
      <c r="G345">
        <v>4</v>
      </c>
      <c r="H345">
        <v>4270.95</v>
      </c>
      <c r="I345">
        <v>0.12</v>
      </c>
      <c r="J345">
        <v>15033.74</v>
      </c>
      <c r="K345" t="s">
        <v>33</v>
      </c>
      <c r="L345" t="s">
        <v>34</v>
      </c>
      <c r="M345" t="s">
        <v>21</v>
      </c>
      <c r="N345" t="s">
        <v>22</v>
      </c>
    </row>
    <row r="346" spans="1:14" x14ac:dyDescent="0.3">
      <c r="A346" t="s">
        <v>407</v>
      </c>
      <c r="B346" s="1">
        <v>45786</v>
      </c>
      <c r="C346" t="s">
        <v>48</v>
      </c>
      <c r="D346" t="s">
        <v>43</v>
      </c>
      <c r="E346" t="s">
        <v>61</v>
      </c>
      <c r="F346" t="s">
        <v>62</v>
      </c>
      <c r="G346">
        <v>4</v>
      </c>
      <c r="H346">
        <v>364.9</v>
      </c>
      <c r="I346">
        <v>0.21</v>
      </c>
      <c r="J346">
        <v>1153.08</v>
      </c>
      <c r="K346" t="s">
        <v>33</v>
      </c>
      <c r="L346" t="s">
        <v>34</v>
      </c>
      <c r="M346" t="s">
        <v>54</v>
      </c>
      <c r="N346" t="s">
        <v>22</v>
      </c>
    </row>
    <row r="347" spans="1:14" x14ac:dyDescent="0.3">
      <c r="A347" t="s">
        <v>408</v>
      </c>
      <c r="B347" s="1">
        <v>45785</v>
      </c>
      <c r="C347" t="s">
        <v>52</v>
      </c>
      <c r="D347" t="s">
        <v>43</v>
      </c>
      <c r="E347" t="s">
        <v>27</v>
      </c>
      <c r="F347" t="s">
        <v>87</v>
      </c>
      <c r="G347">
        <v>2</v>
      </c>
      <c r="H347">
        <v>3916.81</v>
      </c>
      <c r="I347">
        <v>0.12</v>
      </c>
      <c r="J347">
        <v>6893.59</v>
      </c>
      <c r="K347" t="s">
        <v>46</v>
      </c>
      <c r="L347" t="s">
        <v>29</v>
      </c>
      <c r="M347" t="s">
        <v>21</v>
      </c>
      <c r="N347" t="s">
        <v>22</v>
      </c>
    </row>
    <row r="348" spans="1:14" x14ac:dyDescent="0.3">
      <c r="A348" t="s">
        <v>409</v>
      </c>
      <c r="B348" s="1">
        <v>45679</v>
      </c>
      <c r="C348" t="s">
        <v>48</v>
      </c>
      <c r="D348" t="s">
        <v>43</v>
      </c>
      <c r="E348" t="s">
        <v>17</v>
      </c>
      <c r="F348" t="s">
        <v>18</v>
      </c>
      <c r="G348">
        <v>2</v>
      </c>
      <c r="H348">
        <v>2923.77</v>
      </c>
      <c r="I348">
        <v>0.04</v>
      </c>
      <c r="J348">
        <v>5613.64</v>
      </c>
      <c r="K348" t="s">
        <v>46</v>
      </c>
      <c r="L348" t="s">
        <v>20</v>
      </c>
      <c r="M348" t="s">
        <v>54</v>
      </c>
      <c r="N348" t="s">
        <v>22</v>
      </c>
    </row>
    <row r="349" spans="1:14" x14ac:dyDescent="0.3">
      <c r="A349" t="s">
        <v>410</v>
      </c>
      <c r="B349" s="1">
        <v>45671</v>
      </c>
      <c r="C349" t="s">
        <v>48</v>
      </c>
      <c r="D349" t="s">
        <v>16</v>
      </c>
      <c r="E349" t="s">
        <v>49</v>
      </c>
      <c r="F349" t="s">
        <v>50</v>
      </c>
      <c r="G349">
        <v>1</v>
      </c>
      <c r="H349">
        <v>284.85000000000002</v>
      </c>
      <c r="I349">
        <v>0.05</v>
      </c>
      <c r="J349">
        <v>270.61</v>
      </c>
      <c r="K349" t="s">
        <v>41</v>
      </c>
      <c r="L349" t="s">
        <v>34</v>
      </c>
      <c r="M349" t="s">
        <v>30</v>
      </c>
      <c r="N349" t="s">
        <v>37</v>
      </c>
    </row>
    <row r="350" spans="1:14" x14ac:dyDescent="0.3">
      <c r="A350" t="s">
        <v>411</v>
      </c>
      <c r="B350" s="1">
        <v>45738</v>
      </c>
      <c r="C350" t="s">
        <v>24</v>
      </c>
      <c r="D350" t="s">
        <v>43</v>
      </c>
      <c r="E350" t="s">
        <v>27</v>
      </c>
      <c r="F350" t="s">
        <v>68</v>
      </c>
      <c r="G350">
        <v>2</v>
      </c>
      <c r="H350">
        <v>1208.7</v>
      </c>
      <c r="I350">
        <v>0.22</v>
      </c>
      <c r="J350">
        <v>1885.57</v>
      </c>
      <c r="K350" t="s">
        <v>58</v>
      </c>
      <c r="L350" t="s">
        <v>29</v>
      </c>
      <c r="M350" t="s">
        <v>30</v>
      </c>
      <c r="N350" t="s">
        <v>22</v>
      </c>
    </row>
    <row r="351" spans="1:14" x14ac:dyDescent="0.3">
      <c r="A351" t="s">
        <v>412</v>
      </c>
      <c r="B351" s="1">
        <v>45801</v>
      </c>
      <c r="C351" t="s">
        <v>52</v>
      </c>
      <c r="D351" t="s">
        <v>39</v>
      </c>
      <c r="E351" t="s">
        <v>27</v>
      </c>
      <c r="F351" t="s">
        <v>28</v>
      </c>
      <c r="G351">
        <v>3</v>
      </c>
      <c r="H351">
        <v>4747.47</v>
      </c>
      <c r="I351">
        <v>0.11</v>
      </c>
      <c r="J351">
        <v>12675.74</v>
      </c>
      <c r="K351" t="s">
        <v>58</v>
      </c>
      <c r="L351" t="s">
        <v>20</v>
      </c>
      <c r="M351" t="s">
        <v>21</v>
      </c>
      <c r="N351" t="s">
        <v>22</v>
      </c>
    </row>
    <row r="352" spans="1:14" x14ac:dyDescent="0.3">
      <c r="A352" t="s">
        <v>413</v>
      </c>
      <c r="B352" s="1">
        <v>45725</v>
      </c>
      <c r="C352" t="s">
        <v>48</v>
      </c>
      <c r="D352" t="s">
        <v>16</v>
      </c>
      <c r="E352" t="s">
        <v>61</v>
      </c>
      <c r="F352" t="s">
        <v>66</v>
      </c>
      <c r="G352">
        <v>2</v>
      </c>
      <c r="H352">
        <v>4745.6099999999997</v>
      </c>
      <c r="I352">
        <v>0.23</v>
      </c>
      <c r="J352">
        <v>7308.24</v>
      </c>
      <c r="K352" t="s">
        <v>46</v>
      </c>
      <c r="L352" t="s">
        <v>20</v>
      </c>
      <c r="M352" t="s">
        <v>30</v>
      </c>
      <c r="N352" t="s">
        <v>22</v>
      </c>
    </row>
    <row r="353" spans="1:14" x14ac:dyDescent="0.3">
      <c r="A353" t="s">
        <v>414</v>
      </c>
      <c r="B353" s="1">
        <v>45815</v>
      </c>
      <c r="C353" t="s">
        <v>24</v>
      </c>
      <c r="D353" t="s">
        <v>25</v>
      </c>
      <c r="E353" t="s">
        <v>61</v>
      </c>
      <c r="F353" t="s">
        <v>75</v>
      </c>
      <c r="G353">
        <v>2</v>
      </c>
      <c r="H353">
        <v>703.49</v>
      </c>
      <c r="I353">
        <v>0.18</v>
      </c>
      <c r="J353">
        <v>1153.72</v>
      </c>
      <c r="K353" t="s">
        <v>33</v>
      </c>
      <c r="L353" t="s">
        <v>29</v>
      </c>
      <c r="M353" t="s">
        <v>54</v>
      </c>
      <c r="N353" t="s">
        <v>37</v>
      </c>
    </row>
    <row r="354" spans="1:14" x14ac:dyDescent="0.3">
      <c r="A354" t="s">
        <v>415</v>
      </c>
      <c r="B354" s="1">
        <v>45827</v>
      </c>
      <c r="C354" t="s">
        <v>36</v>
      </c>
      <c r="D354" t="s">
        <v>16</v>
      </c>
      <c r="E354" t="s">
        <v>99</v>
      </c>
      <c r="F354" t="s">
        <v>120</v>
      </c>
      <c r="G354">
        <v>1</v>
      </c>
      <c r="H354">
        <v>3302.48</v>
      </c>
      <c r="I354">
        <v>0</v>
      </c>
      <c r="J354">
        <v>3302.48</v>
      </c>
      <c r="K354" t="s">
        <v>58</v>
      </c>
      <c r="L354" t="s">
        <v>29</v>
      </c>
      <c r="M354" t="s">
        <v>21</v>
      </c>
      <c r="N354" t="s">
        <v>22</v>
      </c>
    </row>
    <row r="355" spans="1:14" x14ac:dyDescent="0.3">
      <c r="A355" t="s">
        <v>416</v>
      </c>
      <c r="B355" s="1">
        <v>45681</v>
      </c>
      <c r="C355" t="s">
        <v>36</v>
      </c>
      <c r="D355" t="s">
        <v>39</v>
      </c>
      <c r="E355" t="s">
        <v>49</v>
      </c>
      <c r="F355" t="s">
        <v>56</v>
      </c>
      <c r="G355">
        <v>2</v>
      </c>
      <c r="H355">
        <v>1106.93</v>
      </c>
      <c r="I355">
        <v>0.17</v>
      </c>
      <c r="J355">
        <v>1837.5</v>
      </c>
      <c r="K355" t="s">
        <v>46</v>
      </c>
      <c r="L355" t="s">
        <v>34</v>
      </c>
      <c r="M355" t="s">
        <v>54</v>
      </c>
      <c r="N355" t="s">
        <v>22</v>
      </c>
    </row>
    <row r="356" spans="1:14" x14ac:dyDescent="0.3">
      <c r="A356" t="s">
        <v>417</v>
      </c>
      <c r="B356" s="1">
        <v>45708</v>
      </c>
      <c r="C356" t="s">
        <v>36</v>
      </c>
      <c r="D356" t="s">
        <v>16</v>
      </c>
      <c r="E356" t="s">
        <v>17</v>
      </c>
      <c r="F356" t="s">
        <v>32</v>
      </c>
      <c r="G356">
        <v>2</v>
      </c>
      <c r="H356">
        <v>2152.25</v>
      </c>
      <c r="I356">
        <v>0.22</v>
      </c>
      <c r="J356">
        <v>3357.51</v>
      </c>
      <c r="K356" t="s">
        <v>33</v>
      </c>
      <c r="L356" t="s">
        <v>29</v>
      </c>
      <c r="M356" t="s">
        <v>21</v>
      </c>
      <c r="N356" t="s">
        <v>22</v>
      </c>
    </row>
    <row r="357" spans="1:14" x14ac:dyDescent="0.3">
      <c r="A357" t="s">
        <v>418</v>
      </c>
      <c r="B357" s="1">
        <v>45697</v>
      </c>
      <c r="C357" t="s">
        <v>52</v>
      </c>
      <c r="D357" t="s">
        <v>25</v>
      </c>
      <c r="E357" t="s">
        <v>17</v>
      </c>
      <c r="F357" t="s">
        <v>40</v>
      </c>
      <c r="G357">
        <v>3</v>
      </c>
      <c r="H357">
        <v>4174.34</v>
      </c>
      <c r="I357">
        <v>0.24</v>
      </c>
      <c r="J357">
        <v>9517.5</v>
      </c>
      <c r="K357" t="s">
        <v>33</v>
      </c>
      <c r="L357" t="s">
        <v>20</v>
      </c>
      <c r="M357" t="s">
        <v>30</v>
      </c>
      <c r="N357" t="s">
        <v>22</v>
      </c>
    </row>
    <row r="358" spans="1:14" x14ac:dyDescent="0.3">
      <c r="A358" t="s">
        <v>419</v>
      </c>
      <c r="B358" s="1">
        <v>45696</v>
      </c>
      <c r="C358" t="s">
        <v>52</v>
      </c>
      <c r="D358" t="s">
        <v>25</v>
      </c>
      <c r="E358" t="s">
        <v>17</v>
      </c>
      <c r="F358" t="s">
        <v>40</v>
      </c>
      <c r="G358">
        <v>2</v>
      </c>
      <c r="H358">
        <v>113.42</v>
      </c>
      <c r="I358">
        <v>0.17</v>
      </c>
      <c r="J358">
        <v>188.28</v>
      </c>
      <c r="K358" t="s">
        <v>41</v>
      </c>
      <c r="L358" t="s">
        <v>34</v>
      </c>
      <c r="M358" t="s">
        <v>54</v>
      </c>
      <c r="N358" t="s">
        <v>22</v>
      </c>
    </row>
    <row r="359" spans="1:14" x14ac:dyDescent="0.3">
      <c r="A359" t="s">
        <v>420</v>
      </c>
      <c r="B359" s="1">
        <v>45764</v>
      </c>
      <c r="C359" t="s">
        <v>24</v>
      </c>
      <c r="D359" t="s">
        <v>25</v>
      </c>
      <c r="E359" t="s">
        <v>17</v>
      </c>
      <c r="F359" t="s">
        <v>18</v>
      </c>
      <c r="G359">
        <v>2</v>
      </c>
      <c r="H359">
        <v>2338.08</v>
      </c>
      <c r="I359">
        <v>0.24</v>
      </c>
      <c r="J359">
        <v>3553.88</v>
      </c>
      <c r="K359" t="s">
        <v>46</v>
      </c>
      <c r="L359" t="s">
        <v>29</v>
      </c>
      <c r="M359" t="s">
        <v>30</v>
      </c>
      <c r="N359" t="s">
        <v>22</v>
      </c>
    </row>
    <row r="360" spans="1:14" x14ac:dyDescent="0.3">
      <c r="A360" t="s">
        <v>421</v>
      </c>
      <c r="B360" s="1">
        <v>45747</v>
      </c>
      <c r="C360" t="s">
        <v>15</v>
      </c>
      <c r="D360" t="s">
        <v>16</v>
      </c>
      <c r="E360" t="s">
        <v>61</v>
      </c>
      <c r="F360" t="s">
        <v>62</v>
      </c>
      <c r="G360">
        <v>3</v>
      </c>
      <c r="H360">
        <v>2187.38</v>
      </c>
      <c r="I360">
        <v>0.03</v>
      </c>
      <c r="J360">
        <v>6365.28</v>
      </c>
      <c r="K360" t="s">
        <v>46</v>
      </c>
      <c r="L360" t="s">
        <v>29</v>
      </c>
      <c r="M360" t="s">
        <v>54</v>
      </c>
      <c r="N360" t="s">
        <v>37</v>
      </c>
    </row>
    <row r="361" spans="1:14" x14ac:dyDescent="0.3">
      <c r="A361" t="s">
        <v>422</v>
      </c>
      <c r="B361" s="1">
        <v>45687</v>
      </c>
      <c r="C361" t="s">
        <v>15</v>
      </c>
      <c r="D361" t="s">
        <v>43</v>
      </c>
      <c r="E361" t="s">
        <v>61</v>
      </c>
      <c r="F361" t="s">
        <v>66</v>
      </c>
      <c r="G361">
        <v>3</v>
      </c>
      <c r="H361">
        <v>4404.53</v>
      </c>
      <c r="I361">
        <v>0.02</v>
      </c>
      <c r="J361">
        <v>12949.32</v>
      </c>
      <c r="K361" t="s">
        <v>41</v>
      </c>
      <c r="L361" t="s">
        <v>29</v>
      </c>
      <c r="M361" t="s">
        <v>30</v>
      </c>
      <c r="N361" t="s">
        <v>22</v>
      </c>
    </row>
    <row r="362" spans="1:14" x14ac:dyDescent="0.3">
      <c r="A362" t="s">
        <v>423</v>
      </c>
      <c r="B362" s="1">
        <v>45741</v>
      </c>
      <c r="C362" t="s">
        <v>15</v>
      </c>
      <c r="D362" t="s">
        <v>16</v>
      </c>
      <c r="E362" t="s">
        <v>49</v>
      </c>
      <c r="F362" t="s">
        <v>50</v>
      </c>
      <c r="G362">
        <v>4</v>
      </c>
      <c r="H362">
        <v>4019.51</v>
      </c>
      <c r="I362">
        <v>0.16</v>
      </c>
      <c r="J362">
        <v>13505.55</v>
      </c>
      <c r="K362" t="s">
        <v>41</v>
      </c>
      <c r="L362" t="s">
        <v>29</v>
      </c>
      <c r="M362" t="s">
        <v>54</v>
      </c>
      <c r="N362" t="s">
        <v>22</v>
      </c>
    </row>
    <row r="363" spans="1:14" x14ac:dyDescent="0.3">
      <c r="A363" t="s">
        <v>424</v>
      </c>
      <c r="B363" s="1">
        <v>45695</v>
      </c>
      <c r="C363" t="s">
        <v>24</v>
      </c>
      <c r="D363" t="s">
        <v>25</v>
      </c>
      <c r="E363" t="s">
        <v>17</v>
      </c>
      <c r="F363" t="s">
        <v>44</v>
      </c>
      <c r="G363">
        <v>4</v>
      </c>
      <c r="H363">
        <v>4031.1</v>
      </c>
      <c r="I363">
        <v>0.17</v>
      </c>
      <c r="J363">
        <v>13383.25</v>
      </c>
      <c r="K363" t="s">
        <v>41</v>
      </c>
      <c r="L363" t="s">
        <v>29</v>
      </c>
      <c r="M363" t="s">
        <v>54</v>
      </c>
      <c r="N363" t="s">
        <v>88</v>
      </c>
    </row>
    <row r="364" spans="1:14" x14ac:dyDescent="0.3">
      <c r="A364" t="s">
        <v>425</v>
      </c>
      <c r="B364" s="1">
        <v>45714</v>
      </c>
      <c r="C364" t="s">
        <v>52</v>
      </c>
      <c r="D364" t="s">
        <v>39</v>
      </c>
      <c r="E364" t="s">
        <v>27</v>
      </c>
      <c r="F364" t="s">
        <v>79</v>
      </c>
      <c r="G364">
        <v>1</v>
      </c>
      <c r="H364">
        <v>4449.21</v>
      </c>
      <c r="I364">
        <v>0.11</v>
      </c>
      <c r="J364">
        <v>3959.8</v>
      </c>
      <c r="K364" t="s">
        <v>41</v>
      </c>
      <c r="L364" t="s">
        <v>34</v>
      </c>
      <c r="M364" t="s">
        <v>54</v>
      </c>
      <c r="N364" t="s">
        <v>22</v>
      </c>
    </row>
    <row r="365" spans="1:14" x14ac:dyDescent="0.3">
      <c r="A365" t="s">
        <v>426</v>
      </c>
      <c r="B365" s="1">
        <v>45749</v>
      </c>
      <c r="C365" t="s">
        <v>15</v>
      </c>
      <c r="D365" t="s">
        <v>25</v>
      </c>
      <c r="E365" t="s">
        <v>17</v>
      </c>
      <c r="F365" t="s">
        <v>44</v>
      </c>
      <c r="G365">
        <v>5</v>
      </c>
      <c r="H365">
        <v>566.69000000000005</v>
      </c>
      <c r="I365">
        <v>0.17</v>
      </c>
      <c r="J365">
        <v>2351.7600000000002</v>
      </c>
      <c r="K365" t="s">
        <v>33</v>
      </c>
      <c r="L365" t="s">
        <v>29</v>
      </c>
      <c r="M365" t="s">
        <v>54</v>
      </c>
      <c r="N365" t="s">
        <v>22</v>
      </c>
    </row>
    <row r="366" spans="1:14" x14ac:dyDescent="0.3">
      <c r="A366" t="s">
        <v>427</v>
      </c>
      <c r="B366" s="1">
        <v>45708</v>
      </c>
      <c r="C366" t="s">
        <v>36</v>
      </c>
      <c r="D366" t="s">
        <v>25</v>
      </c>
      <c r="E366" t="s">
        <v>49</v>
      </c>
      <c r="F366" t="s">
        <v>73</v>
      </c>
      <c r="G366">
        <v>1</v>
      </c>
      <c r="H366">
        <v>3252.65</v>
      </c>
      <c r="I366">
        <v>0.04</v>
      </c>
      <c r="J366">
        <v>3122.54</v>
      </c>
      <c r="K366" t="s">
        <v>33</v>
      </c>
      <c r="L366" t="s">
        <v>20</v>
      </c>
      <c r="M366" t="s">
        <v>30</v>
      </c>
      <c r="N366" t="s">
        <v>37</v>
      </c>
    </row>
    <row r="367" spans="1:14" x14ac:dyDescent="0.3">
      <c r="A367" t="s">
        <v>428</v>
      </c>
      <c r="B367" s="1">
        <v>45829</v>
      </c>
      <c r="C367" t="s">
        <v>15</v>
      </c>
      <c r="D367" t="s">
        <v>25</v>
      </c>
      <c r="E367" t="s">
        <v>17</v>
      </c>
      <c r="F367" t="s">
        <v>40</v>
      </c>
      <c r="G367">
        <v>3</v>
      </c>
      <c r="H367">
        <v>346.72</v>
      </c>
      <c r="I367">
        <v>0.06</v>
      </c>
      <c r="J367">
        <v>977.75</v>
      </c>
      <c r="K367" t="s">
        <v>19</v>
      </c>
      <c r="L367" t="s">
        <v>34</v>
      </c>
      <c r="M367" t="s">
        <v>21</v>
      </c>
      <c r="N367" t="s">
        <v>22</v>
      </c>
    </row>
    <row r="368" spans="1:14" x14ac:dyDescent="0.3">
      <c r="A368" t="s">
        <v>429</v>
      </c>
      <c r="B368" s="1">
        <v>45839</v>
      </c>
      <c r="C368" t="s">
        <v>48</v>
      </c>
      <c r="D368" t="s">
        <v>16</v>
      </c>
      <c r="E368" t="s">
        <v>61</v>
      </c>
      <c r="F368" t="s">
        <v>62</v>
      </c>
      <c r="G368">
        <v>4</v>
      </c>
      <c r="H368">
        <v>531.29999999999995</v>
      </c>
      <c r="I368">
        <v>0.12</v>
      </c>
      <c r="J368">
        <v>1870.18</v>
      </c>
      <c r="K368" t="s">
        <v>41</v>
      </c>
      <c r="L368" t="s">
        <v>29</v>
      </c>
      <c r="M368" t="s">
        <v>30</v>
      </c>
      <c r="N368" t="s">
        <v>59</v>
      </c>
    </row>
    <row r="369" spans="1:14" x14ac:dyDescent="0.3">
      <c r="A369" t="s">
        <v>430</v>
      </c>
      <c r="B369" s="1">
        <v>45674</v>
      </c>
      <c r="C369" t="s">
        <v>48</v>
      </c>
      <c r="D369" t="s">
        <v>39</v>
      </c>
      <c r="E369" t="s">
        <v>17</v>
      </c>
      <c r="F369" t="s">
        <v>18</v>
      </c>
      <c r="G369">
        <v>5</v>
      </c>
      <c r="H369">
        <v>2790.58</v>
      </c>
      <c r="I369">
        <v>0.21</v>
      </c>
      <c r="J369">
        <v>11022.79</v>
      </c>
      <c r="K369" t="s">
        <v>41</v>
      </c>
      <c r="L369" t="s">
        <v>20</v>
      </c>
      <c r="M369" t="s">
        <v>21</v>
      </c>
      <c r="N369" t="s">
        <v>37</v>
      </c>
    </row>
    <row r="370" spans="1:14" x14ac:dyDescent="0.3">
      <c r="A370" t="s">
        <v>431</v>
      </c>
      <c r="B370" s="1">
        <v>45746</v>
      </c>
      <c r="C370" t="s">
        <v>48</v>
      </c>
      <c r="D370" t="s">
        <v>25</v>
      </c>
      <c r="E370" t="s">
        <v>27</v>
      </c>
      <c r="F370" t="s">
        <v>68</v>
      </c>
      <c r="G370">
        <v>1</v>
      </c>
      <c r="H370">
        <v>4101.28</v>
      </c>
      <c r="I370">
        <v>0.21</v>
      </c>
      <c r="J370">
        <v>3240.01</v>
      </c>
      <c r="K370" t="s">
        <v>46</v>
      </c>
      <c r="L370" t="s">
        <v>34</v>
      </c>
      <c r="M370" t="s">
        <v>30</v>
      </c>
      <c r="N370" t="s">
        <v>22</v>
      </c>
    </row>
    <row r="371" spans="1:14" x14ac:dyDescent="0.3">
      <c r="A371" t="s">
        <v>432</v>
      </c>
      <c r="B371" s="1">
        <v>45816</v>
      </c>
      <c r="C371" t="s">
        <v>24</v>
      </c>
      <c r="D371" t="s">
        <v>39</v>
      </c>
      <c r="E371" t="s">
        <v>99</v>
      </c>
      <c r="F371" t="s">
        <v>115</v>
      </c>
      <c r="G371">
        <v>2</v>
      </c>
      <c r="H371">
        <v>110.77</v>
      </c>
      <c r="I371">
        <v>0.09</v>
      </c>
      <c r="J371">
        <v>201.6</v>
      </c>
      <c r="K371" t="s">
        <v>58</v>
      </c>
      <c r="L371" t="s">
        <v>29</v>
      </c>
      <c r="M371" t="s">
        <v>21</v>
      </c>
      <c r="N371" t="s">
        <v>22</v>
      </c>
    </row>
    <row r="372" spans="1:14" x14ac:dyDescent="0.3">
      <c r="A372" t="s">
        <v>433</v>
      </c>
      <c r="B372" s="1">
        <v>45827</v>
      </c>
      <c r="C372" t="s">
        <v>24</v>
      </c>
      <c r="D372" t="s">
        <v>16</v>
      </c>
      <c r="E372" t="s">
        <v>99</v>
      </c>
      <c r="F372" t="s">
        <v>120</v>
      </c>
      <c r="G372">
        <v>2</v>
      </c>
      <c r="H372">
        <v>4127.01</v>
      </c>
      <c r="I372">
        <v>0.19</v>
      </c>
      <c r="J372">
        <v>6685.76</v>
      </c>
      <c r="K372" t="s">
        <v>19</v>
      </c>
      <c r="L372" t="s">
        <v>34</v>
      </c>
      <c r="M372" t="s">
        <v>30</v>
      </c>
      <c r="N372" t="s">
        <v>22</v>
      </c>
    </row>
    <row r="373" spans="1:14" x14ac:dyDescent="0.3">
      <c r="A373" t="s">
        <v>434</v>
      </c>
      <c r="B373" s="1">
        <v>45826</v>
      </c>
      <c r="C373" t="s">
        <v>24</v>
      </c>
      <c r="D373" t="s">
        <v>16</v>
      </c>
      <c r="E373" t="s">
        <v>61</v>
      </c>
      <c r="F373" t="s">
        <v>75</v>
      </c>
      <c r="G373">
        <v>4</v>
      </c>
      <c r="H373">
        <v>4140.32</v>
      </c>
      <c r="I373">
        <v>0.05</v>
      </c>
      <c r="J373">
        <v>15733.22</v>
      </c>
      <c r="K373" t="s">
        <v>41</v>
      </c>
      <c r="L373" t="s">
        <v>20</v>
      </c>
      <c r="M373" t="s">
        <v>30</v>
      </c>
      <c r="N373" t="s">
        <v>88</v>
      </c>
    </row>
    <row r="374" spans="1:14" x14ac:dyDescent="0.3">
      <c r="A374" t="s">
        <v>435</v>
      </c>
      <c r="B374" s="1">
        <v>45766</v>
      </c>
      <c r="C374" t="s">
        <v>48</v>
      </c>
      <c r="D374" t="s">
        <v>16</v>
      </c>
      <c r="E374" t="s">
        <v>17</v>
      </c>
      <c r="F374" t="s">
        <v>18</v>
      </c>
      <c r="G374">
        <v>5</v>
      </c>
      <c r="H374">
        <v>4785.33</v>
      </c>
      <c r="I374">
        <v>0.03</v>
      </c>
      <c r="J374">
        <v>23208.85</v>
      </c>
      <c r="K374" t="s">
        <v>41</v>
      </c>
      <c r="L374" t="s">
        <v>29</v>
      </c>
      <c r="M374" t="s">
        <v>30</v>
      </c>
      <c r="N374" t="s">
        <v>22</v>
      </c>
    </row>
    <row r="375" spans="1:14" x14ac:dyDescent="0.3">
      <c r="A375" t="s">
        <v>436</v>
      </c>
      <c r="B375" s="1">
        <v>45679</v>
      </c>
      <c r="C375" t="s">
        <v>36</v>
      </c>
      <c r="D375" t="s">
        <v>16</v>
      </c>
      <c r="E375" t="s">
        <v>17</v>
      </c>
      <c r="F375" t="s">
        <v>40</v>
      </c>
      <c r="G375">
        <v>2</v>
      </c>
      <c r="H375">
        <v>3489.91</v>
      </c>
      <c r="I375">
        <v>0.04</v>
      </c>
      <c r="J375">
        <v>6700.63</v>
      </c>
      <c r="K375" t="s">
        <v>41</v>
      </c>
      <c r="L375" t="s">
        <v>29</v>
      </c>
      <c r="M375" t="s">
        <v>54</v>
      </c>
      <c r="N375" t="s">
        <v>22</v>
      </c>
    </row>
    <row r="376" spans="1:14" x14ac:dyDescent="0.3">
      <c r="A376" t="s">
        <v>437</v>
      </c>
      <c r="B376" s="1">
        <v>45669</v>
      </c>
      <c r="C376" t="s">
        <v>36</v>
      </c>
      <c r="D376" t="s">
        <v>25</v>
      </c>
      <c r="E376" t="s">
        <v>27</v>
      </c>
      <c r="F376" t="s">
        <v>28</v>
      </c>
      <c r="G376">
        <v>5</v>
      </c>
      <c r="H376">
        <v>4587.96</v>
      </c>
      <c r="I376">
        <v>0.19</v>
      </c>
      <c r="J376">
        <v>18581.240000000002</v>
      </c>
      <c r="K376" t="s">
        <v>41</v>
      </c>
      <c r="L376" t="s">
        <v>34</v>
      </c>
      <c r="M376" t="s">
        <v>30</v>
      </c>
      <c r="N376" t="s">
        <v>59</v>
      </c>
    </row>
    <row r="377" spans="1:14" x14ac:dyDescent="0.3">
      <c r="A377" t="s">
        <v>438</v>
      </c>
      <c r="B377" s="1">
        <v>45786</v>
      </c>
      <c r="C377" t="s">
        <v>52</v>
      </c>
      <c r="D377" t="s">
        <v>39</v>
      </c>
      <c r="E377" t="s">
        <v>99</v>
      </c>
      <c r="F377" t="s">
        <v>115</v>
      </c>
      <c r="G377">
        <v>5</v>
      </c>
      <c r="H377">
        <v>3530.07</v>
      </c>
      <c r="I377">
        <v>0.19</v>
      </c>
      <c r="J377">
        <v>14296.78</v>
      </c>
      <c r="K377" t="s">
        <v>19</v>
      </c>
      <c r="L377" t="s">
        <v>34</v>
      </c>
      <c r="M377" t="s">
        <v>30</v>
      </c>
      <c r="N377" t="s">
        <v>22</v>
      </c>
    </row>
    <row r="378" spans="1:14" x14ac:dyDescent="0.3">
      <c r="A378" t="s">
        <v>439</v>
      </c>
      <c r="B378" s="1">
        <v>45764</v>
      </c>
      <c r="C378" t="s">
        <v>52</v>
      </c>
      <c r="D378" t="s">
        <v>43</v>
      </c>
      <c r="E378" t="s">
        <v>27</v>
      </c>
      <c r="F378" t="s">
        <v>68</v>
      </c>
      <c r="G378">
        <v>3</v>
      </c>
      <c r="H378">
        <v>3464.4</v>
      </c>
      <c r="I378">
        <v>0.23</v>
      </c>
      <c r="J378">
        <v>8002.76</v>
      </c>
      <c r="K378" t="s">
        <v>19</v>
      </c>
      <c r="L378" t="s">
        <v>29</v>
      </c>
      <c r="M378" t="s">
        <v>54</v>
      </c>
      <c r="N378" t="s">
        <v>22</v>
      </c>
    </row>
    <row r="379" spans="1:14" x14ac:dyDescent="0.3">
      <c r="A379" t="s">
        <v>440</v>
      </c>
      <c r="B379" s="1">
        <v>45822</v>
      </c>
      <c r="C379" t="s">
        <v>15</v>
      </c>
      <c r="D379" t="s">
        <v>39</v>
      </c>
      <c r="E379" t="s">
        <v>99</v>
      </c>
      <c r="F379" t="s">
        <v>120</v>
      </c>
      <c r="G379">
        <v>5</v>
      </c>
      <c r="H379">
        <v>2896.13</v>
      </c>
      <c r="I379">
        <v>0.17</v>
      </c>
      <c r="J379">
        <v>12018.94</v>
      </c>
      <c r="K379" t="s">
        <v>33</v>
      </c>
      <c r="L379" t="s">
        <v>34</v>
      </c>
      <c r="M379" t="s">
        <v>30</v>
      </c>
      <c r="N379" t="s">
        <v>37</v>
      </c>
    </row>
    <row r="380" spans="1:14" x14ac:dyDescent="0.3">
      <c r="A380" t="s">
        <v>441</v>
      </c>
      <c r="B380" s="1">
        <v>45662</v>
      </c>
      <c r="C380" t="s">
        <v>36</v>
      </c>
      <c r="D380" t="s">
        <v>39</v>
      </c>
      <c r="E380" t="s">
        <v>49</v>
      </c>
      <c r="F380" t="s">
        <v>56</v>
      </c>
      <c r="G380">
        <v>4</v>
      </c>
      <c r="H380">
        <v>812.1</v>
      </c>
      <c r="I380">
        <v>0.17</v>
      </c>
      <c r="J380">
        <v>2696.17</v>
      </c>
      <c r="K380" t="s">
        <v>58</v>
      </c>
      <c r="L380" t="s">
        <v>20</v>
      </c>
      <c r="M380" t="s">
        <v>54</v>
      </c>
      <c r="N380" t="s">
        <v>88</v>
      </c>
    </row>
    <row r="381" spans="1:14" x14ac:dyDescent="0.3">
      <c r="A381" t="s">
        <v>442</v>
      </c>
      <c r="B381" s="1">
        <v>45678</v>
      </c>
      <c r="C381" t="s">
        <v>15</v>
      </c>
      <c r="D381" t="s">
        <v>25</v>
      </c>
      <c r="E381" t="s">
        <v>61</v>
      </c>
      <c r="F381" t="s">
        <v>66</v>
      </c>
      <c r="G381">
        <v>3</v>
      </c>
      <c r="H381">
        <v>1099.5999999999999</v>
      </c>
      <c r="I381">
        <v>0.14000000000000001</v>
      </c>
      <c r="J381">
        <v>2836.97</v>
      </c>
      <c r="K381" t="s">
        <v>19</v>
      </c>
      <c r="L381" t="s">
        <v>20</v>
      </c>
      <c r="M381" t="s">
        <v>30</v>
      </c>
      <c r="N381" t="s">
        <v>22</v>
      </c>
    </row>
    <row r="382" spans="1:14" x14ac:dyDescent="0.3">
      <c r="A382" t="s">
        <v>443</v>
      </c>
      <c r="B382" s="1">
        <v>45839</v>
      </c>
      <c r="C382" t="s">
        <v>36</v>
      </c>
      <c r="D382" t="s">
        <v>16</v>
      </c>
      <c r="E382" t="s">
        <v>27</v>
      </c>
      <c r="F382" t="s">
        <v>68</v>
      </c>
      <c r="G382">
        <v>5</v>
      </c>
      <c r="H382">
        <v>3943.11</v>
      </c>
      <c r="I382">
        <v>0.2</v>
      </c>
      <c r="J382">
        <v>15772.44</v>
      </c>
      <c r="K382" t="s">
        <v>41</v>
      </c>
      <c r="L382" t="s">
        <v>20</v>
      </c>
      <c r="M382" t="s">
        <v>30</v>
      </c>
      <c r="N382" t="s">
        <v>37</v>
      </c>
    </row>
    <row r="383" spans="1:14" x14ac:dyDescent="0.3">
      <c r="A383" t="s">
        <v>444</v>
      </c>
      <c r="B383" s="1">
        <v>45806</v>
      </c>
      <c r="C383" t="s">
        <v>15</v>
      </c>
      <c r="D383" t="s">
        <v>43</v>
      </c>
      <c r="E383" t="s">
        <v>49</v>
      </c>
      <c r="F383" t="s">
        <v>50</v>
      </c>
      <c r="G383">
        <v>1</v>
      </c>
      <c r="H383">
        <v>3743.98</v>
      </c>
      <c r="I383">
        <v>0.05</v>
      </c>
      <c r="J383">
        <v>3556.78</v>
      </c>
      <c r="K383" t="s">
        <v>33</v>
      </c>
      <c r="L383" t="s">
        <v>20</v>
      </c>
      <c r="M383" t="s">
        <v>30</v>
      </c>
      <c r="N383" t="s">
        <v>37</v>
      </c>
    </row>
    <row r="384" spans="1:14" x14ac:dyDescent="0.3">
      <c r="A384" t="s">
        <v>445</v>
      </c>
      <c r="B384" s="1">
        <v>45824</v>
      </c>
      <c r="C384" t="s">
        <v>52</v>
      </c>
      <c r="D384" t="s">
        <v>16</v>
      </c>
      <c r="E384" t="s">
        <v>99</v>
      </c>
      <c r="F384" t="s">
        <v>100</v>
      </c>
      <c r="G384">
        <v>2</v>
      </c>
      <c r="H384">
        <v>4918.92</v>
      </c>
      <c r="I384">
        <v>0.02</v>
      </c>
      <c r="J384">
        <v>9641.08</v>
      </c>
      <c r="K384" t="s">
        <v>46</v>
      </c>
      <c r="L384" t="s">
        <v>34</v>
      </c>
      <c r="M384" t="s">
        <v>54</v>
      </c>
      <c r="N384" t="s">
        <v>22</v>
      </c>
    </row>
    <row r="385" spans="1:14" x14ac:dyDescent="0.3">
      <c r="A385" t="s">
        <v>446</v>
      </c>
      <c r="B385" s="1">
        <v>45705</v>
      </c>
      <c r="C385" t="s">
        <v>36</v>
      </c>
      <c r="D385" t="s">
        <v>25</v>
      </c>
      <c r="E385" t="s">
        <v>49</v>
      </c>
      <c r="F385" t="s">
        <v>53</v>
      </c>
      <c r="G385">
        <v>2</v>
      </c>
      <c r="H385">
        <v>2961.53</v>
      </c>
      <c r="I385">
        <v>0.06</v>
      </c>
      <c r="J385">
        <v>5567.68</v>
      </c>
      <c r="K385" t="s">
        <v>46</v>
      </c>
      <c r="L385" t="s">
        <v>20</v>
      </c>
      <c r="M385" t="s">
        <v>30</v>
      </c>
      <c r="N385" t="s">
        <v>22</v>
      </c>
    </row>
    <row r="386" spans="1:14" x14ac:dyDescent="0.3">
      <c r="A386" t="s">
        <v>447</v>
      </c>
      <c r="B386" s="1">
        <v>45692</v>
      </c>
      <c r="C386" t="s">
        <v>52</v>
      </c>
      <c r="D386" t="s">
        <v>39</v>
      </c>
      <c r="E386" t="s">
        <v>61</v>
      </c>
      <c r="F386" t="s">
        <v>62</v>
      </c>
      <c r="G386">
        <v>1</v>
      </c>
      <c r="H386">
        <v>3890.94</v>
      </c>
      <c r="I386">
        <v>0.16</v>
      </c>
      <c r="J386">
        <v>3268.39</v>
      </c>
      <c r="K386" t="s">
        <v>46</v>
      </c>
      <c r="L386" t="s">
        <v>29</v>
      </c>
      <c r="M386" t="s">
        <v>21</v>
      </c>
      <c r="N386" t="s">
        <v>22</v>
      </c>
    </row>
    <row r="387" spans="1:14" x14ac:dyDescent="0.3">
      <c r="A387" t="s">
        <v>448</v>
      </c>
      <c r="B387" s="1">
        <v>45738</v>
      </c>
      <c r="C387" t="s">
        <v>24</v>
      </c>
      <c r="D387" t="s">
        <v>43</v>
      </c>
      <c r="E387" t="s">
        <v>27</v>
      </c>
      <c r="F387" t="s">
        <v>28</v>
      </c>
      <c r="G387">
        <v>2</v>
      </c>
      <c r="H387">
        <v>4789.24</v>
      </c>
      <c r="I387">
        <v>0.13</v>
      </c>
      <c r="J387">
        <v>8333.2800000000007</v>
      </c>
      <c r="K387" t="s">
        <v>46</v>
      </c>
      <c r="L387" t="s">
        <v>29</v>
      </c>
      <c r="M387" t="s">
        <v>21</v>
      </c>
      <c r="N387" t="s">
        <v>22</v>
      </c>
    </row>
    <row r="388" spans="1:14" x14ac:dyDescent="0.3">
      <c r="A388" t="s">
        <v>449</v>
      </c>
      <c r="B388" s="1">
        <v>45754</v>
      </c>
      <c r="C388" t="s">
        <v>24</v>
      </c>
      <c r="D388" t="s">
        <v>43</v>
      </c>
      <c r="E388" t="s">
        <v>27</v>
      </c>
      <c r="F388" t="s">
        <v>87</v>
      </c>
      <c r="G388">
        <v>2</v>
      </c>
      <c r="H388">
        <v>3350.34</v>
      </c>
      <c r="I388">
        <v>0.08</v>
      </c>
      <c r="J388">
        <v>6164.63</v>
      </c>
      <c r="K388" t="s">
        <v>46</v>
      </c>
      <c r="L388" t="s">
        <v>20</v>
      </c>
      <c r="M388" t="s">
        <v>30</v>
      </c>
      <c r="N388" t="s">
        <v>59</v>
      </c>
    </row>
    <row r="389" spans="1:14" x14ac:dyDescent="0.3">
      <c r="A389" t="s">
        <v>450</v>
      </c>
      <c r="B389" s="1">
        <v>45753</v>
      </c>
      <c r="C389" t="s">
        <v>36</v>
      </c>
      <c r="D389" t="s">
        <v>43</v>
      </c>
      <c r="E389" t="s">
        <v>27</v>
      </c>
      <c r="F389" t="s">
        <v>87</v>
      </c>
      <c r="G389">
        <v>3</v>
      </c>
      <c r="H389">
        <v>2283.77</v>
      </c>
      <c r="I389">
        <v>0.23</v>
      </c>
      <c r="J389">
        <v>5275.51</v>
      </c>
      <c r="K389" t="s">
        <v>58</v>
      </c>
      <c r="L389" t="s">
        <v>20</v>
      </c>
      <c r="M389" t="s">
        <v>21</v>
      </c>
      <c r="N389" t="s">
        <v>59</v>
      </c>
    </row>
    <row r="390" spans="1:14" x14ac:dyDescent="0.3">
      <c r="A390" t="s">
        <v>451</v>
      </c>
      <c r="B390" s="1">
        <v>45701</v>
      </c>
      <c r="C390" t="s">
        <v>24</v>
      </c>
      <c r="D390" t="s">
        <v>39</v>
      </c>
      <c r="E390" t="s">
        <v>99</v>
      </c>
      <c r="F390" t="s">
        <v>115</v>
      </c>
      <c r="G390">
        <v>5</v>
      </c>
      <c r="H390">
        <v>3647.48</v>
      </c>
      <c r="I390">
        <v>0.01</v>
      </c>
      <c r="J390">
        <v>18055.03</v>
      </c>
      <c r="K390" t="s">
        <v>41</v>
      </c>
      <c r="L390" t="s">
        <v>34</v>
      </c>
      <c r="M390" t="s">
        <v>21</v>
      </c>
      <c r="N390" t="s">
        <v>22</v>
      </c>
    </row>
    <row r="391" spans="1:14" x14ac:dyDescent="0.3">
      <c r="A391" t="s">
        <v>452</v>
      </c>
      <c r="B391" s="1">
        <v>45827</v>
      </c>
      <c r="C391" t="s">
        <v>48</v>
      </c>
      <c r="D391" t="s">
        <v>43</v>
      </c>
      <c r="E391" t="s">
        <v>27</v>
      </c>
      <c r="F391" t="s">
        <v>87</v>
      </c>
      <c r="G391">
        <v>2</v>
      </c>
      <c r="H391">
        <v>1669.53</v>
      </c>
      <c r="I391">
        <v>0.02</v>
      </c>
      <c r="J391">
        <v>3272.28</v>
      </c>
      <c r="K391" t="s">
        <v>58</v>
      </c>
      <c r="L391" t="s">
        <v>34</v>
      </c>
      <c r="M391" t="s">
        <v>54</v>
      </c>
      <c r="N391" t="s">
        <v>59</v>
      </c>
    </row>
    <row r="392" spans="1:14" x14ac:dyDescent="0.3">
      <c r="A392" t="s">
        <v>453</v>
      </c>
      <c r="B392" s="1">
        <v>45737</v>
      </c>
      <c r="C392" t="s">
        <v>24</v>
      </c>
      <c r="D392" t="s">
        <v>43</v>
      </c>
      <c r="E392" t="s">
        <v>27</v>
      </c>
      <c r="F392" t="s">
        <v>79</v>
      </c>
      <c r="G392">
        <v>2</v>
      </c>
      <c r="H392">
        <v>4338.26</v>
      </c>
      <c r="I392">
        <v>0.11</v>
      </c>
      <c r="J392">
        <v>7722.1</v>
      </c>
      <c r="K392" t="s">
        <v>19</v>
      </c>
      <c r="L392" t="s">
        <v>29</v>
      </c>
      <c r="M392" t="s">
        <v>54</v>
      </c>
      <c r="N392" t="s">
        <v>22</v>
      </c>
    </row>
    <row r="393" spans="1:14" x14ac:dyDescent="0.3">
      <c r="A393" t="s">
        <v>454</v>
      </c>
      <c r="B393" s="1">
        <v>45835</v>
      </c>
      <c r="C393" t="s">
        <v>52</v>
      </c>
      <c r="D393" t="s">
        <v>39</v>
      </c>
      <c r="E393" t="s">
        <v>49</v>
      </c>
      <c r="F393" t="s">
        <v>56</v>
      </c>
      <c r="G393">
        <v>3</v>
      </c>
      <c r="H393">
        <v>285.64</v>
      </c>
      <c r="I393">
        <v>0.02</v>
      </c>
      <c r="J393">
        <v>839.78</v>
      </c>
      <c r="K393" t="s">
        <v>58</v>
      </c>
      <c r="L393" t="s">
        <v>34</v>
      </c>
      <c r="M393" t="s">
        <v>54</v>
      </c>
      <c r="N393" t="s">
        <v>22</v>
      </c>
    </row>
    <row r="394" spans="1:14" x14ac:dyDescent="0.3">
      <c r="A394" t="s">
        <v>455</v>
      </c>
      <c r="B394" s="1">
        <v>45671</v>
      </c>
      <c r="C394" t="s">
        <v>15</v>
      </c>
      <c r="D394" t="s">
        <v>25</v>
      </c>
      <c r="E394" t="s">
        <v>27</v>
      </c>
      <c r="F394" t="s">
        <v>68</v>
      </c>
      <c r="G394">
        <v>4</v>
      </c>
      <c r="H394">
        <v>3188.06</v>
      </c>
      <c r="I394">
        <v>0.11</v>
      </c>
      <c r="J394">
        <v>11349.49</v>
      </c>
      <c r="K394" t="s">
        <v>41</v>
      </c>
      <c r="L394" t="s">
        <v>34</v>
      </c>
      <c r="M394" t="s">
        <v>54</v>
      </c>
      <c r="N394" t="s">
        <v>22</v>
      </c>
    </row>
    <row r="395" spans="1:14" x14ac:dyDescent="0.3">
      <c r="A395" t="s">
        <v>456</v>
      </c>
      <c r="B395" s="1">
        <v>45691</v>
      </c>
      <c r="C395" t="s">
        <v>36</v>
      </c>
      <c r="D395" t="s">
        <v>16</v>
      </c>
      <c r="E395" t="s">
        <v>27</v>
      </c>
      <c r="F395" t="s">
        <v>79</v>
      </c>
      <c r="G395">
        <v>5</v>
      </c>
      <c r="H395">
        <v>323.02999999999997</v>
      </c>
      <c r="I395">
        <v>0.21</v>
      </c>
      <c r="J395">
        <v>1275.97</v>
      </c>
      <c r="K395" t="s">
        <v>58</v>
      </c>
      <c r="L395" t="s">
        <v>29</v>
      </c>
      <c r="M395" t="s">
        <v>30</v>
      </c>
      <c r="N395" t="s">
        <v>22</v>
      </c>
    </row>
    <row r="396" spans="1:14" x14ac:dyDescent="0.3">
      <c r="A396" t="s">
        <v>457</v>
      </c>
      <c r="B396" s="1">
        <v>45733</v>
      </c>
      <c r="C396" t="s">
        <v>15</v>
      </c>
      <c r="D396" t="s">
        <v>43</v>
      </c>
      <c r="E396" t="s">
        <v>99</v>
      </c>
      <c r="F396" t="s">
        <v>120</v>
      </c>
      <c r="G396">
        <v>4</v>
      </c>
      <c r="H396">
        <v>4128.3999999999996</v>
      </c>
      <c r="I396">
        <v>0.01</v>
      </c>
      <c r="J396">
        <v>16348.46</v>
      </c>
      <c r="K396" t="s">
        <v>41</v>
      </c>
      <c r="L396" t="s">
        <v>34</v>
      </c>
      <c r="M396" t="s">
        <v>54</v>
      </c>
      <c r="N396" t="s">
        <v>22</v>
      </c>
    </row>
    <row r="397" spans="1:14" x14ac:dyDescent="0.3">
      <c r="A397" t="s">
        <v>458</v>
      </c>
      <c r="B397" s="1">
        <v>45660</v>
      </c>
      <c r="C397" t="s">
        <v>52</v>
      </c>
      <c r="D397" t="s">
        <v>43</v>
      </c>
      <c r="E397" t="s">
        <v>49</v>
      </c>
      <c r="F397" t="s">
        <v>53</v>
      </c>
      <c r="G397">
        <v>3</v>
      </c>
      <c r="H397">
        <v>4791.22</v>
      </c>
      <c r="I397">
        <v>0</v>
      </c>
      <c r="J397">
        <v>14373.66</v>
      </c>
      <c r="K397" t="s">
        <v>46</v>
      </c>
      <c r="L397" t="s">
        <v>29</v>
      </c>
      <c r="M397" t="s">
        <v>21</v>
      </c>
      <c r="N397" t="s">
        <v>22</v>
      </c>
    </row>
    <row r="398" spans="1:14" x14ac:dyDescent="0.3">
      <c r="A398" t="s">
        <v>459</v>
      </c>
      <c r="B398" s="1">
        <v>45735</v>
      </c>
      <c r="C398" t="s">
        <v>36</v>
      </c>
      <c r="D398" t="s">
        <v>39</v>
      </c>
      <c r="E398" t="s">
        <v>17</v>
      </c>
      <c r="F398" t="s">
        <v>40</v>
      </c>
      <c r="G398">
        <v>3</v>
      </c>
      <c r="H398">
        <v>1129.26</v>
      </c>
      <c r="I398">
        <v>0.19</v>
      </c>
      <c r="J398">
        <v>2744.1</v>
      </c>
      <c r="K398" t="s">
        <v>33</v>
      </c>
      <c r="L398" t="s">
        <v>20</v>
      </c>
      <c r="M398" t="s">
        <v>21</v>
      </c>
      <c r="N398" t="s">
        <v>22</v>
      </c>
    </row>
    <row r="399" spans="1:14" x14ac:dyDescent="0.3">
      <c r="A399" t="s">
        <v>460</v>
      </c>
      <c r="B399" s="1">
        <v>45711</v>
      </c>
      <c r="C399" t="s">
        <v>52</v>
      </c>
      <c r="D399" t="s">
        <v>16</v>
      </c>
      <c r="E399" t="s">
        <v>27</v>
      </c>
      <c r="F399" t="s">
        <v>68</v>
      </c>
      <c r="G399">
        <v>5</v>
      </c>
      <c r="H399">
        <v>4190.2700000000004</v>
      </c>
      <c r="I399">
        <v>0.05</v>
      </c>
      <c r="J399">
        <v>19903.78</v>
      </c>
      <c r="K399" t="s">
        <v>19</v>
      </c>
      <c r="L399" t="s">
        <v>20</v>
      </c>
      <c r="M399" t="s">
        <v>54</v>
      </c>
      <c r="N399" t="s">
        <v>37</v>
      </c>
    </row>
    <row r="400" spans="1:14" x14ac:dyDescent="0.3">
      <c r="A400" t="s">
        <v>461</v>
      </c>
      <c r="B400" s="1">
        <v>45839</v>
      </c>
      <c r="C400" t="s">
        <v>36</v>
      </c>
      <c r="D400" t="s">
        <v>25</v>
      </c>
      <c r="E400" t="s">
        <v>27</v>
      </c>
      <c r="F400" t="s">
        <v>87</v>
      </c>
      <c r="G400">
        <v>1</v>
      </c>
      <c r="H400">
        <v>1328.37</v>
      </c>
      <c r="I400">
        <v>0.05</v>
      </c>
      <c r="J400">
        <v>1261.95</v>
      </c>
      <c r="K400" t="s">
        <v>58</v>
      </c>
      <c r="L400" t="s">
        <v>34</v>
      </c>
      <c r="M400" t="s">
        <v>21</v>
      </c>
      <c r="N400" t="s">
        <v>59</v>
      </c>
    </row>
    <row r="401" spans="1:14" x14ac:dyDescent="0.3">
      <c r="A401" t="s">
        <v>462</v>
      </c>
      <c r="B401" s="1">
        <v>45812</v>
      </c>
      <c r="C401" t="s">
        <v>52</v>
      </c>
      <c r="D401" t="s">
        <v>25</v>
      </c>
      <c r="E401" t="s">
        <v>99</v>
      </c>
      <c r="F401" t="s">
        <v>100</v>
      </c>
      <c r="G401">
        <v>5</v>
      </c>
      <c r="H401">
        <v>442.06</v>
      </c>
      <c r="I401">
        <v>0.05</v>
      </c>
      <c r="J401">
        <v>2099.7800000000002</v>
      </c>
      <c r="K401" t="s">
        <v>58</v>
      </c>
      <c r="L401" t="s">
        <v>34</v>
      </c>
      <c r="M401" t="s">
        <v>30</v>
      </c>
      <c r="N401" t="s">
        <v>22</v>
      </c>
    </row>
    <row r="402" spans="1:14" x14ac:dyDescent="0.3">
      <c r="A402" t="s">
        <v>463</v>
      </c>
      <c r="B402" s="1">
        <v>45812</v>
      </c>
      <c r="C402" t="s">
        <v>36</v>
      </c>
      <c r="D402" t="s">
        <v>43</v>
      </c>
      <c r="E402" t="s">
        <v>99</v>
      </c>
      <c r="F402" t="s">
        <v>100</v>
      </c>
      <c r="G402">
        <v>3</v>
      </c>
      <c r="H402">
        <v>4797.43</v>
      </c>
      <c r="I402">
        <v>0.04</v>
      </c>
      <c r="J402">
        <v>13816.6</v>
      </c>
      <c r="K402" t="s">
        <v>33</v>
      </c>
      <c r="L402" t="s">
        <v>34</v>
      </c>
      <c r="M402" t="s">
        <v>30</v>
      </c>
      <c r="N402" t="s">
        <v>88</v>
      </c>
    </row>
    <row r="403" spans="1:14" x14ac:dyDescent="0.3">
      <c r="A403" t="s">
        <v>464</v>
      </c>
      <c r="B403" s="1">
        <v>45748</v>
      </c>
      <c r="C403" t="s">
        <v>15</v>
      </c>
      <c r="D403" t="s">
        <v>39</v>
      </c>
      <c r="E403" t="s">
        <v>49</v>
      </c>
      <c r="F403" t="s">
        <v>53</v>
      </c>
      <c r="G403">
        <v>3</v>
      </c>
      <c r="H403">
        <v>4401.6400000000003</v>
      </c>
      <c r="I403">
        <v>0.12</v>
      </c>
      <c r="J403">
        <v>11620.33</v>
      </c>
      <c r="K403" t="s">
        <v>19</v>
      </c>
      <c r="L403" t="s">
        <v>29</v>
      </c>
      <c r="M403" t="s">
        <v>30</v>
      </c>
      <c r="N403" t="s">
        <v>22</v>
      </c>
    </row>
    <row r="404" spans="1:14" x14ac:dyDescent="0.3">
      <c r="A404" t="s">
        <v>465</v>
      </c>
      <c r="B404" s="1">
        <v>45715</v>
      </c>
      <c r="C404" t="s">
        <v>36</v>
      </c>
      <c r="D404" t="s">
        <v>16</v>
      </c>
      <c r="E404" t="s">
        <v>17</v>
      </c>
      <c r="F404" t="s">
        <v>44</v>
      </c>
      <c r="G404">
        <v>2</v>
      </c>
      <c r="H404">
        <v>4467.3599999999997</v>
      </c>
      <c r="I404">
        <v>0.05</v>
      </c>
      <c r="J404">
        <v>8487.98</v>
      </c>
      <c r="K404" t="s">
        <v>58</v>
      </c>
      <c r="L404" t="s">
        <v>34</v>
      </c>
      <c r="M404" t="s">
        <v>21</v>
      </c>
      <c r="N404" t="s">
        <v>22</v>
      </c>
    </row>
    <row r="405" spans="1:14" x14ac:dyDescent="0.3">
      <c r="A405" t="s">
        <v>466</v>
      </c>
      <c r="B405" s="1">
        <v>45742</v>
      </c>
      <c r="C405" t="s">
        <v>36</v>
      </c>
      <c r="D405" t="s">
        <v>25</v>
      </c>
      <c r="E405" t="s">
        <v>17</v>
      </c>
      <c r="F405" t="s">
        <v>18</v>
      </c>
      <c r="G405">
        <v>5</v>
      </c>
      <c r="H405">
        <v>1142.53</v>
      </c>
      <c r="I405">
        <v>0.01</v>
      </c>
      <c r="J405">
        <v>5655.52</v>
      </c>
      <c r="K405" t="s">
        <v>33</v>
      </c>
      <c r="L405" t="s">
        <v>34</v>
      </c>
      <c r="M405" t="s">
        <v>30</v>
      </c>
      <c r="N405" t="s">
        <v>22</v>
      </c>
    </row>
    <row r="406" spans="1:14" x14ac:dyDescent="0.3">
      <c r="A406" t="s">
        <v>467</v>
      </c>
      <c r="B406" s="1">
        <v>45795</v>
      </c>
      <c r="C406" t="s">
        <v>48</v>
      </c>
      <c r="D406" t="s">
        <v>25</v>
      </c>
      <c r="E406" t="s">
        <v>61</v>
      </c>
      <c r="F406" t="s">
        <v>66</v>
      </c>
      <c r="G406">
        <v>3</v>
      </c>
      <c r="H406">
        <v>756.02</v>
      </c>
      <c r="I406">
        <v>0.13</v>
      </c>
      <c r="J406">
        <v>1973.21</v>
      </c>
      <c r="K406" t="s">
        <v>19</v>
      </c>
      <c r="L406" t="s">
        <v>29</v>
      </c>
      <c r="M406" t="s">
        <v>54</v>
      </c>
      <c r="N406" t="s">
        <v>22</v>
      </c>
    </row>
    <row r="407" spans="1:14" x14ac:dyDescent="0.3">
      <c r="A407" t="s">
        <v>468</v>
      </c>
      <c r="B407" s="1">
        <v>45801</v>
      </c>
      <c r="C407" t="s">
        <v>36</v>
      </c>
      <c r="D407" t="s">
        <v>43</v>
      </c>
      <c r="E407" t="s">
        <v>17</v>
      </c>
      <c r="F407" t="s">
        <v>44</v>
      </c>
      <c r="G407">
        <v>2</v>
      </c>
      <c r="H407">
        <v>2286.48</v>
      </c>
      <c r="I407">
        <v>0.04</v>
      </c>
      <c r="J407">
        <v>4390.04</v>
      </c>
      <c r="K407" t="s">
        <v>19</v>
      </c>
      <c r="L407" t="s">
        <v>29</v>
      </c>
      <c r="M407" t="s">
        <v>21</v>
      </c>
      <c r="N407" t="s">
        <v>22</v>
      </c>
    </row>
    <row r="408" spans="1:14" x14ac:dyDescent="0.3">
      <c r="A408" t="s">
        <v>469</v>
      </c>
      <c r="B408" s="1">
        <v>45812</v>
      </c>
      <c r="C408" t="s">
        <v>24</v>
      </c>
      <c r="D408" t="s">
        <v>43</v>
      </c>
      <c r="E408" t="s">
        <v>49</v>
      </c>
      <c r="F408" t="s">
        <v>53</v>
      </c>
      <c r="G408">
        <v>2</v>
      </c>
      <c r="H408">
        <v>408.02</v>
      </c>
      <c r="I408">
        <v>0.09</v>
      </c>
      <c r="J408">
        <v>742.6</v>
      </c>
      <c r="K408" t="s">
        <v>19</v>
      </c>
      <c r="L408" t="s">
        <v>34</v>
      </c>
      <c r="M408" t="s">
        <v>54</v>
      </c>
      <c r="N408" t="s">
        <v>22</v>
      </c>
    </row>
    <row r="409" spans="1:14" x14ac:dyDescent="0.3">
      <c r="A409" t="s">
        <v>470</v>
      </c>
      <c r="B409" s="1">
        <v>45767</v>
      </c>
      <c r="C409" t="s">
        <v>48</v>
      </c>
      <c r="D409" t="s">
        <v>39</v>
      </c>
      <c r="E409" t="s">
        <v>99</v>
      </c>
      <c r="F409" t="s">
        <v>115</v>
      </c>
      <c r="G409">
        <v>1</v>
      </c>
      <c r="H409">
        <v>4904.8900000000003</v>
      </c>
      <c r="I409">
        <v>0.08</v>
      </c>
      <c r="J409">
        <v>4512.5</v>
      </c>
      <c r="K409" t="s">
        <v>41</v>
      </c>
      <c r="L409" t="s">
        <v>20</v>
      </c>
      <c r="M409" t="s">
        <v>21</v>
      </c>
      <c r="N409" t="s">
        <v>88</v>
      </c>
    </row>
    <row r="410" spans="1:14" x14ac:dyDescent="0.3">
      <c r="A410" t="s">
        <v>471</v>
      </c>
      <c r="B410" s="1">
        <v>45788</v>
      </c>
      <c r="C410" t="s">
        <v>48</v>
      </c>
      <c r="D410" t="s">
        <v>39</v>
      </c>
      <c r="E410" t="s">
        <v>99</v>
      </c>
      <c r="F410" t="s">
        <v>100</v>
      </c>
      <c r="G410">
        <v>5</v>
      </c>
      <c r="H410">
        <v>3301.35</v>
      </c>
      <c r="I410">
        <v>0.21</v>
      </c>
      <c r="J410">
        <v>13040.33</v>
      </c>
      <c r="K410" t="s">
        <v>41</v>
      </c>
      <c r="L410" t="s">
        <v>34</v>
      </c>
      <c r="M410" t="s">
        <v>21</v>
      </c>
      <c r="N410" t="s">
        <v>22</v>
      </c>
    </row>
    <row r="411" spans="1:14" x14ac:dyDescent="0.3">
      <c r="A411" t="s">
        <v>472</v>
      </c>
      <c r="B411" s="1">
        <v>45799</v>
      </c>
      <c r="C411" t="s">
        <v>15</v>
      </c>
      <c r="D411" t="s">
        <v>25</v>
      </c>
      <c r="E411" t="s">
        <v>61</v>
      </c>
      <c r="F411" t="s">
        <v>92</v>
      </c>
      <c r="G411">
        <v>4</v>
      </c>
      <c r="H411">
        <v>4447.1400000000003</v>
      </c>
      <c r="I411">
        <v>0</v>
      </c>
      <c r="J411">
        <v>17788.560000000001</v>
      </c>
      <c r="K411" t="s">
        <v>46</v>
      </c>
      <c r="L411" t="s">
        <v>34</v>
      </c>
      <c r="M411" t="s">
        <v>54</v>
      </c>
      <c r="N411" t="s">
        <v>22</v>
      </c>
    </row>
    <row r="412" spans="1:14" x14ac:dyDescent="0.3">
      <c r="A412" t="s">
        <v>473</v>
      </c>
      <c r="B412" s="1">
        <v>45754</v>
      </c>
      <c r="C412" t="s">
        <v>52</v>
      </c>
      <c r="D412" t="s">
        <v>43</v>
      </c>
      <c r="E412" t="s">
        <v>17</v>
      </c>
      <c r="F412" t="s">
        <v>32</v>
      </c>
      <c r="G412">
        <v>2</v>
      </c>
      <c r="H412">
        <v>1874.89</v>
      </c>
      <c r="I412">
        <v>0.18</v>
      </c>
      <c r="J412">
        <v>3074.82</v>
      </c>
      <c r="K412" t="s">
        <v>19</v>
      </c>
      <c r="L412" t="s">
        <v>20</v>
      </c>
      <c r="M412" t="s">
        <v>54</v>
      </c>
      <c r="N412" t="s">
        <v>22</v>
      </c>
    </row>
    <row r="413" spans="1:14" x14ac:dyDescent="0.3">
      <c r="A413" t="s">
        <v>474</v>
      </c>
      <c r="B413" s="1">
        <v>45690</v>
      </c>
      <c r="C413" t="s">
        <v>48</v>
      </c>
      <c r="D413" t="s">
        <v>16</v>
      </c>
      <c r="E413" t="s">
        <v>99</v>
      </c>
      <c r="F413" t="s">
        <v>120</v>
      </c>
      <c r="G413">
        <v>2</v>
      </c>
      <c r="H413">
        <v>2994.88</v>
      </c>
      <c r="I413">
        <v>0.16</v>
      </c>
      <c r="J413">
        <v>5031.3999999999996</v>
      </c>
      <c r="K413" t="s">
        <v>41</v>
      </c>
      <c r="L413" t="s">
        <v>34</v>
      </c>
      <c r="M413" t="s">
        <v>30</v>
      </c>
      <c r="N413" t="s">
        <v>22</v>
      </c>
    </row>
    <row r="414" spans="1:14" x14ac:dyDescent="0.3">
      <c r="A414" t="s">
        <v>475</v>
      </c>
      <c r="B414" s="1">
        <v>45696</v>
      </c>
      <c r="C414" t="s">
        <v>52</v>
      </c>
      <c r="D414" t="s">
        <v>25</v>
      </c>
      <c r="E414" t="s">
        <v>61</v>
      </c>
      <c r="F414" t="s">
        <v>75</v>
      </c>
      <c r="G414">
        <v>5</v>
      </c>
      <c r="H414">
        <v>819.64</v>
      </c>
      <c r="I414">
        <v>0.04</v>
      </c>
      <c r="J414">
        <v>3934.27</v>
      </c>
      <c r="K414" t="s">
        <v>33</v>
      </c>
      <c r="L414" t="s">
        <v>20</v>
      </c>
      <c r="M414" t="s">
        <v>54</v>
      </c>
      <c r="N414" t="s">
        <v>22</v>
      </c>
    </row>
    <row r="415" spans="1:14" x14ac:dyDescent="0.3">
      <c r="A415" t="s">
        <v>476</v>
      </c>
      <c r="B415" s="1">
        <v>45717</v>
      </c>
      <c r="C415" t="s">
        <v>15</v>
      </c>
      <c r="D415" t="s">
        <v>43</v>
      </c>
      <c r="E415" t="s">
        <v>27</v>
      </c>
      <c r="F415" t="s">
        <v>79</v>
      </c>
      <c r="G415">
        <v>4</v>
      </c>
      <c r="H415">
        <v>3071.98</v>
      </c>
      <c r="I415">
        <v>0.12</v>
      </c>
      <c r="J415">
        <v>10813.37</v>
      </c>
      <c r="K415" t="s">
        <v>58</v>
      </c>
      <c r="L415" t="s">
        <v>20</v>
      </c>
      <c r="M415" t="s">
        <v>30</v>
      </c>
      <c r="N415" t="s">
        <v>22</v>
      </c>
    </row>
    <row r="416" spans="1:14" x14ac:dyDescent="0.3">
      <c r="A416" t="s">
        <v>477</v>
      </c>
      <c r="B416" s="1">
        <v>45702</v>
      </c>
      <c r="C416" t="s">
        <v>36</v>
      </c>
      <c r="D416" t="s">
        <v>25</v>
      </c>
      <c r="E416" t="s">
        <v>49</v>
      </c>
      <c r="F416" t="s">
        <v>73</v>
      </c>
      <c r="G416">
        <v>5</v>
      </c>
      <c r="H416">
        <v>1396.15</v>
      </c>
      <c r="I416">
        <v>0.18</v>
      </c>
      <c r="J416">
        <v>5724.22</v>
      </c>
      <c r="K416" t="s">
        <v>19</v>
      </c>
      <c r="L416" t="s">
        <v>29</v>
      </c>
      <c r="M416" t="s">
        <v>30</v>
      </c>
      <c r="N416" t="s">
        <v>22</v>
      </c>
    </row>
    <row r="417" spans="1:14" x14ac:dyDescent="0.3">
      <c r="A417" t="s">
        <v>478</v>
      </c>
      <c r="B417" s="1">
        <v>45671</v>
      </c>
      <c r="C417" t="s">
        <v>48</v>
      </c>
      <c r="D417" t="s">
        <v>25</v>
      </c>
      <c r="E417" t="s">
        <v>17</v>
      </c>
      <c r="F417" t="s">
        <v>44</v>
      </c>
      <c r="G417">
        <v>1</v>
      </c>
      <c r="H417">
        <v>181.16</v>
      </c>
      <c r="I417">
        <v>0.13</v>
      </c>
      <c r="J417">
        <v>157.61000000000001</v>
      </c>
      <c r="K417" t="s">
        <v>41</v>
      </c>
      <c r="L417" t="s">
        <v>20</v>
      </c>
      <c r="M417" t="s">
        <v>21</v>
      </c>
      <c r="N417" t="s">
        <v>88</v>
      </c>
    </row>
    <row r="418" spans="1:14" x14ac:dyDescent="0.3">
      <c r="A418" t="s">
        <v>479</v>
      </c>
      <c r="B418" s="1">
        <v>45772</v>
      </c>
      <c r="C418" t="s">
        <v>52</v>
      </c>
      <c r="D418" t="s">
        <v>16</v>
      </c>
      <c r="E418" t="s">
        <v>27</v>
      </c>
      <c r="F418" t="s">
        <v>79</v>
      </c>
      <c r="G418">
        <v>5</v>
      </c>
      <c r="H418">
        <v>291.27999999999997</v>
      </c>
      <c r="I418">
        <v>0.2</v>
      </c>
      <c r="J418">
        <v>1165.1199999999999</v>
      </c>
      <c r="K418" t="s">
        <v>41</v>
      </c>
      <c r="L418" t="s">
        <v>29</v>
      </c>
      <c r="M418" t="s">
        <v>21</v>
      </c>
      <c r="N418" t="s">
        <v>22</v>
      </c>
    </row>
    <row r="419" spans="1:14" x14ac:dyDescent="0.3">
      <c r="A419" t="s">
        <v>480</v>
      </c>
      <c r="B419" s="1">
        <v>45802</v>
      </c>
      <c r="C419" t="s">
        <v>48</v>
      </c>
      <c r="D419" t="s">
        <v>43</v>
      </c>
      <c r="E419" t="s">
        <v>61</v>
      </c>
      <c r="F419" t="s">
        <v>62</v>
      </c>
      <c r="G419">
        <v>3</v>
      </c>
      <c r="H419">
        <v>4386.6400000000003</v>
      </c>
      <c r="I419">
        <v>0.17</v>
      </c>
      <c r="J419">
        <v>10922.73</v>
      </c>
      <c r="K419" t="s">
        <v>33</v>
      </c>
      <c r="L419" t="s">
        <v>34</v>
      </c>
      <c r="M419" t="s">
        <v>30</v>
      </c>
      <c r="N419" t="s">
        <v>37</v>
      </c>
    </row>
    <row r="420" spans="1:14" x14ac:dyDescent="0.3">
      <c r="A420" t="s">
        <v>481</v>
      </c>
      <c r="B420" s="1">
        <v>45765</v>
      </c>
      <c r="C420" t="s">
        <v>15</v>
      </c>
      <c r="D420" t="s">
        <v>43</v>
      </c>
      <c r="E420" t="s">
        <v>49</v>
      </c>
      <c r="F420" t="s">
        <v>50</v>
      </c>
      <c r="G420">
        <v>5</v>
      </c>
      <c r="H420">
        <v>578.80999999999995</v>
      </c>
      <c r="I420">
        <v>0.03</v>
      </c>
      <c r="J420">
        <v>2807.23</v>
      </c>
      <c r="K420" t="s">
        <v>33</v>
      </c>
      <c r="L420" t="s">
        <v>29</v>
      </c>
      <c r="M420" t="s">
        <v>30</v>
      </c>
      <c r="N420" t="s">
        <v>37</v>
      </c>
    </row>
    <row r="421" spans="1:14" x14ac:dyDescent="0.3">
      <c r="A421" t="s">
        <v>482</v>
      </c>
      <c r="B421" s="1">
        <v>45671</v>
      </c>
      <c r="C421" t="s">
        <v>36</v>
      </c>
      <c r="D421" t="s">
        <v>16</v>
      </c>
      <c r="E421" t="s">
        <v>17</v>
      </c>
      <c r="F421" t="s">
        <v>32</v>
      </c>
      <c r="G421">
        <v>3</v>
      </c>
      <c r="H421">
        <v>1026.2</v>
      </c>
      <c r="I421">
        <v>0.18</v>
      </c>
      <c r="J421">
        <v>2524.4499999999998</v>
      </c>
      <c r="K421" t="s">
        <v>33</v>
      </c>
      <c r="L421" t="s">
        <v>34</v>
      </c>
      <c r="M421" t="s">
        <v>54</v>
      </c>
      <c r="N421" t="s">
        <v>22</v>
      </c>
    </row>
    <row r="422" spans="1:14" x14ac:dyDescent="0.3">
      <c r="A422" t="s">
        <v>483</v>
      </c>
      <c r="B422" s="1">
        <v>45805</v>
      </c>
      <c r="C422" t="s">
        <v>15</v>
      </c>
      <c r="D422" t="s">
        <v>39</v>
      </c>
      <c r="E422" t="s">
        <v>49</v>
      </c>
      <c r="F422" t="s">
        <v>73</v>
      </c>
      <c r="G422">
        <v>1</v>
      </c>
      <c r="H422">
        <v>858.42</v>
      </c>
      <c r="I422">
        <v>0.16</v>
      </c>
      <c r="J422">
        <v>721.07</v>
      </c>
      <c r="K422" t="s">
        <v>41</v>
      </c>
      <c r="L422" t="s">
        <v>34</v>
      </c>
      <c r="M422" t="s">
        <v>30</v>
      </c>
      <c r="N422" t="s">
        <v>37</v>
      </c>
    </row>
    <row r="423" spans="1:14" x14ac:dyDescent="0.3">
      <c r="A423" t="s">
        <v>484</v>
      </c>
      <c r="B423" s="1">
        <v>45720</v>
      </c>
      <c r="C423" t="s">
        <v>36</v>
      </c>
      <c r="D423" t="s">
        <v>25</v>
      </c>
      <c r="E423" t="s">
        <v>49</v>
      </c>
      <c r="F423" t="s">
        <v>53</v>
      </c>
      <c r="G423">
        <v>4</v>
      </c>
      <c r="H423">
        <v>3799.36</v>
      </c>
      <c r="I423">
        <v>0.1</v>
      </c>
      <c r="J423">
        <v>13677.7</v>
      </c>
      <c r="K423" t="s">
        <v>46</v>
      </c>
      <c r="L423" t="s">
        <v>29</v>
      </c>
      <c r="M423" t="s">
        <v>21</v>
      </c>
      <c r="N423" t="s">
        <v>22</v>
      </c>
    </row>
    <row r="424" spans="1:14" x14ac:dyDescent="0.3">
      <c r="A424" t="s">
        <v>485</v>
      </c>
      <c r="B424" s="1">
        <v>45671</v>
      </c>
      <c r="C424" t="s">
        <v>15</v>
      </c>
      <c r="D424" t="s">
        <v>16</v>
      </c>
      <c r="E424" t="s">
        <v>27</v>
      </c>
      <c r="F424" t="s">
        <v>87</v>
      </c>
      <c r="G424">
        <v>3</v>
      </c>
      <c r="H424">
        <v>3893.55</v>
      </c>
      <c r="I424">
        <v>0.1</v>
      </c>
      <c r="J424">
        <v>10512.59</v>
      </c>
      <c r="K424" t="s">
        <v>46</v>
      </c>
      <c r="L424" t="s">
        <v>29</v>
      </c>
      <c r="M424" t="s">
        <v>54</v>
      </c>
      <c r="N424" t="s">
        <v>22</v>
      </c>
    </row>
    <row r="425" spans="1:14" x14ac:dyDescent="0.3">
      <c r="A425" t="s">
        <v>486</v>
      </c>
      <c r="B425" s="1">
        <v>45669</v>
      </c>
      <c r="C425" t="s">
        <v>24</v>
      </c>
      <c r="D425" t="s">
        <v>16</v>
      </c>
      <c r="E425" t="s">
        <v>49</v>
      </c>
      <c r="F425" t="s">
        <v>73</v>
      </c>
      <c r="G425">
        <v>4</v>
      </c>
      <c r="H425">
        <v>3951.8</v>
      </c>
      <c r="I425">
        <v>0.2</v>
      </c>
      <c r="J425">
        <v>12645.76</v>
      </c>
      <c r="K425" t="s">
        <v>19</v>
      </c>
      <c r="L425" t="s">
        <v>29</v>
      </c>
      <c r="M425" t="s">
        <v>21</v>
      </c>
      <c r="N425" t="s">
        <v>22</v>
      </c>
    </row>
    <row r="426" spans="1:14" x14ac:dyDescent="0.3">
      <c r="A426" t="s">
        <v>487</v>
      </c>
      <c r="B426" s="1">
        <v>45773</v>
      </c>
      <c r="C426" t="s">
        <v>52</v>
      </c>
      <c r="D426" t="s">
        <v>16</v>
      </c>
      <c r="E426" t="s">
        <v>17</v>
      </c>
      <c r="F426" t="s">
        <v>18</v>
      </c>
      <c r="G426">
        <v>4</v>
      </c>
      <c r="H426">
        <v>531.89</v>
      </c>
      <c r="I426">
        <v>7.0000000000000007E-2</v>
      </c>
      <c r="J426">
        <v>1978.63</v>
      </c>
      <c r="K426" t="s">
        <v>41</v>
      </c>
      <c r="L426" t="s">
        <v>29</v>
      </c>
      <c r="M426" t="s">
        <v>30</v>
      </c>
      <c r="N426" t="s">
        <v>22</v>
      </c>
    </row>
    <row r="427" spans="1:14" x14ac:dyDescent="0.3">
      <c r="A427" t="s">
        <v>488</v>
      </c>
      <c r="B427" s="1">
        <v>45752</v>
      </c>
      <c r="C427" t="s">
        <v>36</v>
      </c>
      <c r="D427" t="s">
        <v>25</v>
      </c>
      <c r="E427" t="s">
        <v>49</v>
      </c>
      <c r="F427" t="s">
        <v>50</v>
      </c>
      <c r="G427">
        <v>5</v>
      </c>
      <c r="H427">
        <v>381.57</v>
      </c>
      <c r="I427">
        <v>0.19</v>
      </c>
      <c r="J427">
        <v>1545.36</v>
      </c>
      <c r="K427" t="s">
        <v>33</v>
      </c>
      <c r="L427" t="s">
        <v>34</v>
      </c>
      <c r="M427" t="s">
        <v>54</v>
      </c>
      <c r="N427" t="s">
        <v>22</v>
      </c>
    </row>
    <row r="428" spans="1:14" x14ac:dyDescent="0.3">
      <c r="A428" t="s">
        <v>489</v>
      </c>
      <c r="B428" s="1">
        <v>45757</v>
      </c>
      <c r="C428" t="s">
        <v>52</v>
      </c>
      <c r="D428" t="s">
        <v>16</v>
      </c>
      <c r="E428" t="s">
        <v>61</v>
      </c>
      <c r="F428" t="s">
        <v>66</v>
      </c>
      <c r="G428">
        <v>5</v>
      </c>
      <c r="H428">
        <v>2627.49</v>
      </c>
      <c r="I428">
        <v>0.06</v>
      </c>
      <c r="J428">
        <v>12349.2</v>
      </c>
      <c r="K428" t="s">
        <v>58</v>
      </c>
      <c r="L428" t="s">
        <v>29</v>
      </c>
      <c r="M428" t="s">
        <v>54</v>
      </c>
      <c r="N428" t="s">
        <v>22</v>
      </c>
    </row>
    <row r="429" spans="1:14" x14ac:dyDescent="0.3">
      <c r="A429" t="s">
        <v>490</v>
      </c>
      <c r="B429" s="1">
        <v>45838</v>
      </c>
      <c r="C429" t="s">
        <v>24</v>
      </c>
      <c r="D429" t="s">
        <v>16</v>
      </c>
      <c r="E429" t="s">
        <v>17</v>
      </c>
      <c r="F429" t="s">
        <v>44</v>
      </c>
      <c r="G429">
        <v>3</v>
      </c>
      <c r="H429">
        <v>3381.34</v>
      </c>
      <c r="I429">
        <v>0.1</v>
      </c>
      <c r="J429">
        <v>9129.6200000000008</v>
      </c>
      <c r="K429" t="s">
        <v>46</v>
      </c>
      <c r="L429" t="s">
        <v>34</v>
      </c>
      <c r="M429" t="s">
        <v>54</v>
      </c>
      <c r="N429" t="s">
        <v>22</v>
      </c>
    </row>
    <row r="430" spans="1:14" x14ac:dyDescent="0.3">
      <c r="A430" t="s">
        <v>491</v>
      </c>
      <c r="B430" s="1">
        <v>45825</v>
      </c>
      <c r="C430" t="s">
        <v>36</v>
      </c>
      <c r="D430" t="s">
        <v>43</v>
      </c>
      <c r="E430" t="s">
        <v>17</v>
      </c>
      <c r="F430" t="s">
        <v>18</v>
      </c>
      <c r="G430">
        <v>5</v>
      </c>
      <c r="H430">
        <v>4583.54</v>
      </c>
      <c r="I430">
        <v>0.09</v>
      </c>
      <c r="J430">
        <v>20855.11</v>
      </c>
      <c r="K430" t="s">
        <v>46</v>
      </c>
      <c r="L430" t="s">
        <v>29</v>
      </c>
      <c r="M430" t="s">
        <v>30</v>
      </c>
      <c r="N430" t="s">
        <v>22</v>
      </c>
    </row>
    <row r="431" spans="1:14" x14ac:dyDescent="0.3">
      <c r="A431" t="s">
        <v>492</v>
      </c>
      <c r="B431" s="1">
        <v>45763</v>
      </c>
      <c r="C431" t="s">
        <v>48</v>
      </c>
      <c r="D431" t="s">
        <v>16</v>
      </c>
      <c r="E431" t="s">
        <v>61</v>
      </c>
      <c r="F431" t="s">
        <v>92</v>
      </c>
      <c r="G431">
        <v>3</v>
      </c>
      <c r="H431">
        <v>957.67</v>
      </c>
      <c r="I431">
        <v>0.13</v>
      </c>
      <c r="J431">
        <v>2499.52</v>
      </c>
      <c r="K431" t="s">
        <v>33</v>
      </c>
      <c r="L431" t="s">
        <v>20</v>
      </c>
      <c r="M431" t="s">
        <v>21</v>
      </c>
      <c r="N431" t="s">
        <v>22</v>
      </c>
    </row>
    <row r="432" spans="1:14" x14ac:dyDescent="0.3">
      <c r="A432" t="s">
        <v>493</v>
      </c>
      <c r="B432" s="1">
        <v>45690</v>
      </c>
      <c r="C432" t="s">
        <v>36</v>
      </c>
      <c r="D432" t="s">
        <v>25</v>
      </c>
      <c r="E432" t="s">
        <v>99</v>
      </c>
      <c r="F432" t="s">
        <v>120</v>
      </c>
      <c r="G432">
        <v>5</v>
      </c>
      <c r="H432">
        <v>1325.69</v>
      </c>
      <c r="I432">
        <v>0.11</v>
      </c>
      <c r="J432">
        <v>5899.32</v>
      </c>
      <c r="K432" t="s">
        <v>46</v>
      </c>
      <c r="L432" t="s">
        <v>29</v>
      </c>
      <c r="M432" t="s">
        <v>30</v>
      </c>
      <c r="N432" t="s">
        <v>88</v>
      </c>
    </row>
    <row r="433" spans="1:14" x14ac:dyDescent="0.3">
      <c r="A433" t="s">
        <v>494</v>
      </c>
      <c r="B433" s="1">
        <v>45671</v>
      </c>
      <c r="C433" t="s">
        <v>48</v>
      </c>
      <c r="D433" t="s">
        <v>43</v>
      </c>
      <c r="E433" t="s">
        <v>99</v>
      </c>
      <c r="F433" t="s">
        <v>115</v>
      </c>
      <c r="G433">
        <v>4</v>
      </c>
      <c r="H433">
        <v>669.71</v>
      </c>
      <c r="I433">
        <v>0.02</v>
      </c>
      <c r="J433">
        <v>2625.26</v>
      </c>
      <c r="K433" t="s">
        <v>33</v>
      </c>
      <c r="L433" t="s">
        <v>20</v>
      </c>
      <c r="M433" t="s">
        <v>21</v>
      </c>
      <c r="N433" t="s">
        <v>22</v>
      </c>
    </row>
    <row r="434" spans="1:14" x14ac:dyDescent="0.3">
      <c r="A434" t="s">
        <v>495</v>
      </c>
      <c r="B434" s="1">
        <v>45758</v>
      </c>
      <c r="C434" t="s">
        <v>48</v>
      </c>
      <c r="D434" t="s">
        <v>39</v>
      </c>
      <c r="E434" t="s">
        <v>61</v>
      </c>
      <c r="F434" t="s">
        <v>66</v>
      </c>
      <c r="G434">
        <v>5</v>
      </c>
      <c r="H434">
        <v>147.63999999999999</v>
      </c>
      <c r="I434">
        <v>0.21</v>
      </c>
      <c r="J434">
        <v>583.17999999999995</v>
      </c>
      <c r="K434" t="s">
        <v>46</v>
      </c>
      <c r="L434" t="s">
        <v>29</v>
      </c>
      <c r="M434" t="s">
        <v>54</v>
      </c>
      <c r="N434" t="s">
        <v>22</v>
      </c>
    </row>
    <row r="435" spans="1:14" x14ac:dyDescent="0.3">
      <c r="A435" t="s">
        <v>496</v>
      </c>
      <c r="B435" s="1">
        <v>45675</v>
      </c>
      <c r="C435" t="s">
        <v>36</v>
      </c>
      <c r="D435" t="s">
        <v>43</v>
      </c>
      <c r="E435" t="s">
        <v>99</v>
      </c>
      <c r="F435" t="s">
        <v>120</v>
      </c>
      <c r="G435">
        <v>3</v>
      </c>
      <c r="H435">
        <v>1832.34</v>
      </c>
      <c r="I435">
        <v>0.22</v>
      </c>
      <c r="J435">
        <v>4287.68</v>
      </c>
      <c r="K435" t="s">
        <v>19</v>
      </c>
      <c r="L435" t="s">
        <v>34</v>
      </c>
      <c r="M435" t="s">
        <v>30</v>
      </c>
      <c r="N435" t="s">
        <v>37</v>
      </c>
    </row>
    <row r="436" spans="1:14" x14ac:dyDescent="0.3">
      <c r="A436" t="s">
        <v>497</v>
      </c>
      <c r="B436" s="1">
        <v>45825</v>
      </c>
      <c r="C436" t="s">
        <v>52</v>
      </c>
      <c r="D436" t="s">
        <v>43</v>
      </c>
      <c r="E436" t="s">
        <v>61</v>
      </c>
      <c r="F436" t="s">
        <v>92</v>
      </c>
      <c r="G436">
        <v>2</v>
      </c>
      <c r="H436">
        <v>4376.4399999999996</v>
      </c>
      <c r="I436">
        <v>0.05</v>
      </c>
      <c r="J436">
        <v>8315.24</v>
      </c>
      <c r="K436" t="s">
        <v>19</v>
      </c>
      <c r="L436" t="s">
        <v>29</v>
      </c>
      <c r="M436" t="s">
        <v>54</v>
      </c>
      <c r="N436" t="s">
        <v>88</v>
      </c>
    </row>
    <row r="437" spans="1:14" x14ac:dyDescent="0.3">
      <c r="A437" t="s">
        <v>498</v>
      </c>
      <c r="B437" s="1">
        <v>45696</v>
      </c>
      <c r="C437" t="s">
        <v>24</v>
      </c>
      <c r="D437" t="s">
        <v>16</v>
      </c>
      <c r="E437" t="s">
        <v>99</v>
      </c>
      <c r="F437" t="s">
        <v>100</v>
      </c>
      <c r="G437">
        <v>4</v>
      </c>
      <c r="H437">
        <v>3107.75</v>
      </c>
      <c r="I437">
        <v>0.19</v>
      </c>
      <c r="J437">
        <v>10069.11</v>
      </c>
      <c r="K437" t="s">
        <v>58</v>
      </c>
      <c r="L437" t="s">
        <v>20</v>
      </c>
      <c r="M437" t="s">
        <v>21</v>
      </c>
      <c r="N437" t="s">
        <v>88</v>
      </c>
    </row>
    <row r="438" spans="1:14" x14ac:dyDescent="0.3">
      <c r="A438" t="s">
        <v>499</v>
      </c>
      <c r="B438" s="1">
        <v>45673</v>
      </c>
      <c r="C438" t="s">
        <v>48</v>
      </c>
      <c r="D438" t="s">
        <v>39</v>
      </c>
      <c r="E438" t="s">
        <v>99</v>
      </c>
      <c r="F438" t="s">
        <v>111</v>
      </c>
      <c r="G438">
        <v>4</v>
      </c>
      <c r="H438">
        <v>996.07</v>
      </c>
      <c r="I438">
        <v>0.19</v>
      </c>
      <c r="J438">
        <v>3227.27</v>
      </c>
      <c r="K438" t="s">
        <v>33</v>
      </c>
      <c r="L438" t="s">
        <v>34</v>
      </c>
      <c r="M438" t="s">
        <v>21</v>
      </c>
      <c r="N438" t="s">
        <v>22</v>
      </c>
    </row>
    <row r="439" spans="1:14" x14ac:dyDescent="0.3">
      <c r="A439" t="s">
        <v>500</v>
      </c>
      <c r="B439" s="1">
        <v>45775</v>
      </c>
      <c r="C439" t="s">
        <v>24</v>
      </c>
      <c r="D439" t="s">
        <v>25</v>
      </c>
      <c r="E439" t="s">
        <v>27</v>
      </c>
      <c r="F439" t="s">
        <v>68</v>
      </c>
      <c r="G439">
        <v>4</v>
      </c>
      <c r="H439">
        <v>4704.3100000000004</v>
      </c>
      <c r="I439">
        <v>0.01</v>
      </c>
      <c r="J439">
        <v>18629.07</v>
      </c>
      <c r="K439" t="s">
        <v>33</v>
      </c>
      <c r="L439" t="s">
        <v>34</v>
      </c>
      <c r="M439" t="s">
        <v>30</v>
      </c>
      <c r="N439" t="s">
        <v>37</v>
      </c>
    </row>
    <row r="440" spans="1:14" x14ac:dyDescent="0.3">
      <c r="A440" t="s">
        <v>501</v>
      </c>
      <c r="B440" s="1">
        <v>45673</v>
      </c>
      <c r="C440" t="s">
        <v>24</v>
      </c>
      <c r="D440" t="s">
        <v>25</v>
      </c>
      <c r="E440" t="s">
        <v>61</v>
      </c>
      <c r="F440" t="s">
        <v>92</v>
      </c>
      <c r="G440">
        <v>3</v>
      </c>
      <c r="H440">
        <v>3477.13</v>
      </c>
      <c r="I440">
        <v>0</v>
      </c>
      <c r="J440">
        <v>10431.39</v>
      </c>
      <c r="K440" t="s">
        <v>33</v>
      </c>
      <c r="L440" t="s">
        <v>34</v>
      </c>
      <c r="M440" t="s">
        <v>54</v>
      </c>
      <c r="N440" t="s">
        <v>22</v>
      </c>
    </row>
    <row r="441" spans="1:14" x14ac:dyDescent="0.3">
      <c r="A441" t="s">
        <v>502</v>
      </c>
      <c r="B441" s="1">
        <v>45791</v>
      </c>
      <c r="C441" t="s">
        <v>36</v>
      </c>
      <c r="D441" t="s">
        <v>39</v>
      </c>
      <c r="E441" t="s">
        <v>99</v>
      </c>
      <c r="F441" t="s">
        <v>111</v>
      </c>
      <c r="G441">
        <v>5</v>
      </c>
      <c r="H441">
        <v>1387.96</v>
      </c>
      <c r="I441">
        <v>7.0000000000000007E-2</v>
      </c>
      <c r="J441">
        <v>6454.01</v>
      </c>
      <c r="K441" t="s">
        <v>46</v>
      </c>
      <c r="L441" t="s">
        <v>20</v>
      </c>
      <c r="M441" t="s">
        <v>21</v>
      </c>
      <c r="N441" t="s">
        <v>22</v>
      </c>
    </row>
    <row r="442" spans="1:14" x14ac:dyDescent="0.3">
      <c r="A442" t="s">
        <v>503</v>
      </c>
      <c r="B442" s="1">
        <v>45827</v>
      </c>
      <c r="C442" t="s">
        <v>52</v>
      </c>
      <c r="D442" t="s">
        <v>43</v>
      </c>
      <c r="E442" t="s">
        <v>49</v>
      </c>
      <c r="F442" t="s">
        <v>50</v>
      </c>
      <c r="G442">
        <v>3</v>
      </c>
      <c r="H442">
        <v>1888.88</v>
      </c>
      <c r="I442">
        <v>0.1</v>
      </c>
      <c r="J442">
        <v>5099.9799999999996</v>
      </c>
      <c r="K442" t="s">
        <v>41</v>
      </c>
      <c r="L442" t="s">
        <v>29</v>
      </c>
      <c r="M442" t="s">
        <v>30</v>
      </c>
      <c r="N442" t="s">
        <v>22</v>
      </c>
    </row>
    <row r="443" spans="1:14" x14ac:dyDescent="0.3">
      <c r="A443" t="s">
        <v>504</v>
      </c>
      <c r="B443" s="1">
        <v>45705</v>
      </c>
      <c r="C443" t="s">
        <v>24</v>
      </c>
      <c r="D443" t="s">
        <v>43</v>
      </c>
      <c r="E443" t="s">
        <v>27</v>
      </c>
      <c r="F443" t="s">
        <v>68</v>
      </c>
      <c r="G443">
        <v>5</v>
      </c>
      <c r="H443">
        <v>2217.87</v>
      </c>
      <c r="I443">
        <v>0.1</v>
      </c>
      <c r="J443">
        <v>9980.41</v>
      </c>
      <c r="K443" t="s">
        <v>46</v>
      </c>
      <c r="L443" t="s">
        <v>20</v>
      </c>
      <c r="M443" t="s">
        <v>54</v>
      </c>
      <c r="N443" t="s">
        <v>22</v>
      </c>
    </row>
    <row r="444" spans="1:14" x14ac:dyDescent="0.3">
      <c r="A444" t="s">
        <v>505</v>
      </c>
      <c r="B444" s="1">
        <v>45738</v>
      </c>
      <c r="C444" t="s">
        <v>48</v>
      </c>
      <c r="D444" t="s">
        <v>39</v>
      </c>
      <c r="E444" t="s">
        <v>17</v>
      </c>
      <c r="F444" t="s">
        <v>44</v>
      </c>
      <c r="G444">
        <v>5</v>
      </c>
      <c r="H444">
        <v>2716.51</v>
      </c>
      <c r="I444">
        <v>0.08</v>
      </c>
      <c r="J444">
        <v>12495.95</v>
      </c>
      <c r="K444" t="s">
        <v>41</v>
      </c>
      <c r="L444" t="s">
        <v>20</v>
      </c>
      <c r="M444" t="s">
        <v>30</v>
      </c>
      <c r="N444" t="s">
        <v>22</v>
      </c>
    </row>
    <row r="445" spans="1:14" x14ac:dyDescent="0.3">
      <c r="A445" t="s">
        <v>506</v>
      </c>
      <c r="B445" s="1">
        <v>45683</v>
      </c>
      <c r="C445" t="s">
        <v>48</v>
      </c>
      <c r="D445" t="s">
        <v>16</v>
      </c>
      <c r="E445" t="s">
        <v>27</v>
      </c>
      <c r="F445" t="s">
        <v>79</v>
      </c>
      <c r="G445">
        <v>2</v>
      </c>
      <c r="H445">
        <v>394.18</v>
      </c>
      <c r="I445">
        <v>0.2</v>
      </c>
      <c r="J445">
        <v>630.69000000000005</v>
      </c>
      <c r="K445" t="s">
        <v>58</v>
      </c>
      <c r="L445" t="s">
        <v>29</v>
      </c>
      <c r="M445" t="s">
        <v>30</v>
      </c>
      <c r="N445" t="s">
        <v>22</v>
      </c>
    </row>
    <row r="446" spans="1:14" x14ac:dyDescent="0.3">
      <c r="A446" t="s">
        <v>507</v>
      </c>
      <c r="B446" s="1">
        <v>45842</v>
      </c>
      <c r="C446" t="s">
        <v>15</v>
      </c>
      <c r="D446" t="s">
        <v>25</v>
      </c>
      <c r="E446" t="s">
        <v>99</v>
      </c>
      <c r="F446" t="s">
        <v>111</v>
      </c>
      <c r="G446">
        <v>5</v>
      </c>
      <c r="H446">
        <v>4666.04</v>
      </c>
      <c r="I446">
        <v>0.06</v>
      </c>
      <c r="J446">
        <v>21930.39</v>
      </c>
      <c r="K446" t="s">
        <v>46</v>
      </c>
      <c r="L446" t="s">
        <v>29</v>
      </c>
      <c r="M446" t="s">
        <v>54</v>
      </c>
      <c r="N446" t="s">
        <v>22</v>
      </c>
    </row>
    <row r="447" spans="1:14" x14ac:dyDescent="0.3">
      <c r="A447" t="s">
        <v>508</v>
      </c>
      <c r="B447" s="1">
        <v>45832</v>
      </c>
      <c r="C447" t="s">
        <v>36</v>
      </c>
      <c r="D447" t="s">
        <v>39</v>
      </c>
      <c r="E447" t="s">
        <v>27</v>
      </c>
      <c r="F447" t="s">
        <v>68</v>
      </c>
      <c r="G447">
        <v>5</v>
      </c>
      <c r="H447">
        <v>955.24</v>
      </c>
      <c r="I447">
        <v>0.2</v>
      </c>
      <c r="J447">
        <v>3820.96</v>
      </c>
      <c r="K447" t="s">
        <v>33</v>
      </c>
      <c r="L447" t="s">
        <v>29</v>
      </c>
      <c r="M447" t="s">
        <v>30</v>
      </c>
      <c r="N447" t="s">
        <v>22</v>
      </c>
    </row>
    <row r="448" spans="1:14" x14ac:dyDescent="0.3">
      <c r="A448" t="s">
        <v>509</v>
      </c>
      <c r="B448" s="1">
        <v>45770</v>
      </c>
      <c r="C448" t="s">
        <v>24</v>
      </c>
      <c r="D448" t="s">
        <v>39</v>
      </c>
      <c r="E448" t="s">
        <v>49</v>
      </c>
      <c r="F448" t="s">
        <v>50</v>
      </c>
      <c r="G448">
        <v>3</v>
      </c>
      <c r="H448">
        <v>2372.39</v>
      </c>
      <c r="I448">
        <v>0.24</v>
      </c>
      <c r="J448">
        <v>5409.05</v>
      </c>
      <c r="K448" t="s">
        <v>41</v>
      </c>
      <c r="L448" t="s">
        <v>29</v>
      </c>
      <c r="M448" t="s">
        <v>54</v>
      </c>
      <c r="N448" t="s">
        <v>22</v>
      </c>
    </row>
    <row r="449" spans="1:14" x14ac:dyDescent="0.3">
      <c r="A449" t="s">
        <v>510</v>
      </c>
      <c r="B449" s="1">
        <v>45707</v>
      </c>
      <c r="C449" t="s">
        <v>24</v>
      </c>
      <c r="D449" t="s">
        <v>39</v>
      </c>
      <c r="E449" t="s">
        <v>27</v>
      </c>
      <c r="F449" t="s">
        <v>87</v>
      </c>
      <c r="G449">
        <v>3</v>
      </c>
      <c r="H449">
        <v>1218.27</v>
      </c>
      <c r="I449">
        <v>0.08</v>
      </c>
      <c r="J449">
        <v>3362.43</v>
      </c>
      <c r="K449" t="s">
        <v>58</v>
      </c>
      <c r="L449" t="s">
        <v>20</v>
      </c>
      <c r="M449" t="s">
        <v>30</v>
      </c>
      <c r="N449" t="s">
        <v>22</v>
      </c>
    </row>
    <row r="450" spans="1:14" x14ac:dyDescent="0.3">
      <c r="A450" t="s">
        <v>511</v>
      </c>
      <c r="B450" s="1">
        <v>45772</v>
      </c>
      <c r="C450" t="s">
        <v>48</v>
      </c>
      <c r="D450" t="s">
        <v>43</v>
      </c>
      <c r="E450" t="s">
        <v>49</v>
      </c>
      <c r="F450" t="s">
        <v>53</v>
      </c>
      <c r="G450">
        <v>5</v>
      </c>
      <c r="H450">
        <v>2652.58</v>
      </c>
      <c r="I450">
        <v>0.11</v>
      </c>
      <c r="J450">
        <v>11803.98</v>
      </c>
      <c r="K450" t="s">
        <v>46</v>
      </c>
      <c r="L450" t="s">
        <v>29</v>
      </c>
      <c r="M450" t="s">
        <v>54</v>
      </c>
      <c r="N450" t="s">
        <v>37</v>
      </c>
    </row>
    <row r="451" spans="1:14" x14ac:dyDescent="0.3">
      <c r="A451" t="s">
        <v>512</v>
      </c>
      <c r="B451" s="1">
        <v>45775</v>
      </c>
      <c r="C451" t="s">
        <v>15</v>
      </c>
      <c r="D451" t="s">
        <v>16</v>
      </c>
      <c r="E451" t="s">
        <v>61</v>
      </c>
      <c r="F451" t="s">
        <v>75</v>
      </c>
      <c r="G451">
        <v>2</v>
      </c>
      <c r="H451">
        <v>2045.52</v>
      </c>
      <c r="I451">
        <v>0.02</v>
      </c>
      <c r="J451">
        <v>4009.22</v>
      </c>
      <c r="K451" t="s">
        <v>58</v>
      </c>
      <c r="L451" t="s">
        <v>20</v>
      </c>
      <c r="M451" t="s">
        <v>30</v>
      </c>
      <c r="N451" t="s">
        <v>22</v>
      </c>
    </row>
    <row r="452" spans="1:14" x14ac:dyDescent="0.3">
      <c r="A452" t="s">
        <v>513</v>
      </c>
      <c r="B452" s="1">
        <v>45667</v>
      </c>
      <c r="C452" t="s">
        <v>24</v>
      </c>
      <c r="D452" t="s">
        <v>39</v>
      </c>
      <c r="E452" t="s">
        <v>49</v>
      </c>
      <c r="F452" t="s">
        <v>56</v>
      </c>
      <c r="G452">
        <v>2</v>
      </c>
      <c r="H452">
        <v>513.13</v>
      </c>
      <c r="I452">
        <v>0.23</v>
      </c>
      <c r="J452">
        <v>790.22</v>
      </c>
      <c r="K452" t="s">
        <v>46</v>
      </c>
      <c r="L452" t="s">
        <v>29</v>
      </c>
      <c r="M452" t="s">
        <v>30</v>
      </c>
      <c r="N452" t="s">
        <v>22</v>
      </c>
    </row>
    <row r="453" spans="1:14" x14ac:dyDescent="0.3">
      <c r="A453" t="s">
        <v>514</v>
      </c>
      <c r="B453" s="1">
        <v>45780</v>
      </c>
      <c r="C453" t="s">
        <v>52</v>
      </c>
      <c r="D453" t="s">
        <v>25</v>
      </c>
      <c r="E453" t="s">
        <v>99</v>
      </c>
      <c r="F453" t="s">
        <v>115</v>
      </c>
      <c r="G453">
        <v>2</v>
      </c>
      <c r="H453">
        <v>240</v>
      </c>
      <c r="I453">
        <v>0.17</v>
      </c>
      <c r="J453">
        <v>398.4</v>
      </c>
      <c r="K453" t="s">
        <v>19</v>
      </c>
      <c r="L453" t="s">
        <v>29</v>
      </c>
      <c r="M453" t="s">
        <v>30</v>
      </c>
      <c r="N453" t="s">
        <v>22</v>
      </c>
    </row>
    <row r="454" spans="1:14" x14ac:dyDescent="0.3">
      <c r="A454" t="s">
        <v>515</v>
      </c>
      <c r="B454" s="1">
        <v>45675</v>
      </c>
      <c r="C454" t="s">
        <v>36</v>
      </c>
      <c r="D454" t="s">
        <v>25</v>
      </c>
      <c r="E454" t="s">
        <v>27</v>
      </c>
      <c r="F454" t="s">
        <v>28</v>
      </c>
      <c r="G454">
        <v>5</v>
      </c>
      <c r="H454">
        <v>967.48</v>
      </c>
      <c r="I454">
        <v>0.15</v>
      </c>
      <c r="J454">
        <v>4111.79</v>
      </c>
      <c r="K454" t="s">
        <v>41</v>
      </c>
      <c r="L454" t="s">
        <v>20</v>
      </c>
      <c r="M454" t="s">
        <v>21</v>
      </c>
      <c r="N454" t="s">
        <v>22</v>
      </c>
    </row>
    <row r="455" spans="1:14" x14ac:dyDescent="0.3">
      <c r="A455" t="s">
        <v>516</v>
      </c>
      <c r="B455" s="1">
        <v>45741</v>
      </c>
      <c r="C455" t="s">
        <v>15</v>
      </c>
      <c r="D455" t="s">
        <v>25</v>
      </c>
      <c r="E455" t="s">
        <v>27</v>
      </c>
      <c r="F455" t="s">
        <v>28</v>
      </c>
      <c r="G455">
        <v>2</v>
      </c>
      <c r="H455">
        <v>4043.07</v>
      </c>
      <c r="I455">
        <v>0.11</v>
      </c>
      <c r="J455">
        <v>7196.66</v>
      </c>
      <c r="K455" t="s">
        <v>41</v>
      </c>
      <c r="L455" t="s">
        <v>29</v>
      </c>
      <c r="M455" t="s">
        <v>30</v>
      </c>
      <c r="N455" t="s">
        <v>22</v>
      </c>
    </row>
    <row r="456" spans="1:14" x14ac:dyDescent="0.3">
      <c r="A456" t="s">
        <v>517</v>
      </c>
      <c r="B456" s="1">
        <v>45787</v>
      </c>
      <c r="C456" t="s">
        <v>24</v>
      </c>
      <c r="D456" t="s">
        <v>25</v>
      </c>
      <c r="E456" t="s">
        <v>99</v>
      </c>
      <c r="F456" t="s">
        <v>120</v>
      </c>
      <c r="G456">
        <v>3</v>
      </c>
      <c r="H456">
        <v>1505.14</v>
      </c>
      <c r="I456">
        <v>0.13</v>
      </c>
      <c r="J456">
        <v>3928.42</v>
      </c>
      <c r="K456" t="s">
        <v>33</v>
      </c>
      <c r="L456" t="s">
        <v>20</v>
      </c>
      <c r="M456" t="s">
        <v>21</v>
      </c>
      <c r="N456" t="s">
        <v>37</v>
      </c>
    </row>
    <row r="457" spans="1:14" x14ac:dyDescent="0.3">
      <c r="A457" t="s">
        <v>518</v>
      </c>
      <c r="B457" s="1">
        <v>45773</v>
      </c>
      <c r="C457" t="s">
        <v>24</v>
      </c>
      <c r="D457" t="s">
        <v>43</v>
      </c>
      <c r="E457" t="s">
        <v>49</v>
      </c>
      <c r="F457" t="s">
        <v>53</v>
      </c>
      <c r="G457">
        <v>5</v>
      </c>
      <c r="H457">
        <v>1232.96</v>
      </c>
      <c r="I457">
        <v>0</v>
      </c>
      <c r="J457">
        <v>6164.8</v>
      </c>
      <c r="K457" t="s">
        <v>41</v>
      </c>
      <c r="L457" t="s">
        <v>34</v>
      </c>
      <c r="M457" t="s">
        <v>30</v>
      </c>
      <c r="N457" t="s">
        <v>22</v>
      </c>
    </row>
    <row r="458" spans="1:14" x14ac:dyDescent="0.3">
      <c r="A458" t="s">
        <v>519</v>
      </c>
      <c r="B458" s="1">
        <v>45769</v>
      </c>
      <c r="C458" t="s">
        <v>48</v>
      </c>
      <c r="D458" t="s">
        <v>25</v>
      </c>
      <c r="E458" t="s">
        <v>27</v>
      </c>
      <c r="F458" t="s">
        <v>87</v>
      </c>
      <c r="G458">
        <v>4</v>
      </c>
      <c r="H458">
        <v>4159.29</v>
      </c>
      <c r="I458">
        <v>0.06</v>
      </c>
      <c r="J458">
        <v>15638.93</v>
      </c>
      <c r="K458" t="s">
        <v>19</v>
      </c>
      <c r="L458" t="s">
        <v>20</v>
      </c>
      <c r="M458" t="s">
        <v>54</v>
      </c>
      <c r="N458" t="s">
        <v>22</v>
      </c>
    </row>
    <row r="459" spans="1:14" x14ac:dyDescent="0.3">
      <c r="A459" t="s">
        <v>520</v>
      </c>
      <c r="B459" s="1">
        <v>45761</v>
      </c>
      <c r="C459" t="s">
        <v>15</v>
      </c>
      <c r="D459" t="s">
        <v>39</v>
      </c>
      <c r="E459" t="s">
        <v>27</v>
      </c>
      <c r="F459" t="s">
        <v>28</v>
      </c>
      <c r="G459">
        <v>4</v>
      </c>
      <c r="H459">
        <v>1021.2</v>
      </c>
      <c r="I459">
        <v>0.02</v>
      </c>
      <c r="J459">
        <v>4003.1</v>
      </c>
      <c r="K459" t="s">
        <v>33</v>
      </c>
      <c r="L459" t="s">
        <v>34</v>
      </c>
      <c r="M459" t="s">
        <v>54</v>
      </c>
      <c r="N459" t="s">
        <v>22</v>
      </c>
    </row>
    <row r="460" spans="1:14" x14ac:dyDescent="0.3">
      <c r="A460" t="s">
        <v>521</v>
      </c>
      <c r="B460" s="1">
        <v>45721</v>
      </c>
      <c r="C460" t="s">
        <v>15</v>
      </c>
      <c r="D460" t="s">
        <v>16</v>
      </c>
      <c r="E460" t="s">
        <v>49</v>
      </c>
      <c r="F460" t="s">
        <v>50</v>
      </c>
      <c r="G460">
        <v>2</v>
      </c>
      <c r="H460">
        <v>1671.15</v>
      </c>
      <c r="I460">
        <v>0.04</v>
      </c>
      <c r="J460">
        <v>3208.61</v>
      </c>
      <c r="K460" t="s">
        <v>33</v>
      </c>
      <c r="L460" t="s">
        <v>34</v>
      </c>
      <c r="M460" t="s">
        <v>21</v>
      </c>
      <c r="N460" t="s">
        <v>22</v>
      </c>
    </row>
    <row r="461" spans="1:14" x14ac:dyDescent="0.3">
      <c r="A461" t="s">
        <v>522</v>
      </c>
      <c r="B461" s="1">
        <v>45841</v>
      </c>
      <c r="C461" t="s">
        <v>15</v>
      </c>
      <c r="D461" t="s">
        <v>16</v>
      </c>
      <c r="E461" t="s">
        <v>17</v>
      </c>
      <c r="F461" t="s">
        <v>32</v>
      </c>
      <c r="G461">
        <v>4</v>
      </c>
      <c r="H461">
        <v>3662.82</v>
      </c>
      <c r="I461">
        <v>0.06</v>
      </c>
      <c r="J461">
        <v>13772.2</v>
      </c>
      <c r="K461" t="s">
        <v>19</v>
      </c>
      <c r="L461" t="s">
        <v>29</v>
      </c>
      <c r="M461" t="s">
        <v>54</v>
      </c>
      <c r="N461" t="s">
        <v>22</v>
      </c>
    </row>
    <row r="462" spans="1:14" x14ac:dyDescent="0.3">
      <c r="A462" t="s">
        <v>523</v>
      </c>
      <c r="B462" s="1">
        <v>45710</v>
      </c>
      <c r="C462" t="s">
        <v>15</v>
      </c>
      <c r="D462" t="s">
        <v>43</v>
      </c>
      <c r="E462" t="s">
        <v>99</v>
      </c>
      <c r="F462" t="s">
        <v>115</v>
      </c>
      <c r="G462">
        <v>4</v>
      </c>
      <c r="H462">
        <v>3514.98</v>
      </c>
      <c r="I462">
        <v>0.01</v>
      </c>
      <c r="J462">
        <v>13919.32</v>
      </c>
      <c r="K462" t="s">
        <v>41</v>
      </c>
      <c r="L462" t="s">
        <v>34</v>
      </c>
      <c r="M462" t="s">
        <v>54</v>
      </c>
      <c r="N462" t="s">
        <v>22</v>
      </c>
    </row>
    <row r="463" spans="1:14" x14ac:dyDescent="0.3">
      <c r="A463" t="s">
        <v>524</v>
      </c>
      <c r="B463" s="1">
        <v>45699</v>
      </c>
      <c r="C463" t="s">
        <v>36</v>
      </c>
      <c r="D463" t="s">
        <v>16</v>
      </c>
      <c r="E463" t="s">
        <v>49</v>
      </c>
      <c r="F463" t="s">
        <v>56</v>
      </c>
      <c r="G463">
        <v>2</v>
      </c>
      <c r="H463">
        <v>4488.92</v>
      </c>
      <c r="I463">
        <v>0.06</v>
      </c>
      <c r="J463">
        <v>8439.17</v>
      </c>
      <c r="K463" t="s">
        <v>41</v>
      </c>
      <c r="L463" t="s">
        <v>20</v>
      </c>
      <c r="M463" t="s">
        <v>30</v>
      </c>
      <c r="N463" t="s">
        <v>22</v>
      </c>
    </row>
    <row r="464" spans="1:14" x14ac:dyDescent="0.3">
      <c r="A464" t="s">
        <v>525</v>
      </c>
      <c r="B464" s="1">
        <v>45790</v>
      </c>
      <c r="C464" t="s">
        <v>48</v>
      </c>
      <c r="D464" t="s">
        <v>43</v>
      </c>
      <c r="E464" t="s">
        <v>61</v>
      </c>
      <c r="F464" t="s">
        <v>92</v>
      </c>
      <c r="G464">
        <v>1</v>
      </c>
      <c r="H464">
        <v>1075.98</v>
      </c>
      <c r="I464">
        <v>0.18</v>
      </c>
      <c r="J464">
        <v>882.3</v>
      </c>
      <c r="K464" t="s">
        <v>19</v>
      </c>
      <c r="L464" t="s">
        <v>29</v>
      </c>
      <c r="M464" t="s">
        <v>54</v>
      </c>
      <c r="N464" t="s">
        <v>22</v>
      </c>
    </row>
    <row r="465" spans="1:14" x14ac:dyDescent="0.3">
      <c r="A465" t="s">
        <v>526</v>
      </c>
      <c r="B465" s="1">
        <v>45799</v>
      </c>
      <c r="C465" t="s">
        <v>52</v>
      </c>
      <c r="D465" t="s">
        <v>39</v>
      </c>
      <c r="E465" t="s">
        <v>99</v>
      </c>
      <c r="F465" t="s">
        <v>111</v>
      </c>
      <c r="G465">
        <v>5</v>
      </c>
      <c r="H465">
        <v>2652.54</v>
      </c>
      <c r="I465">
        <v>0.06</v>
      </c>
      <c r="J465">
        <v>12466.94</v>
      </c>
      <c r="K465" t="s">
        <v>58</v>
      </c>
      <c r="L465" t="s">
        <v>29</v>
      </c>
      <c r="M465" t="s">
        <v>21</v>
      </c>
      <c r="N465" t="s">
        <v>22</v>
      </c>
    </row>
    <row r="466" spans="1:14" x14ac:dyDescent="0.3">
      <c r="A466" t="s">
        <v>527</v>
      </c>
      <c r="B466" s="1">
        <v>45721</v>
      </c>
      <c r="C466" t="s">
        <v>24</v>
      </c>
      <c r="D466" t="s">
        <v>16</v>
      </c>
      <c r="E466" t="s">
        <v>17</v>
      </c>
      <c r="F466" t="s">
        <v>44</v>
      </c>
      <c r="G466">
        <v>4</v>
      </c>
      <c r="H466">
        <v>1690.12</v>
      </c>
      <c r="I466">
        <v>0.04</v>
      </c>
      <c r="J466">
        <v>6490.06</v>
      </c>
      <c r="K466" t="s">
        <v>19</v>
      </c>
      <c r="L466" t="s">
        <v>29</v>
      </c>
      <c r="M466" t="s">
        <v>30</v>
      </c>
      <c r="N466" t="s">
        <v>22</v>
      </c>
    </row>
    <row r="467" spans="1:14" x14ac:dyDescent="0.3">
      <c r="A467" t="s">
        <v>528</v>
      </c>
      <c r="B467" s="1">
        <v>45706</v>
      </c>
      <c r="C467" t="s">
        <v>24</v>
      </c>
      <c r="D467" t="s">
        <v>43</v>
      </c>
      <c r="E467" t="s">
        <v>61</v>
      </c>
      <c r="F467" t="s">
        <v>62</v>
      </c>
      <c r="G467">
        <v>4</v>
      </c>
      <c r="H467">
        <v>3473.19</v>
      </c>
      <c r="I467">
        <v>0.04</v>
      </c>
      <c r="J467">
        <v>13337.05</v>
      </c>
      <c r="K467" t="s">
        <v>33</v>
      </c>
      <c r="L467" t="s">
        <v>29</v>
      </c>
      <c r="M467" t="s">
        <v>54</v>
      </c>
      <c r="N467" t="s">
        <v>22</v>
      </c>
    </row>
    <row r="468" spans="1:14" x14ac:dyDescent="0.3">
      <c r="A468" t="s">
        <v>529</v>
      </c>
      <c r="B468" s="1">
        <v>45711</v>
      </c>
      <c r="C468" t="s">
        <v>24</v>
      </c>
      <c r="D468" t="s">
        <v>25</v>
      </c>
      <c r="E468" t="s">
        <v>17</v>
      </c>
      <c r="F468" t="s">
        <v>32</v>
      </c>
      <c r="G468">
        <v>2</v>
      </c>
      <c r="H468">
        <v>3536.51</v>
      </c>
      <c r="I468">
        <v>0.2</v>
      </c>
      <c r="J468">
        <v>5658.42</v>
      </c>
      <c r="K468" t="s">
        <v>58</v>
      </c>
      <c r="L468" t="s">
        <v>34</v>
      </c>
      <c r="M468" t="s">
        <v>54</v>
      </c>
      <c r="N468" t="s">
        <v>22</v>
      </c>
    </row>
    <row r="469" spans="1:14" x14ac:dyDescent="0.3">
      <c r="A469" t="s">
        <v>530</v>
      </c>
      <c r="B469" s="1">
        <v>45736</v>
      </c>
      <c r="C469" t="s">
        <v>48</v>
      </c>
      <c r="D469" t="s">
        <v>25</v>
      </c>
      <c r="E469" t="s">
        <v>27</v>
      </c>
      <c r="F469" t="s">
        <v>28</v>
      </c>
      <c r="G469">
        <v>4</v>
      </c>
      <c r="H469">
        <v>1855.02</v>
      </c>
      <c r="I469">
        <v>0.03</v>
      </c>
      <c r="J469">
        <v>7197.48</v>
      </c>
      <c r="K469" t="s">
        <v>19</v>
      </c>
      <c r="L469" t="s">
        <v>20</v>
      </c>
      <c r="M469" t="s">
        <v>54</v>
      </c>
      <c r="N469" t="s">
        <v>22</v>
      </c>
    </row>
    <row r="470" spans="1:14" x14ac:dyDescent="0.3">
      <c r="A470" t="s">
        <v>531</v>
      </c>
      <c r="B470" s="1">
        <v>45685</v>
      </c>
      <c r="C470" t="s">
        <v>36</v>
      </c>
      <c r="D470" t="s">
        <v>25</v>
      </c>
      <c r="E470" t="s">
        <v>27</v>
      </c>
      <c r="F470" t="s">
        <v>28</v>
      </c>
      <c r="G470">
        <v>5</v>
      </c>
      <c r="H470">
        <v>1014.47</v>
      </c>
      <c r="I470">
        <v>0.09</v>
      </c>
      <c r="J470">
        <v>4615.84</v>
      </c>
      <c r="K470" t="s">
        <v>41</v>
      </c>
      <c r="L470" t="s">
        <v>20</v>
      </c>
      <c r="M470" t="s">
        <v>21</v>
      </c>
      <c r="N470" t="s">
        <v>22</v>
      </c>
    </row>
    <row r="471" spans="1:14" x14ac:dyDescent="0.3">
      <c r="A471" t="s">
        <v>532</v>
      </c>
      <c r="B471" s="1">
        <v>45790</v>
      </c>
      <c r="C471" t="s">
        <v>24</v>
      </c>
      <c r="D471" t="s">
        <v>25</v>
      </c>
      <c r="E471" t="s">
        <v>27</v>
      </c>
      <c r="F471" t="s">
        <v>68</v>
      </c>
      <c r="G471">
        <v>4</v>
      </c>
      <c r="H471">
        <v>1548.8</v>
      </c>
      <c r="I471">
        <v>7.0000000000000007E-2</v>
      </c>
      <c r="J471">
        <v>5761.54</v>
      </c>
      <c r="K471" t="s">
        <v>33</v>
      </c>
      <c r="L471" t="s">
        <v>20</v>
      </c>
      <c r="M471" t="s">
        <v>30</v>
      </c>
      <c r="N471" t="s">
        <v>22</v>
      </c>
    </row>
    <row r="472" spans="1:14" x14ac:dyDescent="0.3">
      <c r="A472" t="s">
        <v>533</v>
      </c>
      <c r="B472" s="1">
        <v>45785</v>
      </c>
      <c r="C472" t="s">
        <v>52</v>
      </c>
      <c r="D472" t="s">
        <v>16</v>
      </c>
      <c r="E472" t="s">
        <v>27</v>
      </c>
      <c r="F472" t="s">
        <v>87</v>
      </c>
      <c r="G472">
        <v>3</v>
      </c>
      <c r="H472">
        <v>3902.48</v>
      </c>
      <c r="I472">
        <v>0.06</v>
      </c>
      <c r="J472">
        <v>11004.99</v>
      </c>
      <c r="K472" t="s">
        <v>58</v>
      </c>
      <c r="L472" t="s">
        <v>29</v>
      </c>
      <c r="M472" t="s">
        <v>21</v>
      </c>
      <c r="N472" t="s">
        <v>22</v>
      </c>
    </row>
    <row r="473" spans="1:14" x14ac:dyDescent="0.3">
      <c r="A473" t="s">
        <v>534</v>
      </c>
      <c r="B473" s="1">
        <v>45718</v>
      </c>
      <c r="C473" t="s">
        <v>52</v>
      </c>
      <c r="D473" t="s">
        <v>39</v>
      </c>
      <c r="E473" t="s">
        <v>27</v>
      </c>
      <c r="F473" t="s">
        <v>87</v>
      </c>
      <c r="G473">
        <v>4</v>
      </c>
      <c r="H473">
        <v>3852.1</v>
      </c>
      <c r="I473">
        <v>0.04</v>
      </c>
      <c r="J473">
        <v>14792.06</v>
      </c>
      <c r="K473" t="s">
        <v>33</v>
      </c>
      <c r="L473" t="s">
        <v>29</v>
      </c>
      <c r="M473" t="s">
        <v>30</v>
      </c>
      <c r="N473" t="s">
        <v>22</v>
      </c>
    </row>
    <row r="474" spans="1:14" x14ac:dyDescent="0.3">
      <c r="A474" t="s">
        <v>535</v>
      </c>
      <c r="B474" s="1">
        <v>45748</v>
      </c>
      <c r="C474" t="s">
        <v>24</v>
      </c>
      <c r="D474" t="s">
        <v>16</v>
      </c>
      <c r="E474" t="s">
        <v>99</v>
      </c>
      <c r="F474" t="s">
        <v>120</v>
      </c>
      <c r="G474">
        <v>1</v>
      </c>
      <c r="H474">
        <v>314.51</v>
      </c>
      <c r="I474">
        <v>0.23</v>
      </c>
      <c r="J474">
        <v>242.17</v>
      </c>
      <c r="K474" t="s">
        <v>33</v>
      </c>
      <c r="L474" t="s">
        <v>29</v>
      </c>
      <c r="M474" t="s">
        <v>54</v>
      </c>
      <c r="N474" t="s">
        <v>22</v>
      </c>
    </row>
    <row r="475" spans="1:14" x14ac:dyDescent="0.3">
      <c r="A475" t="s">
        <v>536</v>
      </c>
      <c r="B475" s="1">
        <v>45721</v>
      </c>
      <c r="C475" t="s">
        <v>24</v>
      </c>
      <c r="D475" t="s">
        <v>39</v>
      </c>
      <c r="E475" t="s">
        <v>49</v>
      </c>
      <c r="F475" t="s">
        <v>73</v>
      </c>
      <c r="G475">
        <v>4</v>
      </c>
      <c r="H475">
        <v>3323.81</v>
      </c>
      <c r="I475">
        <v>0.13</v>
      </c>
      <c r="J475">
        <v>11566.86</v>
      </c>
      <c r="K475" t="s">
        <v>58</v>
      </c>
      <c r="L475" t="s">
        <v>29</v>
      </c>
      <c r="M475" t="s">
        <v>21</v>
      </c>
      <c r="N475" t="s">
        <v>22</v>
      </c>
    </row>
    <row r="476" spans="1:14" x14ac:dyDescent="0.3">
      <c r="A476" t="s">
        <v>537</v>
      </c>
      <c r="B476" s="1">
        <v>45840</v>
      </c>
      <c r="C476" t="s">
        <v>24</v>
      </c>
      <c r="D476" t="s">
        <v>16</v>
      </c>
      <c r="E476" t="s">
        <v>61</v>
      </c>
      <c r="F476" t="s">
        <v>62</v>
      </c>
      <c r="G476">
        <v>4</v>
      </c>
      <c r="H476">
        <v>4649.18</v>
      </c>
      <c r="I476">
        <v>0.21</v>
      </c>
      <c r="J476">
        <v>14691.41</v>
      </c>
      <c r="K476" t="s">
        <v>19</v>
      </c>
      <c r="L476" t="s">
        <v>29</v>
      </c>
      <c r="M476" t="s">
        <v>30</v>
      </c>
      <c r="N476" t="s">
        <v>22</v>
      </c>
    </row>
    <row r="477" spans="1:14" x14ac:dyDescent="0.3">
      <c r="A477" t="s">
        <v>538</v>
      </c>
      <c r="B477" s="1">
        <v>45805</v>
      </c>
      <c r="C477" t="s">
        <v>24</v>
      </c>
      <c r="D477" t="s">
        <v>16</v>
      </c>
      <c r="E477" t="s">
        <v>49</v>
      </c>
      <c r="F477" t="s">
        <v>53</v>
      </c>
      <c r="G477">
        <v>5</v>
      </c>
      <c r="H477">
        <v>299.2</v>
      </c>
      <c r="I477">
        <v>0.02</v>
      </c>
      <c r="J477">
        <v>1466.08</v>
      </c>
      <c r="K477" t="s">
        <v>33</v>
      </c>
      <c r="L477" t="s">
        <v>34</v>
      </c>
      <c r="M477" t="s">
        <v>30</v>
      </c>
      <c r="N477" t="s">
        <v>37</v>
      </c>
    </row>
    <row r="478" spans="1:14" x14ac:dyDescent="0.3">
      <c r="A478" t="s">
        <v>539</v>
      </c>
      <c r="B478" s="1">
        <v>45841</v>
      </c>
      <c r="C478" t="s">
        <v>24</v>
      </c>
      <c r="D478" t="s">
        <v>43</v>
      </c>
      <c r="E478" t="s">
        <v>27</v>
      </c>
      <c r="F478" t="s">
        <v>79</v>
      </c>
      <c r="G478">
        <v>4</v>
      </c>
      <c r="H478">
        <v>1028.3599999999999</v>
      </c>
      <c r="I478">
        <v>0.13</v>
      </c>
      <c r="J478">
        <v>3578.69</v>
      </c>
      <c r="K478" t="s">
        <v>19</v>
      </c>
      <c r="L478" t="s">
        <v>29</v>
      </c>
      <c r="M478" t="s">
        <v>54</v>
      </c>
      <c r="N478" t="s">
        <v>22</v>
      </c>
    </row>
    <row r="479" spans="1:14" x14ac:dyDescent="0.3">
      <c r="A479" t="s">
        <v>540</v>
      </c>
      <c r="B479" s="1">
        <v>45674</v>
      </c>
      <c r="C479" t="s">
        <v>24</v>
      </c>
      <c r="D479" t="s">
        <v>43</v>
      </c>
      <c r="E479" t="s">
        <v>27</v>
      </c>
      <c r="F479" t="s">
        <v>87</v>
      </c>
      <c r="G479">
        <v>4</v>
      </c>
      <c r="H479">
        <v>3542.5</v>
      </c>
      <c r="I479">
        <v>0.11</v>
      </c>
      <c r="J479">
        <v>12611.3</v>
      </c>
      <c r="K479" t="s">
        <v>33</v>
      </c>
      <c r="L479" t="s">
        <v>34</v>
      </c>
      <c r="M479" t="s">
        <v>54</v>
      </c>
      <c r="N479" t="s">
        <v>88</v>
      </c>
    </row>
    <row r="480" spans="1:14" x14ac:dyDescent="0.3">
      <c r="A480" t="s">
        <v>541</v>
      </c>
      <c r="B480" s="1">
        <v>45661</v>
      </c>
      <c r="C480" t="s">
        <v>36</v>
      </c>
      <c r="D480" t="s">
        <v>39</v>
      </c>
      <c r="E480" t="s">
        <v>27</v>
      </c>
      <c r="F480" t="s">
        <v>87</v>
      </c>
      <c r="G480">
        <v>2</v>
      </c>
      <c r="H480">
        <v>2716.11</v>
      </c>
      <c r="I480">
        <v>0.15</v>
      </c>
      <c r="J480">
        <v>4617.3900000000003</v>
      </c>
      <c r="K480" t="s">
        <v>46</v>
      </c>
      <c r="L480" t="s">
        <v>29</v>
      </c>
      <c r="M480" t="s">
        <v>30</v>
      </c>
      <c r="N480" t="s">
        <v>22</v>
      </c>
    </row>
    <row r="481" spans="1:14" x14ac:dyDescent="0.3">
      <c r="A481" t="s">
        <v>542</v>
      </c>
      <c r="B481" s="1">
        <v>45748</v>
      </c>
      <c r="C481" t="s">
        <v>48</v>
      </c>
      <c r="D481" t="s">
        <v>25</v>
      </c>
      <c r="E481" t="s">
        <v>99</v>
      </c>
      <c r="F481" t="s">
        <v>111</v>
      </c>
      <c r="G481">
        <v>3</v>
      </c>
      <c r="H481">
        <v>3081.23</v>
      </c>
      <c r="I481">
        <v>0.14000000000000001</v>
      </c>
      <c r="J481">
        <v>7949.57</v>
      </c>
      <c r="K481" t="s">
        <v>41</v>
      </c>
      <c r="L481" t="s">
        <v>29</v>
      </c>
      <c r="M481" t="s">
        <v>54</v>
      </c>
      <c r="N481" t="s">
        <v>88</v>
      </c>
    </row>
    <row r="482" spans="1:14" x14ac:dyDescent="0.3">
      <c r="A482" t="s">
        <v>543</v>
      </c>
      <c r="B482" s="1">
        <v>45780</v>
      </c>
      <c r="C482" t="s">
        <v>48</v>
      </c>
      <c r="D482" t="s">
        <v>16</v>
      </c>
      <c r="E482" t="s">
        <v>99</v>
      </c>
      <c r="F482" t="s">
        <v>111</v>
      </c>
      <c r="G482">
        <v>1</v>
      </c>
      <c r="H482">
        <v>3658.94</v>
      </c>
      <c r="I482">
        <v>0.25</v>
      </c>
      <c r="J482">
        <v>2744.2</v>
      </c>
      <c r="K482" t="s">
        <v>41</v>
      </c>
      <c r="L482" t="s">
        <v>34</v>
      </c>
      <c r="M482" t="s">
        <v>21</v>
      </c>
      <c r="N482" t="s">
        <v>22</v>
      </c>
    </row>
    <row r="483" spans="1:14" x14ac:dyDescent="0.3">
      <c r="A483" t="s">
        <v>544</v>
      </c>
      <c r="B483" s="1">
        <v>45769</v>
      </c>
      <c r="C483" t="s">
        <v>15</v>
      </c>
      <c r="D483" t="s">
        <v>39</v>
      </c>
      <c r="E483" t="s">
        <v>99</v>
      </c>
      <c r="F483" t="s">
        <v>120</v>
      </c>
      <c r="G483">
        <v>3</v>
      </c>
      <c r="H483">
        <v>206.34</v>
      </c>
      <c r="I483">
        <v>0.21</v>
      </c>
      <c r="J483">
        <v>489.03</v>
      </c>
      <c r="K483" t="s">
        <v>19</v>
      </c>
      <c r="L483" t="s">
        <v>20</v>
      </c>
      <c r="M483" t="s">
        <v>21</v>
      </c>
      <c r="N483" t="s">
        <v>37</v>
      </c>
    </row>
    <row r="484" spans="1:14" x14ac:dyDescent="0.3">
      <c r="A484" t="s">
        <v>545</v>
      </c>
      <c r="B484" s="1">
        <v>45679</v>
      </c>
      <c r="C484" t="s">
        <v>24</v>
      </c>
      <c r="D484" t="s">
        <v>43</v>
      </c>
      <c r="E484" t="s">
        <v>27</v>
      </c>
      <c r="F484" t="s">
        <v>68</v>
      </c>
      <c r="G484">
        <v>3</v>
      </c>
      <c r="H484">
        <v>864.92</v>
      </c>
      <c r="I484">
        <v>7.0000000000000007E-2</v>
      </c>
      <c r="J484">
        <v>2413.13</v>
      </c>
      <c r="K484" t="s">
        <v>58</v>
      </c>
      <c r="L484" t="s">
        <v>34</v>
      </c>
      <c r="M484" t="s">
        <v>21</v>
      </c>
      <c r="N484" t="s">
        <v>22</v>
      </c>
    </row>
    <row r="485" spans="1:14" x14ac:dyDescent="0.3">
      <c r="A485" t="s">
        <v>546</v>
      </c>
      <c r="B485" s="1">
        <v>45674</v>
      </c>
      <c r="C485" t="s">
        <v>36</v>
      </c>
      <c r="D485" t="s">
        <v>43</v>
      </c>
      <c r="E485" t="s">
        <v>99</v>
      </c>
      <c r="F485" t="s">
        <v>120</v>
      </c>
      <c r="G485">
        <v>2</v>
      </c>
      <c r="H485">
        <v>3697.9</v>
      </c>
      <c r="I485">
        <v>0.18</v>
      </c>
      <c r="J485">
        <v>6064.56</v>
      </c>
      <c r="K485" t="s">
        <v>41</v>
      </c>
      <c r="L485" t="s">
        <v>29</v>
      </c>
      <c r="M485" t="s">
        <v>30</v>
      </c>
      <c r="N485" t="s">
        <v>22</v>
      </c>
    </row>
    <row r="486" spans="1:14" x14ac:dyDescent="0.3">
      <c r="A486" t="s">
        <v>547</v>
      </c>
      <c r="B486" s="1">
        <v>45764</v>
      </c>
      <c r="C486" t="s">
        <v>36</v>
      </c>
      <c r="D486" t="s">
        <v>39</v>
      </c>
      <c r="E486" t="s">
        <v>27</v>
      </c>
      <c r="F486" t="s">
        <v>79</v>
      </c>
      <c r="G486">
        <v>5</v>
      </c>
      <c r="H486">
        <v>1969.58</v>
      </c>
      <c r="I486">
        <v>0.2</v>
      </c>
      <c r="J486">
        <v>7878.32</v>
      </c>
      <c r="K486" t="s">
        <v>46</v>
      </c>
      <c r="L486" t="s">
        <v>20</v>
      </c>
      <c r="M486" t="s">
        <v>30</v>
      </c>
      <c r="N486" t="s">
        <v>37</v>
      </c>
    </row>
    <row r="487" spans="1:14" x14ac:dyDescent="0.3">
      <c r="A487" t="s">
        <v>548</v>
      </c>
      <c r="B487" s="1">
        <v>45701</v>
      </c>
      <c r="C487" t="s">
        <v>24</v>
      </c>
      <c r="D487" t="s">
        <v>25</v>
      </c>
      <c r="E487" t="s">
        <v>49</v>
      </c>
      <c r="F487" t="s">
        <v>50</v>
      </c>
      <c r="G487">
        <v>5</v>
      </c>
      <c r="H487">
        <v>4650.3999999999996</v>
      </c>
      <c r="I487">
        <v>0.16</v>
      </c>
      <c r="J487">
        <v>19531.68</v>
      </c>
      <c r="K487" t="s">
        <v>19</v>
      </c>
      <c r="L487" t="s">
        <v>29</v>
      </c>
      <c r="M487" t="s">
        <v>21</v>
      </c>
      <c r="N487" t="s">
        <v>22</v>
      </c>
    </row>
    <row r="488" spans="1:14" x14ac:dyDescent="0.3">
      <c r="A488" t="s">
        <v>549</v>
      </c>
      <c r="B488" s="1">
        <v>45758</v>
      </c>
      <c r="C488" t="s">
        <v>15</v>
      </c>
      <c r="D488" t="s">
        <v>16</v>
      </c>
      <c r="E488" t="s">
        <v>27</v>
      </c>
      <c r="F488" t="s">
        <v>79</v>
      </c>
      <c r="G488">
        <v>2</v>
      </c>
      <c r="H488">
        <v>1701.47</v>
      </c>
      <c r="I488">
        <v>0.17</v>
      </c>
      <c r="J488">
        <v>2824.44</v>
      </c>
      <c r="K488" t="s">
        <v>33</v>
      </c>
      <c r="L488" t="s">
        <v>29</v>
      </c>
      <c r="M488" t="s">
        <v>54</v>
      </c>
      <c r="N488" t="s">
        <v>22</v>
      </c>
    </row>
    <row r="489" spans="1:14" x14ac:dyDescent="0.3">
      <c r="A489" t="s">
        <v>550</v>
      </c>
      <c r="B489" s="1">
        <v>45711</v>
      </c>
      <c r="C489" t="s">
        <v>36</v>
      </c>
      <c r="D489" t="s">
        <v>43</v>
      </c>
      <c r="E489" t="s">
        <v>49</v>
      </c>
      <c r="F489" t="s">
        <v>50</v>
      </c>
      <c r="G489">
        <v>1</v>
      </c>
      <c r="H489">
        <v>1188.22</v>
      </c>
      <c r="I489">
        <v>7.0000000000000007E-2</v>
      </c>
      <c r="J489">
        <v>1105.04</v>
      </c>
      <c r="K489" t="s">
        <v>33</v>
      </c>
      <c r="L489" t="s">
        <v>29</v>
      </c>
      <c r="M489" t="s">
        <v>30</v>
      </c>
      <c r="N489" t="s">
        <v>22</v>
      </c>
    </row>
    <row r="490" spans="1:14" x14ac:dyDescent="0.3">
      <c r="A490" t="s">
        <v>551</v>
      </c>
      <c r="B490" s="1">
        <v>45685</v>
      </c>
      <c r="C490" t="s">
        <v>36</v>
      </c>
      <c r="D490" t="s">
        <v>43</v>
      </c>
      <c r="E490" t="s">
        <v>17</v>
      </c>
      <c r="F490" t="s">
        <v>40</v>
      </c>
      <c r="G490">
        <v>4</v>
      </c>
      <c r="H490">
        <v>1386.53</v>
      </c>
      <c r="I490">
        <v>0.1</v>
      </c>
      <c r="J490">
        <v>4991.51</v>
      </c>
      <c r="K490" t="s">
        <v>58</v>
      </c>
      <c r="L490" t="s">
        <v>29</v>
      </c>
      <c r="M490" t="s">
        <v>30</v>
      </c>
      <c r="N490" t="s">
        <v>88</v>
      </c>
    </row>
    <row r="491" spans="1:14" x14ac:dyDescent="0.3">
      <c r="A491" t="s">
        <v>552</v>
      </c>
      <c r="B491" s="1">
        <v>45841</v>
      </c>
      <c r="C491" t="s">
        <v>48</v>
      </c>
      <c r="D491" t="s">
        <v>43</v>
      </c>
      <c r="E491" t="s">
        <v>49</v>
      </c>
      <c r="F491" t="s">
        <v>73</v>
      </c>
      <c r="G491">
        <v>5</v>
      </c>
      <c r="H491">
        <v>1060.8900000000001</v>
      </c>
      <c r="I491">
        <v>0.15</v>
      </c>
      <c r="J491">
        <v>4508.78</v>
      </c>
      <c r="K491" t="s">
        <v>41</v>
      </c>
      <c r="L491" t="s">
        <v>29</v>
      </c>
      <c r="M491" t="s">
        <v>21</v>
      </c>
      <c r="N491" t="s">
        <v>22</v>
      </c>
    </row>
    <row r="492" spans="1:14" x14ac:dyDescent="0.3">
      <c r="A492" t="s">
        <v>553</v>
      </c>
      <c r="B492" s="1">
        <v>45727</v>
      </c>
      <c r="C492" t="s">
        <v>15</v>
      </c>
      <c r="D492" t="s">
        <v>43</v>
      </c>
      <c r="E492" t="s">
        <v>99</v>
      </c>
      <c r="F492" t="s">
        <v>115</v>
      </c>
      <c r="G492">
        <v>1</v>
      </c>
      <c r="H492">
        <v>3391.56</v>
      </c>
      <c r="I492">
        <v>0.11</v>
      </c>
      <c r="J492">
        <v>3018.49</v>
      </c>
      <c r="K492" t="s">
        <v>33</v>
      </c>
      <c r="L492" t="s">
        <v>20</v>
      </c>
      <c r="M492" t="s">
        <v>30</v>
      </c>
      <c r="N492" t="s">
        <v>22</v>
      </c>
    </row>
    <row r="493" spans="1:14" x14ac:dyDescent="0.3">
      <c r="A493" t="s">
        <v>554</v>
      </c>
      <c r="B493" s="1">
        <v>45831</v>
      </c>
      <c r="C493" t="s">
        <v>15</v>
      </c>
      <c r="D493" t="s">
        <v>43</v>
      </c>
      <c r="E493" t="s">
        <v>27</v>
      </c>
      <c r="F493" t="s">
        <v>79</v>
      </c>
      <c r="G493">
        <v>5</v>
      </c>
      <c r="H493">
        <v>4125.76</v>
      </c>
      <c r="I493">
        <v>0.2</v>
      </c>
      <c r="J493">
        <v>16503.04</v>
      </c>
      <c r="K493" t="s">
        <v>19</v>
      </c>
      <c r="L493" t="s">
        <v>34</v>
      </c>
      <c r="M493" t="s">
        <v>21</v>
      </c>
      <c r="N493" t="s">
        <v>22</v>
      </c>
    </row>
    <row r="494" spans="1:14" x14ac:dyDescent="0.3">
      <c r="A494" t="s">
        <v>555</v>
      </c>
      <c r="B494" s="1">
        <v>45673</v>
      </c>
      <c r="C494" t="s">
        <v>15</v>
      </c>
      <c r="D494" t="s">
        <v>43</v>
      </c>
      <c r="E494" t="s">
        <v>61</v>
      </c>
      <c r="F494" t="s">
        <v>75</v>
      </c>
      <c r="G494">
        <v>1</v>
      </c>
      <c r="H494">
        <v>650.62</v>
      </c>
      <c r="I494">
        <v>0.01</v>
      </c>
      <c r="J494">
        <v>644.11</v>
      </c>
      <c r="K494" t="s">
        <v>19</v>
      </c>
      <c r="L494" t="s">
        <v>29</v>
      </c>
      <c r="M494" t="s">
        <v>21</v>
      </c>
      <c r="N494" t="s">
        <v>37</v>
      </c>
    </row>
    <row r="495" spans="1:14" x14ac:dyDescent="0.3">
      <c r="A495" t="s">
        <v>556</v>
      </c>
      <c r="B495" s="1">
        <v>45830</v>
      </c>
      <c r="C495" t="s">
        <v>15</v>
      </c>
      <c r="D495" t="s">
        <v>43</v>
      </c>
      <c r="E495" t="s">
        <v>99</v>
      </c>
      <c r="F495" t="s">
        <v>120</v>
      </c>
      <c r="G495">
        <v>4</v>
      </c>
      <c r="H495">
        <v>2408.83</v>
      </c>
      <c r="I495">
        <v>0.08</v>
      </c>
      <c r="J495">
        <v>8864.49</v>
      </c>
      <c r="K495" t="s">
        <v>58</v>
      </c>
      <c r="L495" t="s">
        <v>34</v>
      </c>
      <c r="M495" t="s">
        <v>21</v>
      </c>
      <c r="N495" t="s">
        <v>22</v>
      </c>
    </row>
    <row r="496" spans="1:14" x14ac:dyDescent="0.3">
      <c r="A496" t="s">
        <v>557</v>
      </c>
      <c r="B496" s="1">
        <v>45707</v>
      </c>
      <c r="C496" t="s">
        <v>36</v>
      </c>
      <c r="D496" t="s">
        <v>16</v>
      </c>
      <c r="E496" t="s">
        <v>27</v>
      </c>
      <c r="F496" t="s">
        <v>28</v>
      </c>
      <c r="G496">
        <v>2</v>
      </c>
      <c r="H496">
        <v>3505.85</v>
      </c>
      <c r="I496">
        <v>0.17</v>
      </c>
      <c r="J496">
        <v>5819.71</v>
      </c>
      <c r="K496" t="s">
        <v>41</v>
      </c>
      <c r="L496" t="s">
        <v>29</v>
      </c>
      <c r="M496" t="s">
        <v>30</v>
      </c>
      <c r="N496" t="s">
        <v>22</v>
      </c>
    </row>
    <row r="497" spans="1:14" x14ac:dyDescent="0.3">
      <c r="A497" t="s">
        <v>558</v>
      </c>
      <c r="B497" s="1">
        <v>45731</v>
      </c>
      <c r="C497" t="s">
        <v>52</v>
      </c>
      <c r="D497" t="s">
        <v>25</v>
      </c>
      <c r="E497" t="s">
        <v>17</v>
      </c>
      <c r="F497" t="s">
        <v>32</v>
      </c>
      <c r="G497">
        <v>1</v>
      </c>
      <c r="H497">
        <v>2378.31</v>
      </c>
      <c r="I497">
        <v>0.24</v>
      </c>
      <c r="J497">
        <v>1807.52</v>
      </c>
      <c r="K497" t="s">
        <v>33</v>
      </c>
      <c r="L497" t="s">
        <v>34</v>
      </c>
      <c r="M497" t="s">
        <v>54</v>
      </c>
      <c r="N497" t="s">
        <v>22</v>
      </c>
    </row>
    <row r="498" spans="1:14" x14ac:dyDescent="0.3">
      <c r="A498" t="s">
        <v>559</v>
      </c>
      <c r="B498" s="1">
        <v>45715</v>
      </c>
      <c r="C498" t="s">
        <v>24</v>
      </c>
      <c r="D498" t="s">
        <v>16</v>
      </c>
      <c r="E498" t="s">
        <v>99</v>
      </c>
      <c r="F498" t="s">
        <v>120</v>
      </c>
      <c r="G498">
        <v>4</v>
      </c>
      <c r="H498">
        <v>1232.73</v>
      </c>
      <c r="I498">
        <v>0.1</v>
      </c>
      <c r="J498">
        <v>4437.83</v>
      </c>
      <c r="K498" t="s">
        <v>46</v>
      </c>
      <c r="L498" t="s">
        <v>29</v>
      </c>
      <c r="M498" t="s">
        <v>21</v>
      </c>
      <c r="N498" t="s">
        <v>37</v>
      </c>
    </row>
    <row r="499" spans="1:14" x14ac:dyDescent="0.3">
      <c r="A499" t="s">
        <v>560</v>
      </c>
      <c r="B499" s="1">
        <v>45690</v>
      </c>
      <c r="C499" t="s">
        <v>52</v>
      </c>
      <c r="D499" t="s">
        <v>43</v>
      </c>
      <c r="E499" t="s">
        <v>49</v>
      </c>
      <c r="F499" t="s">
        <v>56</v>
      </c>
      <c r="G499">
        <v>4</v>
      </c>
      <c r="H499">
        <v>2847.37</v>
      </c>
      <c r="I499">
        <v>0.18</v>
      </c>
      <c r="J499">
        <v>9339.3700000000008</v>
      </c>
      <c r="K499" t="s">
        <v>19</v>
      </c>
      <c r="L499" t="s">
        <v>29</v>
      </c>
      <c r="M499" t="s">
        <v>54</v>
      </c>
      <c r="N499" t="s">
        <v>37</v>
      </c>
    </row>
    <row r="500" spans="1:14" x14ac:dyDescent="0.3">
      <c r="A500" t="s">
        <v>561</v>
      </c>
      <c r="B500" s="1">
        <v>45745</v>
      </c>
      <c r="C500" t="s">
        <v>48</v>
      </c>
      <c r="D500" t="s">
        <v>39</v>
      </c>
      <c r="E500" t="s">
        <v>99</v>
      </c>
      <c r="F500" t="s">
        <v>111</v>
      </c>
      <c r="G500">
        <v>2</v>
      </c>
      <c r="H500">
        <v>190.02</v>
      </c>
      <c r="I500">
        <v>0.17</v>
      </c>
      <c r="J500">
        <v>315.43</v>
      </c>
      <c r="K500" t="s">
        <v>41</v>
      </c>
      <c r="L500" t="s">
        <v>29</v>
      </c>
      <c r="M500" t="s">
        <v>30</v>
      </c>
      <c r="N500" t="s">
        <v>22</v>
      </c>
    </row>
    <row r="501" spans="1:14" x14ac:dyDescent="0.3">
      <c r="A501" t="s">
        <v>562</v>
      </c>
      <c r="B501" s="1">
        <v>45821</v>
      </c>
      <c r="C501" t="s">
        <v>24</v>
      </c>
      <c r="D501" t="s">
        <v>43</v>
      </c>
      <c r="E501" t="s">
        <v>27</v>
      </c>
      <c r="F501" t="s">
        <v>28</v>
      </c>
      <c r="G501">
        <v>1</v>
      </c>
      <c r="H501">
        <v>4726.2700000000004</v>
      </c>
      <c r="I501">
        <v>0.24</v>
      </c>
      <c r="J501">
        <v>3591.97</v>
      </c>
      <c r="K501" t="s">
        <v>46</v>
      </c>
      <c r="L501" t="s">
        <v>34</v>
      </c>
      <c r="M501" t="s">
        <v>54</v>
      </c>
      <c r="N501" t="s">
        <v>22</v>
      </c>
    </row>
    <row r="502" spans="1:14" x14ac:dyDescent="0.3">
      <c r="A502" t="s">
        <v>563</v>
      </c>
      <c r="B502" s="1">
        <v>45765</v>
      </c>
      <c r="C502" t="s">
        <v>24</v>
      </c>
      <c r="D502" t="s">
        <v>43</v>
      </c>
      <c r="E502" t="s">
        <v>49</v>
      </c>
      <c r="F502" t="s">
        <v>73</v>
      </c>
      <c r="G502">
        <v>5</v>
      </c>
      <c r="H502">
        <v>4376.24</v>
      </c>
      <c r="I502">
        <v>0.17</v>
      </c>
      <c r="J502">
        <v>18161.400000000001</v>
      </c>
      <c r="K502" t="s">
        <v>41</v>
      </c>
      <c r="L502" t="s">
        <v>29</v>
      </c>
      <c r="M502" t="s">
        <v>30</v>
      </c>
      <c r="N502" t="s">
        <v>22</v>
      </c>
    </row>
    <row r="503" spans="1:14" x14ac:dyDescent="0.3">
      <c r="A503" t="s">
        <v>564</v>
      </c>
      <c r="B503" s="1">
        <v>45796</v>
      </c>
      <c r="C503" t="s">
        <v>36</v>
      </c>
      <c r="D503" t="s">
        <v>43</v>
      </c>
      <c r="E503" t="s">
        <v>49</v>
      </c>
      <c r="F503" t="s">
        <v>53</v>
      </c>
      <c r="G503">
        <v>5</v>
      </c>
      <c r="H503">
        <v>745.68</v>
      </c>
      <c r="I503">
        <v>0.16</v>
      </c>
      <c r="J503">
        <v>3131.86</v>
      </c>
      <c r="K503" t="s">
        <v>46</v>
      </c>
      <c r="L503" t="s">
        <v>34</v>
      </c>
      <c r="M503" t="s">
        <v>21</v>
      </c>
      <c r="N503" t="s">
        <v>37</v>
      </c>
    </row>
    <row r="504" spans="1:14" x14ac:dyDescent="0.3">
      <c r="A504" t="s">
        <v>565</v>
      </c>
      <c r="B504" s="1">
        <v>45718</v>
      </c>
      <c r="C504" t="s">
        <v>48</v>
      </c>
      <c r="D504" t="s">
        <v>16</v>
      </c>
      <c r="E504" t="s">
        <v>99</v>
      </c>
      <c r="F504" t="s">
        <v>100</v>
      </c>
      <c r="G504">
        <v>5</v>
      </c>
      <c r="H504">
        <v>4593.8500000000004</v>
      </c>
      <c r="I504">
        <v>0.08</v>
      </c>
      <c r="J504">
        <v>21131.71</v>
      </c>
      <c r="K504" t="s">
        <v>19</v>
      </c>
      <c r="L504" t="s">
        <v>29</v>
      </c>
      <c r="M504" t="s">
        <v>21</v>
      </c>
      <c r="N504" t="s">
        <v>22</v>
      </c>
    </row>
    <row r="505" spans="1:14" x14ac:dyDescent="0.3">
      <c r="A505" t="s">
        <v>566</v>
      </c>
      <c r="B505" s="1">
        <v>45778</v>
      </c>
      <c r="C505" t="s">
        <v>15</v>
      </c>
      <c r="D505" t="s">
        <v>39</v>
      </c>
      <c r="E505" t="s">
        <v>61</v>
      </c>
      <c r="F505" t="s">
        <v>62</v>
      </c>
      <c r="G505">
        <v>3</v>
      </c>
      <c r="H505">
        <v>2270.7199999999998</v>
      </c>
      <c r="I505">
        <v>0.23</v>
      </c>
      <c r="J505">
        <v>5245.36</v>
      </c>
      <c r="K505" t="s">
        <v>41</v>
      </c>
      <c r="L505" t="s">
        <v>34</v>
      </c>
      <c r="M505" t="s">
        <v>21</v>
      </c>
      <c r="N505" t="s">
        <v>22</v>
      </c>
    </row>
    <row r="506" spans="1:14" x14ac:dyDescent="0.3">
      <c r="A506" t="s">
        <v>567</v>
      </c>
      <c r="B506" s="1">
        <v>45816</v>
      </c>
      <c r="C506" t="s">
        <v>52</v>
      </c>
      <c r="D506" t="s">
        <v>43</v>
      </c>
      <c r="E506" t="s">
        <v>61</v>
      </c>
      <c r="F506" t="s">
        <v>62</v>
      </c>
      <c r="G506">
        <v>5</v>
      </c>
      <c r="H506">
        <v>3123.04</v>
      </c>
      <c r="I506">
        <v>0.15</v>
      </c>
      <c r="J506">
        <v>13272.92</v>
      </c>
      <c r="K506" t="s">
        <v>19</v>
      </c>
      <c r="L506" t="s">
        <v>20</v>
      </c>
      <c r="M506" t="s">
        <v>21</v>
      </c>
      <c r="N506" t="s">
        <v>22</v>
      </c>
    </row>
    <row r="507" spans="1:14" x14ac:dyDescent="0.3">
      <c r="A507" t="s">
        <v>568</v>
      </c>
      <c r="B507" s="1">
        <v>45786</v>
      </c>
      <c r="C507" t="s">
        <v>15</v>
      </c>
      <c r="D507" t="s">
        <v>39</v>
      </c>
      <c r="E507" t="s">
        <v>61</v>
      </c>
      <c r="F507" t="s">
        <v>62</v>
      </c>
      <c r="G507">
        <v>4</v>
      </c>
      <c r="H507">
        <v>757.02</v>
      </c>
      <c r="I507">
        <v>0.21</v>
      </c>
      <c r="J507">
        <v>2392.1799999999998</v>
      </c>
      <c r="K507" t="s">
        <v>58</v>
      </c>
      <c r="L507" t="s">
        <v>29</v>
      </c>
      <c r="M507" t="s">
        <v>30</v>
      </c>
      <c r="N507" t="s">
        <v>22</v>
      </c>
    </row>
    <row r="508" spans="1:14" x14ac:dyDescent="0.3">
      <c r="A508" t="s">
        <v>569</v>
      </c>
      <c r="B508" s="1">
        <v>45762</v>
      </c>
      <c r="C508" t="s">
        <v>48</v>
      </c>
      <c r="D508" t="s">
        <v>39</v>
      </c>
      <c r="E508" t="s">
        <v>49</v>
      </c>
      <c r="F508" t="s">
        <v>50</v>
      </c>
      <c r="G508">
        <v>2</v>
      </c>
      <c r="H508">
        <v>1208.74</v>
      </c>
      <c r="I508">
        <v>0.1</v>
      </c>
      <c r="J508">
        <v>2175.73</v>
      </c>
      <c r="K508" t="s">
        <v>19</v>
      </c>
      <c r="L508" t="s">
        <v>20</v>
      </c>
      <c r="M508" t="s">
        <v>54</v>
      </c>
      <c r="N508" t="s">
        <v>59</v>
      </c>
    </row>
    <row r="509" spans="1:14" x14ac:dyDescent="0.3">
      <c r="A509" t="s">
        <v>570</v>
      </c>
      <c r="B509" s="1">
        <v>45661</v>
      </c>
      <c r="C509" t="s">
        <v>52</v>
      </c>
      <c r="D509" t="s">
        <v>25</v>
      </c>
      <c r="E509" t="s">
        <v>61</v>
      </c>
      <c r="F509" t="s">
        <v>75</v>
      </c>
      <c r="G509">
        <v>4</v>
      </c>
      <c r="H509">
        <v>4348.93</v>
      </c>
      <c r="I509">
        <v>0.12</v>
      </c>
      <c r="J509">
        <v>15308.23</v>
      </c>
      <c r="K509" t="s">
        <v>58</v>
      </c>
      <c r="L509" t="s">
        <v>20</v>
      </c>
      <c r="M509" t="s">
        <v>30</v>
      </c>
      <c r="N509" t="s">
        <v>37</v>
      </c>
    </row>
    <row r="510" spans="1:14" x14ac:dyDescent="0.3">
      <c r="A510" t="s">
        <v>571</v>
      </c>
      <c r="B510" s="1">
        <v>45789</v>
      </c>
      <c r="C510" t="s">
        <v>24</v>
      </c>
      <c r="D510" t="s">
        <v>16</v>
      </c>
      <c r="E510" t="s">
        <v>49</v>
      </c>
      <c r="F510" t="s">
        <v>50</v>
      </c>
      <c r="G510">
        <v>4</v>
      </c>
      <c r="H510">
        <v>3628.98</v>
      </c>
      <c r="I510">
        <v>0.1</v>
      </c>
      <c r="J510">
        <v>13064.33</v>
      </c>
      <c r="K510" t="s">
        <v>33</v>
      </c>
      <c r="L510" t="s">
        <v>29</v>
      </c>
      <c r="M510" t="s">
        <v>21</v>
      </c>
      <c r="N510" t="s">
        <v>22</v>
      </c>
    </row>
    <row r="511" spans="1:14" x14ac:dyDescent="0.3">
      <c r="A511" t="s">
        <v>572</v>
      </c>
      <c r="B511" s="1">
        <v>45818</v>
      </c>
      <c r="C511" t="s">
        <v>24</v>
      </c>
      <c r="D511" t="s">
        <v>25</v>
      </c>
      <c r="E511" t="s">
        <v>49</v>
      </c>
      <c r="F511" t="s">
        <v>50</v>
      </c>
      <c r="G511">
        <v>5</v>
      </c>
      <c r="H511">
        <v>2038.49</v>
      </c>
      <c r="I511">
        <v>0.18</v>
      </c>
      <c r="J511">
        <v>8357.81</v>
      </c>
      <c r="K511" t="s">
        <v>19</v>
      </c>
      <c r="L511" t="s">
        <v>29</v>
      </c>
      <c r="M511" t="s">
        <v>21</v>
      </c>
      <c r="N511" t="s">
        <v>22</v>
      </c>
    </row>
    <row r="512" spans="1:14" x14ac:dyDescent="0.3">
      <c r="A512" t="s">
        <v>573</v>
      </c>
      <c r="B512" s="1">
        <v>45767</v>
      </c>
      <c r="C512" t="s">
        <v>15</v>
      </c>
      <c r="D512" t="s">
        <v>25</v>
      </c>
      <c r="E512" t="s">
        <v>17</v>
      </c>
      <c r="F512" t="s">
        <v>44</v>
      </c>
      <c r="G512">
        <v>3</v>
      </c>
      <c r="H512">
        <v>3891.02</v>
      </c>
      <c r="I512">
        <v>7.0000000000000007E-2</v>
      </c>
      <c r="J512">
        <v>10855.95</v>
      </c>
      <c r="K512" t="s">
        <v>41</v>
      </c>
      <c r="L512" t="s">
        <v>34</v>
      </c>
      <c r="M512" t="s">
        <v>54</v>
      </c>
      <c r="N512" t="s">
        <v>22</v>
      </c>
    </row>
    <row r="513" spans="1:14" x14ac:dyDescent="0.3">
      <c r="A513" t="s">
        <v>574</v>
      </c>
      <c r="B513" s="1">
        <v>45718</v>
      </c>
      <c r="C513" t="s">
        <v>48</v>
      </c>
      <c r="D513" t="s">
        <v>43</v>
      </c>
      <c r="E513" t="s">
        <v>17</v>
      </c>
      <c r="F513" t="s">
        <v>44</v>
      </c>
      <c r="G513">
        <v>5</v>
      </c>
      <c r="H513">
        <v>654.54</v>
      </c>
      <c r="I513">
        <v>0.19</v>
      </c>
      <c r="J513">
        <v>2650.89</v>
      </c>
      <c r="K513" t="s">
        <v>41</v>
      </c>
      <c r="L513" t="s">
        <v>20</v>
      </c>
      <c r="M513" t="s">
        <v>21</v>
      </c>
      <c r="N513" t="s">
        <v>22</v>
      </c>
    </row>
    <row r="514" spans="1:14" x14ac:dyDescent="0.3">
      <c r="A514" t="s">
        <v>575</v>
      </c>
      <c r="B514" s="1">
        <v>45840</v>
      </c>
      <c r="C514" t="s">
        <v>24</v>
      </c>
      <c r="D514" t="s">
        <v>16</v>
      </c>
      <c r="E514" t="s">
        <v>99</v>
      </c>
      <c r="F514" t="s">
        <v>115</v>
      </c>
      <c r="G514">
        <v>5</v>
      </c>
      <c r="H514">
        <v>4493.43</v>
      </c>
      <c r="I514">
        <v>0.22</v>
      </c>
      <c r="J514">
        <v>17524.38</v>
      </c>
      <c r="K514" t="s">
        <v>19</v>
      </c>
      <c r="L514" t="s">
        <v>34</v>
      </c>
      <c r="M514" t="s">
        <v>30</v>
      </c>
      <c r="N514" t="s">
        <v>22</v>
      </c>
    </row>
    <row r="515" spans="1:14" x14ac:dyDescent="0.3">
      <c r="A515" t="s">
        <v>576</v>
      </c>
      <c r="B515" s="1">
        <v>45788</v>
      </c>
      <c r="C515" t="s">
        <v>24</v>
      </c>
      <c r="D515" t="s">
        <v>25</v>
      </c>
      <c r="E515" t="s">
        <v>61</v>
      </c>
      <c r="F515" t="s">
        <v>62</v>
      </c>
      <c r="G515">
        <v>4</v>
      </c>
      <c r="H515">
        <v>3206.95</v>
      </c>
      <c r="I515">
        <v>0.02</v>
      </c>
      <c r="J515">
        <v>12571.24</v>
      </c>
      <c r="K515" t="s">
        <v>58</v>
      </c>
      <c r="L515" t="s">
        <v>29</v>
      </c>
      <c r="M515" t="s">
        <v>21</v>
      </c>
      <c r="N515" t="s">
        <v>22</v>
      </c>
    </row>
    <row r="516" spans="1:14" x14ac:dyDescent="0.3">
      <c r="A516" t="s">
        <v>577</v>
      </c>
      <c r="B516" s="1">
        <v>45680</v>
      </c>
      <c r="C516" t="s">
        <v>48</v>
      </c>
      <c r="D516" t="s">
        <v>43</v>
      </c>
      <c r="E516" t="s">
        <v>27</v>
      </c>
      <c r="F516" t="s">
        <v>68</v>
      </c>
      <c r="G516">
        <v>1</v>
      </c>
      <c r="H516">
        <v>3864.48</v>
      </c>
      <c r="I516">
        <v>0.23</v>
      </c>
      <c r="J516">
        <v>2975.65</v>
      </c>
      <c r="K516" t="s">
        <v>33</v>
      </c>
      <c r="L516" t="s">
        <v>34</v>
      </c>
      <c r="M516" t="s">
        <v>21</v>
      </c>
      <c r="N516" t="s">
        <v>22</v>
      </c>
    </row>
    <row r="517" spans="1:14" x14ac:dyDescent="0.3">
      <c r="A517" t="s">
        <v>578</v>
      </c>
      <c r="B517" s="1">
        <v>45842</v>
      </c>
      <c r="C517" t="s">
        <v>24</v>
      </c>
      <c r="D517" t="s">
        <v>43</v>
      </c>
      <c r="E517" t="s">
        <v>61</v>
      </c>
      <c r="F517" t="s">
        <v>75</v>
      </c>
      <c r="G517">
        <v>3</v>
      </c>
      <c r="H517">
        <v>3677.79</v>
      </c>
      <c r="I517">
        <v>0.24</v>
      </c>
      <c r="J517">
        <v>8385.36</v>
      </c>
      <c r="K517" t="s">
        <v>41</v>
      </c>
      <c r="L517" t="s">
        <v>34</v>
      </c>
      <c r="M517" t="s">
        <v>30</v>
      </c>
      <c r="N517" t="s">
        <v>22</v>
      </c>
    </row>
    <row r="518" spans="1:14" x14ac:dyDescent="0.3">
      <c r="A518" t="s">
        <v>579</v>
      </c>
      <c r="B518" s="1">
        <v>45830</v>
      </c>
      <c r="C518" t="s">
        <v>24</v>
      </c>
      <c r="D518" t="s">
        <v>16</v>
      </c>
      <c r="E518" t="s">
        <v>61</v>
      </c>
      <c r="F518" t="s">
        <v>75</v>
      </c>
      <c r="G518">
        <v>1</v>
      </c>
      <c r="H518">
        <v>2347.35</v>
      </c>
      <c r="I518">
        <v>0.21</v>
      </c>
      <c r="J518">
        <v>1854.41</v>
      </c>
      <c r="K518" t="s">
        <v>33</v>
      </c>
      <c r="L518" t="s">
        <v>34</v>
      </c>
      <c r="M518" t="s">
        <v>21</v>
      </c>
      <c r="N518" t="s">
        <v>22</v>
      </c>
    </row>
    <row r="519" spans="1:14" x14ac:dyDescent="0.3">
      <c r="A519" t="s">
        <v>580</v>
      </c>
      <c r="B519" s="1">
        <v>45686</v>
      </c>
      <c r="C519" t="s">
        <v>52</v>
      </c>
      <c r="D519" t="s">
        <v>16</v>
      </c>
      <c r="E519" t="s">
        <v>49</v>
      </c>
      <c r="F519" t="s">
        <v>73</v>
      </c>
      <c r="G519">
        <v>4</v>
      </c>
      <c r="H519">
        <v>2323.3200000000002</v>
      </c>
      <c r="I519">
        <v>0.11</v>
      </c>
      <c r="J519">
        <v>8271.02</v>
      </c>
      <c r="K519" t="s">
        <v>33</v>
      </c>
      <c r="L519" t="s">
        <v>29</v>
      </c>
      <c r="M519" t="s">
        <v>21</v>
      </c>
      <c r="N519" t="s">
        <v>22</v>
      </c>
    </row>
    <row r="520" spans="1:14" x14ac:dyDescent="0.3">
      <c r="A520" t="s">
        <v>581</v>
      </c>
      <c r="B520" s="1">
        <v>45711</v>
      </c>
      <c r="C520" t="s">
        <v>36</v>
      </c>
      <c r="D520" t="s">
        <v>16</v>
      </c>
      <c r="E520" t="s">
        <v>27</v>
      </c>
      <c r="F520" t="s">
        <v>28</v>
      </c>
      <c r="G520">
        <v>1</v>
      </c>
      <c r="H520">
        <v>1005.72</v>
      </c>
      <c r="I520">
        <v>0.01</v>
      </c>
      <c r="J520">
        <v>995.66</v>
      </c>
      <c r="K520" t="s">
        <v>33</v>
      </c>
      <c r="L520" t="s">
        <v>20</v>
      </c>
      <c r="M520" t="s">
        <v>30</v>
      </c>
      <c r="N520" t="s">
        <v>22</v>
      </c>
    </row>
    <row r="521" spans="1:14" x14ac:dyDescent="0.3">
      <c r="A521" t="s">
        <v>582</v>
      </c>
      <c r="B521" s="1">
        <v>45682</v>
      </c>
      <c r="C521" t="s">
        <v>15</v>
      </c>
      <c r="D521" t="s">
        <v>39</v>
      </c>
      <c r="E521" t="s">
        <v>17</v>
      </c>
      <c r="F521" t="s">
        <v>32</v>
      </c>
      <c r="G521">
        <v>1</v>
      </c>
      <c r="H521">
        <v>2143.09</v>
      </c>
      <c r="I521">
        <v>0.04</v>
      </c>
      <c r="J521">
        <v>2057.37</v>
      </c>
      <c r="K521" t="s">
        <v>58</v>
      </c>
      <c r="L521" t="s">
        <v>20</v>
      </c>
      <c r="M521" t="s">
        <v>21</v>
      </c>
      <c r="N521" t="s">
        <v>22</v>
      </c>
    </row>
    <row r="522" spans="1:14" x14ac:dyDescent="0.3">
      <c r="A522" t="s">
        <v>583</v>
      </c>
      <c r="B522" s="1">
        <v>45832</v>
      </c>
      <c r="C522" t="s">
        <v>48</v>
      </c>
      <c r="D522" t="s">
        <v>25</v>
      </c>
      <c r="E522" t="s">
        <v>27</v>
      </c>
      <c r="F522" t="s">
        <v>68</v>
      </c>
      <c r="G522">
        <v>1</v>
      </c>
      <c r="H522">
        <v>556.32000000000005</v>
      </c>
      <c r="I522">
        <v>7.0000000000000007E-2</v>
      </c>
      <c r="J522">
        <v>517.38</v>
      </c>
      <c r="K522" t="s">
        <v>33</v>
      </c>
      <c r="L522" t="s">
        <v>34</v>
      </c>
      <c r="M522" t="s">
        <v>30</v>
      </c>
      <c r="N522" t="s">
        <v>88</v>
      </c>
    </row>
    <row r="523" spans="1:14" x14ac:dyDescent="0.3">
      <c r="A523" t="s">
        <v>584</v>
      </c>
      <c r="B523" s="1">
        <v>45680</v>
      </c>
      <c r="C523" t="s">
        <v>15</v>
      </c>
      <c r="D523" t="s">
        <v>25</v>
      </c>
      <c r="E523" t="s">
        <v>49</v>
      </c>
      <c r="F523" t="s">
        <v>56</v>
      </c>
      <c r="G523">
        <v>1</v>
      </c>
      <c r="H523">
        <v>3503.64</v>
      </c>
      <c r="I523">
        <v>7.0000000000000007E-2</v>
      </c>
      <c r="J523">
        <v>3258.39</v>
      </c>
      <c r="K523" t="s">
        <v>41</v>
      </c>
      <c r="L523" t="s">
        <v>20</v>
      </c>
      <c r="M523" t="s">
        <v>21</v>
      </c>
      <c r="N523" t="s">
        <v>22</v>
      </c>
    </row>
    <row r="524" spans="1:14" x14ac:dyDescent="0.3">
      <c r="A524" t="s">
        <v>585</v>
      </c>
      <c r="B524" s="1">
        <v>45804</v>
      </c>
      <c r="C524" t="s">
        <v>24</v>
      </c>
      <c r="D524" t="s">
        <v>39</v>
      </c>
      <c r="E524" t="s">
        <v>61</v>
      </c>
      <c r="F524" t="s">
        <v>62</v>
      </c>
      <c r="G524">
        <v>5</v>
      </c>
      <c r="H524">
        <v>4937.2299999999996</v>
      </c>
      <c r="I524">
        <v>0.12</v>
      </c>
      <c r="J524">
        <v>21723.81</v>
      </c>
      <c r="K524" t="s">
        <v>33</v>
      </c>
      <c r="L524" t="s">
        <v>29</v>
      </c>
      <c r="M524" t="s">
        <v>21</v>
      </c>
      <c r="N524" t="s">
        <v>22</v>
      </c>
    </row>
    <row r="525" spans="1:14" x14ac:dyDescent="0.3">
      <c r="A525" t="s">
        <v>586</v>
      </c>
      <c r="B525" s="1">
        <v>45767</v>
      </c>
      <c r="C525" t="s">
        <v>36</v>
      </c>
      <c r="D525" t="s">
        <v>25</v>
      </c>
      <c r="E525" t="s">
        <v>99</v>
      </c>
      <c r="F525" t="s">
        <v>111</v>
      </c>
      <c r="G525">
        <v>3</v>
      </c>
      <c r="H525">
        <v>4642.82</v>
      </c>
      <c r="I525">
        <v>0.15</v>
      </c>
      <c r="J525">
        <v>11839.19</v>
      </c>
      <c r="K525" t="s">
        <v>33</v>
      </c>
      <c r="L525" t="s">
        <v>29</v>
      </c>
      <c r="M525" t="s">
        <v>30</v>
      </c>
      <c r="N525" t="s">
        <v>22</v>
      </c>
    </row>
    <row r="526" spans="1:14" x14ac:dyDescent="0.3">
      <c r="A526" t="s">
        <v>587</v>
      </c>
      <c r="B526" s="1">
        <v>45690</v>
      </c>
      <c r="C526" t="s">
        <v>15</v>
      </c>
      <c r="D526" t="s">
        <v>43</v>
      </c>
      <c r="E526" t="s">
        <v>61</v>
      </c>
      <c r="F526" t="s">
        <v>75</v>
      </c>
      <c r="G526">
        <v>1</v>
      </c>
      <c r="H526">
        <v>217.54</v>
      </c>
      <c r="I526">
        <v>0.16</v>
      </c>
      <c r="J526">
        <v>182.73</v>
      </c>
      <c r="K526" t="s">
        <v>19</v>
      </c>
      <c r="L526" t="s">
        <v>20</v>
      </c>
      <c r="M526" t="s">
        <v>54</v>
      </c>
      <c r="N526" t="s">
        <v>88</v>
      </c>
    </row>
    <row r="527" spans="1:14" x14ac:dyDescent="0.3">
      <c r="A527" t="s">
        <v>588</v>
      </c>
      <c r="B527" s="1">
        <v>45712</v>
      </c>
      <c r="C527" t="s">
        <v>24</v>
      </c>
      <c r="D527" t="s">
        <v>43</v>
      </c>
      <c r="E527" t="s">
        <v>49</v>
      </c>
      <c r="F527" t="s">
        <v>50</v>
      </c>
      <c r="G527">
        <v>5</v>
      </c>
      <c r="H527">
        <v>4049.61</v>
      </c>
      <c r="I527">
        <v>0.05</v>
      </c>
      <c r="J527">
        <v>19235.650000000001</v>
      </c>
      <c r="K527" t="s">
        <v>46</v>
      </c>
      <c r="L527" t="s">
        <v>34</v>
      </c>
      <c r="M527" t="s">
        <v>21</v>
      </c>
      <c r="N527" t="s">
        <v>22</v>
      </c>
    </row>
    <row r="528" spans="1:14" x14ac:dyDescent="0.3">
      <c r="A528" t="s">
        <v>589</v>
      </c>
      <c r="B528" s="1">
        <v>45714</v>
      </c>
      <c r="C528" t="s">
        <v>15</v>
      </c>
      <c r="D528" t="s">
        <v>39</v>
      </c>
      <c r="E528" t="s">
        <v>99</v>
      </c>
      <c r="F528" t="s">
        <v>120</v>
      </c>
      <c r="G528">
        <v>5</v>
      </c>
      <c r="H528">
        <v>1687.23</v>
      </c>
      <c r="I528">
        <v>0</v>
      </c>
      <c r="J528">
        <v>8436.15</v>
      </c>
      <c r="K528" t="s">
        <v>46</v>
      </c>
      <c r="L528" t="s">
        <v>29</v>
      </c>
      <c r="M528" t="s">
        <v>21</v>
      </c>
      <c r="N528" t="s">
        <v>22</v>
      </c>
    </row>
    <row r="529" spans="1:14" x14ac:dyDescent="0.3">
      <c r="A529" t="s">
        <v>590</v>
      </c>
      <c r="B529" s="1">
        <v>45777</v>
      </c>
      <c r="C529" t="s">
        <v>52</v>
      </c>
      <c r="D529" t="s">
        <v>16</v>
      </c>
      <c r="E529" t="s">
        <v>27</v>
      </c>
      <c r="F529" t="s">
        <v>79</v>
      </c>
      <c r="G529">
        <v>3</v>
      </c>
      <c r="H529">
        <v>4619.17</v>
      </c>
      <c r="I529">
        <v>0.12</v>
      </c>
      <c r="J529">
        <v>12194.61</v>
      </c>
      <c r="K529" t="s">
        <v>19</v>
      </c>
      <c r="L529" t="s">
        <v>34</v>
      </c>
      <c r="M529" t="s">
        <v>30</v>
      </c>
      <c r="N529" t="s">
        <v>22</v>
      </c>
    </row>
    <row r="530" spans="1:14" x14ac:dyDescent="0.3">
      <c r="A530" t="s">
        <v>591</v>
      </c>
      <c r="B530" s="1">
        <v>45700</v>
      </c>
      <c r="C530" t="s">
        <v>48</v>
      </c>
      <c r="D530" t="s">
        <v>16</v>
      </c>
      <c r="E530" t="s">
        <v>49</v>
      </c>
      <c r="F530" t="s">
        <v>73</v>
      </c>
      <c r="G530">
        <v>4</v>
      </c>
      <c r="H530">
        <v>3941.55</v>
      </c>
      <c r="I530">
        <v>0.1</v>
      </c>
      <c r="J530">
        <v>14189.58</v>
      </c>
      <c r="K530" t="s">
        <v>33</v>
      </c>
      <c r="L530" t="s">
        <v>34</v>
      </c>
      <c r="M530" t="s">
        <v>21</v>
      </c>
      <c r="N530" t="s">
        <v>88</v>
      </c>
    </row>
    <row r="531" spans="1:14" x14ac:dyDescent="0.3">
      <c r="A531" t="s">
        <v>592</v>
      </c>
      <c r="B531" s="1">
        <v>45799</v>
      </c>
      <c r="C531" t="s">
        <v>36</v>
      </c>
      <c r="D531" t="s">
        <v>16</v>
      </c>
      <c r="E531" t="s">
        <v>99</v>
      </c>
      <c r="F531" t="s">
        <v>111</v>
      </c>
      <c r="G531">
        <v>2</v>
      </c>
      <c r="H531">
        <v>2929.25</v>
      </c>
      <c r="I531">
        <v>0.08</v>
      </c>
      <c r="J531">
        <v>5389.82</v>
      </c>
      <c r="K531" t="s">
        <v>33</v>
      </c>
      <c r="L531" t="s">
        <v>20</v>
      </c>
      <c r="M531" t="s">
        <v>30</v>
      </c>
      <c r="N531" t="s">
        <v>59</v>
      </c>
    </row>
    <row r="532" spans="1:14" x14ac:dyDescent="0.3">
      <c r="A532" t="s">
        <v>593</v>
      </c>
      <c r="B532" s="1">
        <v>45726</v>
      </c>
      <c r="C532" t="s">
        <v>15</v>
      </c>
      <c r="D532" t="s">
        <v>43</v>
      </c>
      <c r="E532" t="s">
        <v>99</v>
      </c>
      <c r="F532" t="s">
        <v>120</v>
      </c>
      <c r="G532">
        <v>5</v>
      </c>
      <c r="H532">
        <v>4227.79</v>
      </c>
      <c r="I532">
        <v>0.14000000000000001</v>
      </c>
      <c r="J532">
        <v>18179.5</v>
      </c>
      <c r="K532" t="s">
        <v>41</v>
      </c>
      <c r="L532" t="s">
        <v>29</v>
      </c>
      <c r="M532" t="s">
        <v>30</v>
      </c>
      <c r="N532" t="s">
        <v>22</v>
      </c>
    </row>
    <row r="533" spans="1:14" x14ac:dyDescent="0.3">
      <c r="A533" t="s">
        <v>594</v>
      </c>
      <c r="B533" s="1">
        <v>45699</v>
      </c>
      <c r="C533" t="s">
        <v>24</v>
      </c>
      <c r="D533" t="s">
        <v>39</v>
      </c>
      <c r="E533" t="s">
        <v>99</v>
      </c>
      <c r="F533" t="s">
        <v>111</v>
      </c>
      <c r="G533">
        <v>1</v>
      </c>
      <c r="H533">
        <v>2535.5700000000002</v>
      </c>
      <c r="I533">
        <v>0.06</v>
      </c>
      <c r="J533">
        <v>2383.44</v>
      </c>
      <c r="K533" t="s">
        <v>46</v>
      </c>
      <c r="L533" t="s">
        <v>34</v>
      </c>
      <c r="M533" t="s">
        <v>30</v>
      </c>
      <c r="N533" t="s">
        <v>22</v>
      </c>
    </row>
    <row r="534" spans="1:14" x14ac:dyDescent="0.3">
      <c r="A534" t="s">
        <v>595</v>
      </c>
      <c r="B534" s="1">
        <v>45793</v>
      </c>
      <c r="C534" t="s">
        <v>24</v>
      </c>
      <c r="D534" t="s">
        <v>25</v>
      </c>
      <c r="E534" t="s">
        <v>99</v>
      </c>
      <c r="F534" t="s">
        <v>100</v>
      </c>
      <c r="G534">
        <v>2</v>
      </c>
      <c r="H534">
        <v>4575.43</v>
      </c>
      <c r="I534">
        <v>0.11</v>
      </c>
      <c r="J534">
        <v>8144.27</v>
      </c>
      <c r="K534" t="s">
        <v>46</v>
      </c>
      <c r="L534" t="s">
        <v>20</v>
      </c>
      <c r="M534" t="s">
        <v>54</v>
      </c>
      <c r="N534" t="s">
        <v>37</v>
      </c>
    </row>
    <row r="535" spans="1:14" x14ac:dyDescent="0.3">
      <c r="A535" t="s">
        <v>596</v>
      </c>
      <c r="B535" s="1">
        <v>45783</v>
      </c>
      <c r="C535" t="s">
        <v>15</v>
      </c>
      <c r="D535" t="s">
        <v>43</v>
      </c>
      <c r="E535" t="s">
        <v>61</v>
      </c>
      <c r="F535" t="s">
        <v>75</v>
      </c>
      <c r="G535">
        <v>5</v>
      </c>
      <c r="H535">
        <v>1620.76</v>
      </c>
      <c r="I535">
        <v>0.08</v>
      </c>
      <c r="J535">
        <v>7455.5</v>
      </c>
      <c r="K535" t="s">
        <v>41</v>
      </c>
      <c r="L535" t="s">
        <v>29</v>
      </c>
      <c r="M535" t="s">
        <v>54</v>
      </c>
      <c r="N535" t="s">
        <v>22</v>
      </c>
    </row>
    <row r="536" spans="1:14" x14ac:dyDescent="0.3">
      <c r="A536" t="s">
        <v>597</v>
      </c>
      <c r="B536" s="1">
        <v>45825</v>
      </c>
      <c r="C536" t="s">
        <v>48</v>
      </c>
      <c r="D536" t="s">
        <v>16</v>
      </c>
      <c r="E536" t="s">
        <v>17</v>
      </c>
      <c r="F536" t="s">
        <v>40</v>
      </c>
      <c r="G536">
        <v>1</v>
      </c>
      <c r="H536">
        <v>1623.81</v>
      </c>
      <c r="I536">
        <v>0.01</v>
      </c>
      <c r="J536">
        <v>1607.57</v>
      </c>
      <c r="K536" t="s">
        <v>33</v>
      </c>
      <c r="L536" t="s">
        <v>20</v>
      </c>
      <c r="M536" t="s">
        <v>21</v>
      </c>
      <c r="N536" t="s">
        <v>22</v>
      </c>
    </row>
    <row r="537" spans="1:14" x14ac:dyDescent="0.3">
      <c r="A537" t="s">
        <v>598</v>
      </c>
      <c r="B537" s="1">
        <v>45711</v>
      </c>
      <c r="C537" t="s">
        <v>36</v>
      </c>
      <c r="D537" t="s">
        <v>39</v>
      </c>
      <c r="E537" t="s">
        <v>17</v>
      </c>
      <c r="F537" t="s">
        <v>18</v>
      </c>
      <c r="G537">
        <v>5</v>
      </c>
      <c r="H537">
        <v>3816.62</v>
      </c>
      <c r="I537">
        <v>0.16</v>
      </c>
      <c r="J537">
        <v>16029.8</v>
      </c>
      <c r="K537" t="s">
        <v>46</v>
      </c>
      <c r="L537" t="s">
        <v>20</v>
      </c>
      <c r="M537" t="s">
        <v>54</v>
      </c>
      <c r="N537" t="s">
        <v>22</v>
      </c>
    </row>
    <row r="538" spans="1:14" x14ac:dyDescent="0.3">
      <c r="A538" t="s">
        <v>599</v>
      </c>
      <c r="B538" s="1">
        <v>45758</v>
      </c>
      <c r="C538" t="s">
        <v>36</v>
      </c>
      <c r="D538" t="s">
        <v>16</v>
      </c>
      <c r="E538" t="s">
        <v>99</v>
      </c>
      <c r="F538" t="s">
        <v>111</v>
      </c>
      <c r="G538">
        <v>1</v>
      </c>
      <c r="H538">
        <v>1436.01</v>
      </c>
      <c r="I538">
        <v>0.04</v>
      </c>
      <c r="J538">
        <v>1378.57</v>
      </c>
      <c r="K538" t="s">
        <v>46</v>
      </c>
      <c r="L538" t="s">
        <v>34</v>
      </c>
      <c r="M538" t="s">
        <v>54</v>
      </c>
      <c r="N538" t="s">
        <v>59</v>
      </c>
    </row>
    <row r="539" spans="1:14" x14ac:dyDescent="0.3">
      <c r="A539" t="s">
        <v>600</v>
      </c>
      <c r="B539" s="1">
        <v>45754</v>
      </c>
      <c r="C539" t="s">
        <v>52</v>
      </c>
      <c r="D539" t="s">
        <v>39</v>
      </c>
      <c r="E539" t="s">
        <v>27</v>
      </c>
      <c r="F539" t="s">
        <v>79</v>
      </c>
      <c r="G539">
        <v>5</v>
      </c>
      <c r="H539">
        <v>1660.58</v>
      </c>
      <c r="I539">
        <v>0.04</v>
      </c>
      <c r="J539">
        <v>7970.78</v>
      </c>
      <c r="K539" t="s">
        <v>33</v>
      </c>
      <c r="L539" t="s">
        <v>34</v>
      </c>
      <c r="M539" t="s">
        <v>21</v>
      </c>
      <c r="N539" t="s">
        <v>22</v>
      </c>
    </row>
    <row r="540" spans="1:14" x14ac:dyDescent="0.3">
      <c r="A540" t="s">
        <v>601</v>
      </c>
      <c r="B540" s="1">
        <v>45708</v>
      </c>
      <c r="C540" t="s">
        <v>15</v>
      </c>
      <c r="D540" t="s">
        <v>16</v>
      </c>
      <c r="E540" t="s">
        <v>61</v>
      </c>
      <c r="F540" t="s">
        <v>62</v>
      </c>
      <c r="G540">
        <v>5</v>
      </c>
      <c r="H540">
        <v>2273.87</v>
      </c>
      <c r="I540">
        <v>0.03</v>
      </c>
      <c r="J540">
        <v>11028.27</v>
      </c>
      <c r="K540" t="s">
        <v>33</v>
      </c>
      <c r="L540" t="s">
        <v>34</v>
      </c>
      <c r="M540" t="s">
        <v>30</v>
      </c>
      <c r="N540" t="s">
        <v>22</v>
      </c>
    </row>
    <row r="541" spans="1:14" x14ac:dyDescent="0.3">
      <c r="A541" t="s">
        <v>602</v>
      </c>
      <c r="B541" s="1">
        <v>45835</v>
      </c>
      <c r="C541" t="s">
        <v>48</v>
      </c>
      <c r="D541" t="s">
        <v>25</v>
      </c>
      <c r="E541" t="s">
        <v>17</v>
      </c>
      <c r="F541" t="s">
        <v>18</v>
      </c>
      <c r="G541">
        <v>5</v>
      </c>
      <c r="H541">
        <v>4467.25</v>
      </c>
      <c r="I541">
        <v>0.16</v>
      </c>
      <c r="J541">
        <v>18762.45</v>
      </c>
      <c r="K541" t="s">
        <v>41</v>
      </c>
      <c r="L541" t="s">
        <v>20</v>
      </c>
      <c r="M541" t="s">
        <v>21</v>
      </c>
      <c r="N541" t="s">
        <v>22</v>
      </c>
    </row>
    <row r="542" spans="1:14" x14ac:dyDescent="0.3">
      <c r="A542" t="s">
        <v>603</v>
      </c>
      <c r="B542" s="1">
        <v>45836</v>
      </c>
      <c r="C542" t="s">
        <v>52</v>
      </c>
      <c r="D542" t="s">
        <v>25</v>
      </c>
      <c r="E542" t="s">
        <v>99</v>
      </c>
      <c r="F542" t="s">
        <v>111</v>
      </c>
      <c r="G542">
        <v>4</v>
      </c>
      <c r="H542">
        <v>2882.17</v>
      </c>
      <c r="I542">
        <v>0.02</v>
      </c>
      <c r="J542">
        <v>11298.11</v>
      </c>
      <c r="K542" t="s">
        <v>33</v>
      </c>
      <c r="L542" t="s">
        <v>20</v>
      </c>
      <c r="M542" t="s">
        <v>21</v>
      </c>
      <c r="N542" t="s">
        <v>22</v>
      </c>
    </row>
    <row r="543" spans="1:14" x14ac:dyDescent="0.3">
      <c r="A543" t="s">
        <v>604</v>
      </c>
      <c r="B543" s="1">
        <v>45824</v>
      </c>
      <c r="C543" t="s">
        <v>48</v>
      </c>
      <c r="D543" t="s">
        <v>25</v>
      </c>
      <c r="E543" t="s">
        <v>99</v>
      </c>
      <c r="F543" t="s">
        <v>115</v>
      </c>
      <c r="G543">
        <v>2</v>
      </c>
      <c r="H543">
        <v>4319.37</v>
      </c>
      <c r="I543">
        <v>0.15</v>
      </c>
      <c r="J543">
        <v>7342.93</v>
      </c>
      <c r="K543" t="s">
        <v>19</v>
      </c>
      <c r="L543" t="s">
        <v>20</v>
      </c>
      <c r="M543" t="s">
        <v>30</v>
      </c>
      <c r="N543" t="s">
        <v>22</v>
      </c>
    </row>
    <row r="544" spans="1:14" x14ac:dyDescent="0.3">
      <c r="A544" t="s">
        <v>605</v>
      </c>
      <c r="B544" s="1">
        <v>45669</v>
      </c>
      <c r="C544" t="s">
        <v>48</v>
      </c>
      <c r="D544" t="s">
        <v>43</v>
      </c>
      <c r="E544" t="s">
        <v>99</v>
      </c>
      <c r="F544" t="s">
        <v>111</v>
      </c>
      <c r="G544">
        <v>1</v>
      </c>
      <c r="H544">
        <v>2429.14</v>
      </c>
      <c r="I544">
        <v>0.09</v>
      </c>
      <c r="J544">
        <v>2210.52</v>
      </c>
      <c r="K544" t="s">
        <v>41</v>
      </c>
      <c r="L544" t="s">
        <v>20</v>
      </c>
      <c r="M544" t="s">
        <v>30</v>
      </c>
      <c r="N544" t="s">
        <v>22</v>
      </c>
    </row>
    <row r="545" spans="1:14" x14ac:dyDescent="0.3">
      <c r="A545" t="s">
        <v>606</v>
      </c>
      <c r="B545" s="1">
        <v>45677</v>
      </c>
      <c r="C545" t="s">
        <v>36</v>
      </c>
      <c r="D545" t="s">
        <v>25</v>
      </c>
      <c r="E545" t="s">
        <v>99</v>
      </c>
      <c r="F545" t="s">
        <v>100</v>
      </c>
      <c r="G545">
        <v>1</v>
      </c>
      <c r="H545">
        <v>1696.76</v>
      </c>
      <c r="I545">
        <v>0.16</v>
      </c>
      <c r="J545">
        <v>1425.28</v>
      </c>
      <c r="K545" t="s">
        <v>58</v>
      </c>
      <c r="L545" t="s">
        <v>34</v>
      </c>
      <c r="M545" t="s">
        <v>30</v>
      </c>
      <c r="N545" t="s">
        <v>22</v>
      </c>
    </row>
    <row r="546" spans="1:14" x14ac:dyDescent="0.3">
      <c r="A546" t="s">
        <v>607</v>
      </c>
      <c r="B546" s="1">
        <v>45783</v>
      </c>
      <c r="C546" t="s">
        <v>36</v>
      </c>
      <c r="D546" t="s">
        <v>43</v>
      </c>
      <c r="E546" t="s">
        <v>49</v>
      </c>
      <c r="F546" t="s">
        <v>73</v>
      </c>
      <c r="G546">
        <v>2</v>
      </c>
      <c r="H546">
        <v>4872.07</v>
      </c>
      <c r="I546">
        <v>0.1</v>
      </c>
      <c r="J546">
        <v>8769.73</v>
      </c>
      <c r="K546" t="s">
        <v>19</v>
      </c>
      <c r="L546" t="s">
        <v>29</v>
      </c>
      <c r="M546" t="s">
        <v>30</v>
      </c>
      <c r="N546" t="s">
        <v>88</v>
      </c>
    </row>
    <row r="547" spans="1:14" x14ac:dyDescent="0.3">
      <c r="A547" t="s">
        <v>608</v>
      </c>
      <c r="B547" s="1">
        <v>45742</v>
      </c>
      <c r="C547" t="s">
        <v>48</v>
      </c>
      <c r="D547" t="s">
        <v>16</v>
      </c>
      <c r="E547" t="s">
        <v>27</v>
      </c>
      <c r="F547" t="s">
        <v>87</v>
      </c>
      <c r="G547">
        <v>5</v>
      </c>
      <c r="H547">
        <v>3501.25</v>
      </c>
      <c r="I547">
        <v>0.04</v>
      </c>
      <c r="J547">
        <v>16806</v>
      </c>
      <c r="K547" t="s">
        <v>33</v>
      </c>
      <c r="L547" t="s">
        <v>34</v>
      </c>
      <c r="M547" t="s">
        <v>21</v>
      </c>
      <c r="N547" t="s">
        <v>22</v>
      </c>
    </row>
    <row r="548" spans="1:14" x14ac:dyDescent="0.3">
      <c r="A548" t="s">
        <v>609</v>
      </c>
      <c r="B548" s="1">
        <v>45821</v>
      </c>
      <c r="C548" t="s">
        <v>24</v>
      </c>
      <c r="D548" t="s">
        <v>43</v>
      </c>
      <c r="E548" t="s">
        <v>27</v>
      </c>
      <c r="F548" t="s">
        <v>87</v>
      </c>
      <c r="G548">
        <v>4</v>
      </c>
      <c r="H548">
        <v>1694.35</v>
      </c>
      <c r="I548">
        <v>0.02</v>
      </c>
      <c r="J548">
        <v>6641.85</v>
      </c>
      <c r="K548" t="s">
        <v>33</v>
      </c>
      <c r="L548" t="s">
        <v>29</v>
      </c>
      <c r="M548" t="s">
        <v>30</v>
      </c>
      <c r="N548" t="s">
        <v>22</v>
      </c>
    </row>
    <row r="549" spans="1:14" x14ac:dyDescent="0.3">
      <c r="A549" t="s">
        <v>610</v>
      </c>
      <c r="B549" s="1">
        <v>45713</v>
      </c>
      <c r="C549" t="s">
        <v>36</v>
      </c>
      <c r="D549" t="s">
        <v>16</v>
      </c>
      <c r="E549" t="s">
        <v>49</v>
      </c>
      <c r="F549" t="s">
        <v>56</v>
      </c>
      <c r="G549">
        <v>5</v>
      </c>
      <c r="H549">
        <v>3879.58</v>
      </c>
      <c r="I549">
        <v>0.09</v>
      </c>
      <c r="J549">
        <v>17652.09</v>
      </c>
      <c r="K549" t="s">
        <v>58</v>
      </c>
      <c r="L549" t="s">
        <v>29</v>
      </c>
      <c r="M549" t="s">
        <v>30</v>
      </c>
      <c r="N549" t="s">
        <v>22</v>
      </c>
    </row>
    <row r="550" spans="1:14" x14ac:dyDescent="0.3">
      <c r="A550" t="s">
        <v>611</v>
      </c>
      <c r="B550" s="1">
        <v>45668</v>
      </c>
      <c r="C550" t="s">
        <v>52</v>
      </c>
      <c r="D550" t="s">
        <v>43</v>
      </c>
      <c r="E550" t="s">
        <v>61</v>
      </c>
      <c r="F550" t="s">
        <v>62</v>
      </c>
      <c r="G550">
        <v>5</v>
      </c>
      <c r="H550">
        <v>1528.37</v>
      </c>
      <c r="I550">
        <v>0.15</v>
      </c>
      <c r="J550">
        <v>6495.57</v>
      </c>
      <c r="K550" t="s">
        <v>19</v>
      </c>
      <c r="L550" t="s">
        <v>34</v>
      </c>
      <c r="M550" t="s">
        <v>30</v>
      </c>
      <c r="N550" t="s">
        <v>22</v>
      </c>
    </row>
    <row r="551" spans="1:14" x14ac:dyDescent="0.3">
      <c r="A551" t="s">
        <v>612</v>
      </c>
      <c r="B551" s="1">
        <v>45660</v>
      </c>
      <c r="C551" t="s">
        <v>36</v>
      </c>
      <c r="D551" t="s">
        <v>25</v>
      </c>
      <c r="E551" t="s">
        <v>99</v>
      </c>
      <c r="F551" t="s">
        <v>111</v>
      </c>
      <c r="G551">
        <v>3</v>
      </c>
      <c r="H551">
        <v>4952.42</v>
      </c>
      <c r="I551">
        <v>0.15</v>
      </c>
      <c r="J551">
        <v>12628.67</v>
      </c>
      <c r="K551" t="s">
        <v>46</v>
      </c>
      <c r="L551" t="s">
        <v>34</v>
      </c>
      <c r="M551" t="s">
        <v>21</v>
      </c>
      <c r="N551" t="s">
        <v>88</v>
      </c>
    </row>
    <row r="552" spans="1:14" x14ac:dyDescent="0.3">
      <c r="A552" t="s">
        <v>613</v>
      </c>
      <c r="B552" s="1">
        <v>45724</v>
      </c>
      <c r="C552" t="s">
        <v>15</v>
      </c>
      <c r="D552" t="s">
        <v>16</v>
      </c>
      <c r="E552" t="s">
        <v>99</v>
      </c>
      <c r="F552" t="s">
        <v>120</v>
      </c>
      <c r="G552">
        <v>1</v>
      </c>
      <c r="H552">
        <v>3546.44</v>
      </c>
      <c r="I552">
        <v>0.21</v>
      </c>
      <c r="J552">
        <v>2801.69</v>
      </c>
      <c r="K552" t="s">
        <v>33</v>
      </c>
      <c r="L552" t="s">
        <v>20</v>
      </c>
      <c r="M552" t="s">
        <v>30</v>
      </c>
      <c r="N552" t="s">
        <v>37</v>
      </c>
    </row>
    <row r="553" spans="1:14" x14ac:dyDescent="0.3">
      <c r="A553" t="s">
        <v>614</v>
      </c>
      <c r="B553" s="1">
        <v>45809</v>
      </c>
      <c r="C553" t="s">
        <v>48</v>
      </c>
      <c r="D553" t="s">
        <v>43</v>
      </c>
      <c r="E553" t="s">
        <v>17</v>
      </c>
      <c r="F553" t="s">
        <v>44</v>
      </c>
      <c r="G553">
        <v>3</v>
      </c>
      <c r="H553">
        <v>3587.69</v>
      </c>
      <c r="I553">
        <v>0.1</v>
      </c>
      <c r="J553">
        <v>9686.76</v>
      </c>
      <c r="K553" t="s">
        <v>33</v>
      </c>
      <c r="L553" t="s">
        <v>34</v>
      </c>
      <c r="M553" t="s">
        <v>30</v>
      </c>
      <c r="N553" t="s">
        <v>22</v>
      </c>
    </row>
    <row r="554" spans="1:14" x14ac:dyDescent="0.3">
      <c r="A554" t="s">
        <v>615</v>
      </c>
      <c r="B554" s="1">
        <v>45685</v>
      </c>
      <c r="C554" t="s">
        <v>52</v>
      </c>
      <c r="D554" t="s">
        <v>43</v>
      </c>
      <c r="E554" t="s">
        <v>49</v>
      </c>
      <c r="F554" t="s">
        <v>73</v>
      </c>
      <c r="G554">
        <v>3</v>
      </c>
      <c r="H554">
        <v>4215.82</v>
      </c>
      <c r="I554">
        <v>0.04</v>
      </c>
      <c r="J554">
        <v>12141.56</v>
      </c>
      <c r="K554" t="s">
        <v>33</v>
      </c>
      <c r="L554" t="s">
        <v>34</v>
      </c>
      <c r="M554" t="s">
        <v>21</v>
      </c>
      <c r="N554" t="s">
        <v>22</v>
      </c>
    </row>
    <row r="555" spans="1:14" x14ac:dyDescent="0.3">
      <c r="A555" t="s">
        <v>616</v>
      </c>
      <c r="B555" s="1">
        <v>45783</v>
      </c>
      <c r="C555" t="s">
        <v>52</v>
      </c>
      <c r="D555" t="s">
        <v>25</v>
      </c>
      <c r="E555" t="s">
        <v>17</v>
      </c>
      <c r="F555" t="s">
        <v>18</v>
      </c>
      <c r="G555">
        <v>4</v>
      </c>
      <c r="H555">
        <v>4877.38</v>
      </c>
      <c r="I555">
        <v>0.03</v>
      </c>
      <c r="J555">
        <v>18924.23</v>
      </c>
      <c r="K555" t="s">
        <v>41</v>
      </c>
      <c r="L555" t="s">
        <v>29</v>
      </c>
      <c r="M555" t="s">
        <v>54</v>
      </c>
      <c r="N555" t="s">
        <v>37</v>
      </c>
    </row>
    <row r="556" spans="1:14" x14ac:dyDescent="0.3">
      <c r="A556" t="s">
        <v>617</v>
      </c>
      <c r="B556" s="1">
        <v>45710</v>
      </c>
      <c r="C556" t="s">
        <v>36</v>
      </c>
      <c r="D556" t="s">
        <v>39</v>
      </c>
      <c r="E556" t="s">
        <v>27</v>
      </c>
      <c r="F556" t="s">
        <v>87</v>
      </c>
      <c r="G556">
        <v>5</v>
      </c>
      <c r="H556">
        <v>2178.21</v>
      </c>
      <c r="I556">
        <v>0.21</v>
      </c>
      <c r="J556">
        <v>8603.93</v>
      </c>
      <c r="K556" t="s">
        <v>19</v>
      </c>
      <c r="L556" t="s">
        <v>34</v>
      </c>
      <c r="M556" t="s">
        <v>30</v>
      </c>
      <c r="N556" t="s">
        <v>22</v>
      </c>
    </row>
    <row r="557" spans="1:14" x14ac:dyDescent="0.3">
      <c r="A557" t="s">
        <v>618</v>
      </c>
      <c r="B557" s="1">
        <v>45691</v>
      </c>
      <c r="C557" t="s">
        <v>36</v>
      </c>
      <c r="D557" t="s">
        <v>39</v>
      </c>
      <c r="E557" t="s">
        <v>49</v>
      </c>
      <c r="F557" t="s">
        <v>56</v>
      </c>
      <c r="G557">
        <v>2</v>
      </c>
      <c r="H557">
        <v>3589.44</v>
      </c>
      <c r="I557">
        <v>7.0000000000000007E-2</v>
      </c>
      <c r="J557">
        <v>6676.36</v>
      </c>
      <c r="K557" t="s">
        <v>41</v>
      </c>
      <c r="L557" t="s">
        <v>29</v>
      </c>
      <c r="M557" t="s">
        <v>21</v>
      </c>
      <c r="N557" t="s">
        <v>22</v>
      </c>
    </row>
    <row r="558" spans="1:14" x14ac:dyDescent="0.3">
      <c r="A558" t="s">
        <v>619</v>
      </c>
      <c r="B558" s="1">
        <v>45803</v>
      </c>
      <c r="C558" t="s">
        <v>15</v>
      </c>
      <c r="D558" t="s">
        <v>39</v>
      </c>
      <c r="E558" t="s">
        <v>17</v>
      </c>
      <c r="F558" t="s">
        <v>40</v>
      </c>
      <c r="G558">
        <v>4</v>
      </c>
      <c r="H558">
        <v>4812.51</v>
      </c>
      <c r="I558">
        <v>0.02</v>
      </c>
      <c r="J558">
        <v>18865.04</v>
      </c>
      <c r="K558" t="s">
        <v>58</v>
      </c>
      <c r="L558" t="s">
        <v>29</v>
      </c>
      <c r="M558" t="s">
        <v>21</v>
      </c>
      <c r="N558" t="s">
        <v>22</v>
      </c>
    </row>
    <row r="559" spans="1:14" x14ac:dyDescent="0.3">
      <c r="A559" t="s">
        <v>620</v>
      </c>
      <c r="B559" s="1">
        <v>45745</v>
      </c>
      <c r="C559" t="s">
        <v>52</v>
      </c>
      <c r="D559" t="s">
        <v>39</v>
      </c>
      <c r="E559" t="s">
        <v>17</v>
      </c>
      <c r="F559" t="s">
        <v>18</v>
      </c>
      <c r="G559">
        <v>1</v>
      </c>
      <c r="H559">
        <v>3451.96</v>
      </c>
      <c r="I559">
        <v>0.13</v>
      </c>
      <c r="J559">
        <v>3003.21</v>
      </c>
      <c r="K559" t="s">
        <v>41</v>
      </c>
      <c r="L559" t="s">
        <v>29</v>
      </c>
      <c r="M559" t="s">
        <v>21</v>
      </c>
      <c r="N559" t="s">
        <v>22</v>
      </c>
    </row>
    <row r="560" spans="1:14" x14ac:dyDescent="0.3">
      <c r="A560" t="s">
        <v>621</v>
      </c>
      <c r="B560" s="1">
        <v>45767</v>
      </c>
      <c r="C560" t="s">
        <v>48</v>
      </c>
      <c r="D560" t="s">
        <v>39</v>
      </c>
      <c r="E560" t="s">
        <v>99</v>
      </c>
      <c r="F560" t="s">
        <v>120</v>
      </c>
      <c r="G560">
        <v>4</v>
      </c>
      <c r="H560">
        <v>2912.43</v>
      </c>
      <c r="I560">
        <v>0.08</v>
      </c>
      <c r="J560">
        <v>10717.74</v>
      </c>
      <c r="K560" t="s">
        <v>41</v>
      </c>
      <c r="L560" t="s">
        <v>29</v>
      </c>
      <c r="M560" t="s">
        <v>30</v>
      </c>
      <c r="N560" t="s">
        <v>22</v>
      </c>
    </row>
    <row r="561" spans="1:14" x14ac:dyDescent="0.3">
      <c r="A561" t="s">
        <v>622</v>
      </c>
      <c r="B561" s="1">
        <v>45797</v>
      </c>
      <c r="C561" t="s">
        <v>36</v>
      </c>
      <c r="D561" t="s">
        <v>39</v>
      </c>
      <c r="E561" t="s">
        <v>17</v>
      </c>
      <c r="F561" t="s">
        <v>32</v>
      </c>
      <c r="G561">
        <v>4</v>
      </c>
      <c r="H561">
        <v>2932.89</v>
      </c>
      <c r="I561">
        <v>0.14000000000000001</v>
      </c>
      <c r="J561">
        <v>10089.14</v>
      </c>
      <c r="K561" t="s">
        <v>46</v>
      </c>
      <c r="L561" t="s">
        <v>20</v>
      </c>
      <c r="M561" t="s">
        <v>21</v>
      </c>
      <c r="N561" t="s">
        <v>88</v>
      </c>
    </row>
    <row r="562" spans="1:14" x14ac:dyDescent="0.3">
      <c r="A562" t="s">
        <v>623</v>
      </c>
      <c r="B562" s="1">
        <v>45743</v>
      </c>
      <c r="C562" t="s">
        <v>15</v>
      </c>
      <c r="D562" t="s">
        <v>39</v>
      </c>
      <c r="E562" t="s">
        <v>27</v>
      </c>
      <c r="F562" t="s">
        <v>79</v>
      </c>
      <c r="G562">
        <v>2</v>
      </c>
      <c r="H562">
        <v>2577.42</v>
      </c>
      <c r="I562">
        <v>0.21</v>
      </c>
      <c r="J562">
        <v>4072.32</v>
      </c>
      <c r="K562" t="s">
        <v>41</v>
      </c>
      <c r="L562" t="s">
        <v>20</v>
      </c>
      <c r="M562" t="s">
        <v>30</v>
      </c>
      <c r="N562" t="s">
        <v>22</v>
      </c>
    </row>
    <row r="563" spans="1:14" x14ac:dyDescent="0.3">
      <c r="A563" t="s">
        <v>624</v>
      </c>
      <c r="B563" s="1">
        <v>45768</v>
      </c>
      <c r="C563" t="s">
        <v>15</v>
      </c>
      <c r="D563" t="s">
        <v>43</v>
      </c>
      <c r="E563" t="s">
        <v>99</v>
      </c>
      <c r="F563" t="s">
        <v>111</v>
      </c>
      <c r="G563">
        <v>1</v>
      </c>
      <c r="H563">
        <v>3058.73</v>
      </c>
      <c r="I563">
        <v>0.23</v>
      </c>
      <c r="J563">
        <v>2355.2199999999998</v>
      </c>
      <c r="K563" t="s">
        <v>58</v>
      </c>
      <c r="L563" t="s">
        <v>29</v>
      </c>
      <c r="M563" t="s">
        <v>21</v>
      </c>
      <c r="N563" t="s">
        <v>22</v>
      </c>
    </row>
    <row r="564" spans="1:14" x14ac:dyDescent="0.3">
      <c r="A564" t="s">
        <v>625</v>
      </c>
      <c r="B564" s="1">
        <v>45661</v>
      </c>
      <c r="C564" t="s">
        <v>15</v>
      </c>
      <c r="D564" t="s">
        <v>16</v>
      </c>
      <c r="E564" t="s">
        <v>99</v>
      </c>
      <c r="F564" t="s">
        <v>100</v>
      </c>
      <c r="G564">
        <v>2</v>
      </c>
      <c r="H564">
        <v>4016.92</v>
      </c>
      <c r="I564">
        <v>0.22</v>
      </c>
      <c r="J564">
        <v>6266.4</v>
      </c>
      <c r="K564" t="s">
        <v>19</v>
      </c>
      <c r="L564" t="s">
        <v>34</v>
      </c>
      <c r="M564" t="s">
        <v>30</v>
      </c>
      <c r="N564" t="s">
        <v>59</v>
      </c>
    </row>
    <row r="565" spans="1:14" x14ac:dyDescent="0.3">
      <c r="A565" t="s">
        <v>626</v>
      </c>
      <c r="B565" s="1">
        <v>45681</v>
      </c>
      <c r="C565" t="s">
        <v>48</v>
      </c>
      <c r="D565" t="s">
        <v>43</v>
      </c>
      <c r="E565" t="s">
        <v>27</v>
      </c>
      <c r="F565" t="s">
        <v>68</v>
      </c>
      <c r="G565">
        <v>2</v>
      </c>
      <c r="H565">
        <v>3337.27</v>
      </c>
      <c r="I565">
        <v>0.18</v>
      </c>
      <c r="J565">
        <v>5473.12</v>
      </c>
      <c r="K565" t="s">
        <v>41</v>
      </c>
      <c r="L565" t="s">
        <v>34</v>
      </c>
      <c r="M565" t="s">
        <v>54</v>
      </c>
      <c r="N565" t="s">
        <v>22</v>
      </c>
    </row>
    <row r="566" spans="1:14" x14ac:dyDescent="0.3">
      <c r="A566" t="s">
        <v>627</v>
      </c>
      <c r="B566" s="1">
        <v>45674</v>
      </c>
      <c r="C566" t="s">
        <v>15</v>
      </c>
      <c r="D566" t="s">
        <v>43</v>
      </c>
      <c r="E566" t="s">
        <v>99</v>
      </c>
      <c r="F566" t="s">
        <v>120</v>
      </c>
      <c r="G566">
        <v>2</v>
      </c>
      <c r="H566">
        <v>2373.67</v>
      </c>
      <c r="I566">
        <v>0.12</v>
      </c>
      <c r="J566">
        <v>4177.66</v>
      </c>
      <c r="K566" t="s">
        <v>58</v>
      </c>
      <c r="L566" t="s">
        <v>20</v>
      </c>
      <c r="M566" t="s">
        <v>30</v>
      </c>
      <c r="N566" t="s">
        <v>22</v>
      </c>
    </row>
    <row r="567" spans="1:14" x14ac:dyDescent="0.3">
      <c r="A567" t="s">
        <v>628</v>
      </c>
      <c r="B567" s="1">
        <v>45831</v>
      </c>
      <c r="C567" t="s">
        <v>15</v>
      </c>
      <c r="D567" t="s">
        <v>25</v>
      </c>
      <c r="E567" t="s">
        <v>49</v>
      </c>
      <c r="F567" t="s">
        <v>50</v>
      </c>
      <c r="G567">
        <v>4</v>
      </c>
      <c r="H567">
        <v>158.13</v>
      </c>
      <c r="I567">
        <v>0.23</v>
      </c>
      <c r="J567">
        <v>487.04</v>
      </c>
      <c r="K567" t="s">
        <v>19</v>
      </c>
      <c r="L567" t="s">
        <v>29</v>
      </c>
      <c r="M567" t="s">
        <v>30</v>
      </c>
      <c r="N567" t="s">
        <v>22</v>
      </c>
    </row>
    <row r="568" spans="1:14" x14ac:dyDescent="0.3">
      <c r="A568" t="s">
        <v>629</v>
      </c>
      <c r="B568" s="1">
        <v>45794</v>
      </c>
      <c r="C568" t="s">
        <v>24</v>
      </c>
      <c r="D568" t="s">
        <v>39</v>
      </c>
      <c r="E568" t="s">
        <v>27</v>
      </c>
      <c r="F568" t="s">
        <v>79</v>
      </c>
      <c r="G568">
        <v>3</v>
      </c>
      <c r="H568">
        <v>4785.3</v>
      </c>
      <c r="I568">
        <v>0.11</v>
      </c>
      <c r="J568">
        <v>12776.75</v>
      </c>
      <c r="K568" t="s">
        <v>33</v>
      </c>
      <c r="L568" t="s">
        <v>29</v>
      </c>
      <c r="M568" t="s">
        <v>21</v>
      </c>
      <c r="N568" t="s">
        <v>22</v>
      </c>
    </row>
    <row r="569" spans="1:14" x14ac:dyDescent="0.3">
      <c r="A569" t="s">
        <v>630</v>
      </c>
      <c r="B569" s="1">
        <v>45835</v>
      </c>
      <c r="C569" t="s">
        <v>15</v>
      </c>
      <c r="D569" t="s">
        <v>43</v>
      </c>
      <c r="E569" t="s">
        <v>99</v>
      </c>
      <c r="F569" t="s">
        <v>120</v>
      </c>
      <c r="G569">
        <v>4</v>
      </c>
      <c r="H569">
        <v>3888.44</v>
      </c>
      <c r="I569">
        <v>0.19</v>
      </c>
      <c r="J569">
        <v>12598.55</v>
      </c>
      <c r="K569" t="s">
        <v>33</v>
      </c>
      <c r="L569" t="s">
        <v>34</v>
      </c>
      <c r="M569" t="s">
        <v>21</v>
      </c>
      <c r="N569" t="s">
        <v>22</v>
      </c>
    </row>
    <row r="570" spans="1:14" x14ac:dyDescent="0.3">
      <c r="A570" t="s">
        <v>631</v>
      </c>
      <c r="B570" s="1">
        <v>45688</v>
      </c>
      <c r="C570" t="s">
        <v>36</v>
      </c>
      <c r="D570" t="s">
        <v>16</v>
      </c>
      <c r="E570" t="s">
        <v>61</v>
      </c>
      <c r="F570" t="s">
        <v>66</v>
      </c>
      <c r="G570">
        <v>1</v>
      </c>
      <c r="H570">
        <v>4175.28</v>
      </c>
      <c r="I570">
        <v>0</v>
      </c>
      <c r="J570">
        <v>4175.28</v>
      </c>
      <c r="K570" t="s">
        <v>58</v>
      </c>
      <c r="L570" t="s">
        <v>29</v>
      </c>
      <c r="M570" t="s">
        <v>54</v>
      </c>
      <c r="N570" t="s">
        <v>22</v>
      </c>
    </row>
    <row r="571" spans="1:14" x14ac:dyDescent="0.3">
      <c r="A571" t="s">
        <v>632</v>
      </c>
      <c r="B571" s="1">
        <v>45765</v>
      </c>
      <c r="C571" t="s">
        <v>15</v>
      </c>
      <c r="D571" t="s">
        <v>43</v>
      </c>
      <c r="E571" t="s">
        <v>99</v>
      </c>
      <c r="F571" t="s">
        <v>100</v>
      </c>
      <c r="G571">
        <v>1</v>
      </c>
      <c r="H571">
        <v>216.13</v>
      </c>
      <c r="I571">
        <v>0.02</v>
      </c>
      <c r="J571">
        <v>211.81</v>
      </c>
      <c r="K571" t="s">
        <v>46</v>
      </c>
      <c r="L571" t="s">
        <v>20</v>
      </c>
      <c r="M571" t="s">
        <v>21</v>
      </c>
      <c r="N571" t="s">
        <v>59</v>
      </c>
    </row>
    <row r="572" spans="1:14" x14ac:dyDescent="0.3">
      <c r="A572" t="s">
        <v>633</v>
      </c>
      <c r="B572" s="1">
        <v>45666</v>
      </c>
      <c r="C572" t="s">
        <v>24</v>
      </c>
      <c r="D572" t="s">
        <v>43</v>
      </c>
      <c r="E572" t="s">
        <v>17</v>
      </c>
      <c r="F572" t="s">
        <v>18</v>
      </c>
      <c r="G572">
        <v>4</v>
      </c>
      <c r="H572">
        <v>3316.33</v>
      </c>
      <c r="I572">
        <v>0.22</v>
      </c>
      <c r="J572">
        <v>10346.950000000001</v>
      </c>
      <c r="K572" t="s">
        <v>33</v>
      </c>
      <c r="L572" t="s">
        <v>20</v>
      </c>
      <c r="M572" t="s">
        <v>21</v>
      </c>
      <c r="N572" t="s">
        <v>37</v>
      </c>
    </row>
    <row r="573" spans="1:14" x14ac:dyDescent="0.3">
      <c r="A573" t="s">
        <v>634</v>
      </c>
      <c r="B573" s="1">
        <v>45822</v>
      </c>
      <c r="C573" t="s">
        <v>15</v>
      </c>
      <c r="D573" t="s">
        <v>25</v>
      </c>
      <c r="E573" t="s">
        <v>61</v>
      </c>
      <c r="F573" t="s">
        <v>66</v>
      </c>
      <c r="G573">
        <v>1</v>
      </c>
      <c r="H573">
        <v>3230.02</v>
      </c>
      <c r="I573">
        <v>0.23</v>
      </c>
      <c r="J573">
        <v>2487.12</v>
      </c>
      <c r="K573" t="s">
        <v>41</v>
      </c>
      <c r="L573" t="s">
        <v>29</v>
      </c>
      <c r="M573" t="s">
        <v>30</v>
      </c>
      <c r="N573" t="s">
        <v>22</v>
      </c>
    </row>
    <row r="574" spans="1:14" x14ac:dyDescent="0.3">
      <c r="A574" t="s">
        <v>635</v>
      </c>
      <c r="B574" s="1">
        <v>45731</v>
      </c>
      <c r="C574" t="s">
        <v>52</v>
      </c>
      <c r="D574" t="s">
        <v>39</v>
      </c>
      <c r="E574" t="s">
        <v>99</v>
      </c>
      <c r="F574" t="s">
        <v>111</v>
      </c>
      <c r="G574">
        <v>1</v>
      </c>
      <c r="H574">
        <v>1975.72</v>
      </c>
      <c r="I574">
        <v>0.08</v>
      </c>
      <c r="J574">
        <v>1817.66</v>
      </c>
      <c r="K574" t="s">
        <v>58</v>
      </c>
      <c r="L574" t="s">
        <v>34</v>
      </c>
      <c r="M574" t="s">
        <v>54</v>
      </c>
      <c r="N574" t="s">
        <v>59</v>
      </c>
    </row>
    <row r="575" spans="1:14" x14ac:dyDescent="0.3">
      <c r="A575" t="s">
        <v>636</v>
      </c>
      <c r="B575" s="1">
        <v>45773</v>
      </c>
      <c r="C575" t="s">
        <v>48</v>
      </c>
      <c r="D575" t="s">
        <v>16</v>
      </c>
      <c r="E575" t="s">
        <v>99</v>
      </c>
      <c r="F575" t="s">
        <v>100</v>
      </c>
      <c r="G575">
        <v>2</v>
      </c>
      <c r="H575">
        <v>3090.48</v>
      </c>
      <c r="I575">
        <v>0.04</v>
      </c>
      <c r="J575">
        <v>5933.72</v>
      </c>
      <c r="K575" t="s">
        <v>58</v>
      </c>
      <c r="L575" t="s">
        <v>34</v>
      </c>
      <c r="M575" t="s">
        <v>30</v>
      </c>
      <c r="N575" t="s">
        <v>22</v>
      </c>
    </row>
    <row r="576" spans="1:14" x14ac:dyDescent="0.3">
      <c r="A576" t="s">
        <v>637</v>
      </c>
      <c r="B576" s="1">
        <v>45767</v>
      </c>
      <c r="C576" t="s">
        <v>36</v>
      </c>
      <c r="D576" t="s">
        <v>39</v>
      </c>
      <c r="E576" t="s">
        <v>49</v>
      </c>
      <c r="F576" t="s">
        <v>73</v>
      </c>
      <c r="G576">
        <v>3</v>
      </c>
      <c r="H576">
        <v>606.11</v>
      </c>
      <c r="I576">
        <v>0.02</v>
      </c>
      <c r="J576">
        <v>1781.96</v>
      </c>
      <c r="K576" t="s">
        <v>58</v>
      </c>
      <c r="L576" t="s">
        <v>34</v>
      </c>
      <c r="M576" t="s">
        <v>21</v>
      </c>
      <c r="N576" t="s">
        <v>88</v>
      </c>
    </row>
    <row r="577" spans="1:14" x14ac:dyDescent="0.3">
      <c r="A577" t="s">
        <v>638</v>
      </c>
      <c r="B577" s="1">
        <v>45688</v>
      </c>
      <c r="C577" t="s">
        <v>52</v>
      </c>
      <c r="D577" t="s">
        <v>16</v>
      </c>
      <c r="E577" t="s">
        <v>17</v>
      </c>
      <c r="F577" t="s">
        <v>40</v>
      </c>
      <c r="G577">
        <v>4</v>
      </c>
      <c r="H577">
        <v>1405.54</v>
      </c>
      <c r="I577">
        <v>0.18</v>
      </c>
      <c r="J577">
        <v>4610.17</v>
      </c>
      <c r="K577" t="s">
        <v>58</v>
      </c>
      <c r="L577" t="s">
        <v>20</v>
      </c>
      <c r="M577" t="s">
        <v>30</v>
      </c>
      <c r="N577" t="s">
        <v>22</v>
      </c>
    </row>
    <row r="578" spans="1:14" x14ac:dyDescent="0.3">
      <c r="A578" t="s">
        <v>639</v>
      </c>
      <c r="B578" s="1">
        <v>45743</v>
      </c>
      <c r="C578" t="s">
        <v>48</v>
      </c>
      <c r="D578" t="s">
        <v>25</v>
      </c>
      <c r="E578" t="s">
        <v>49</v>
      </c>
      <c r="F578" t="s">
        <v>50</v>
      </c>
      <c r="G578">
        <v>1</v>
      </c>
      <c r="H578">
        <v>2746.63</v>
      </c>
      <c r="I578">
        <v>0</v>
      </c>
      <c r="J578">
        <v>2746.63</v>
      </c>
      <c r="K578" t="s">
        <v>41</v>
      </c>
      <c r="L578" t="s">
        <v>29</v>
      </c>
      <c r="M578" t="s">
        <v>21</v>
      </c>
      <c r="N578" t="s">
        <v>22</v>
      </c>
    </row>
    <row r="579" spans="1:14" x14ac:dyDescent="0.3">
      <c r="A579" t="s">
        <v>640</v>
      </c>
      <c r="B579" s="1">
        <v>45684</v>
      </c>
      <c r="C579" t="s">
        <v>15</v>
      </c>
      <c r="D579" t="s">
        <v>39</v>
      </c>
      <c r="E579" t="s">
        <v>27</v>
      </c>
      <c r="F579" t="s">
        <v>28</v>
      </c>
      <c r="G579">
        <v>1</v>
      </c>
      <c r="H579">
        <v>3198.14</v>
      </c>
      <c r="I579">
        <v>0.24</v>
      </c>
      <c r="J579">
        <v>2430.59</v>
      </c>
      <c r="K579" t="s">
        <v>46</v>
      </c>
      <c r="L579" t="s">
        <v>34</v>
      </c>
      <c r="M579" t="s">
        <v>54</v>
      </c>
      <c r="N579" t="s">
        <v>22</v>
      </c>
    </row>
    <row r="580" spans="1:14" x14ac:dyDescent="0.3">
      <c r="A580" t="s">
        <v>641</v>
      </c>
      <c r="B580" s="1">
        <v>45668</v>
      </c>
      <c r="C580" t="s">
        <v>48</v>
      </c>
      <c r="D580" t="s">
        <v>43</v>
      </c>
      <c r="E580" t="s">
        <v>99</v>
      </c>
      <c r="F580" t="s">
        <v>120</v>
      </c>
      <c r="G580">
        <v>2</v>
      </c>
      <c r="H580">
        <v>965.43</v>
      </c>
      <c r="I580">
        <v>0.01</v>
      </c>
      <c r="J580">
        <v>1911.55</v>
      </c>
      <c r="K580" t="s">
        <v>46</v>
      </c>
      <c r="L580" t="s">
        <v>29</v>
      </c>
      <c r="M580" t="s">
        <v>30</v>
      </c>
      <c r="N580" t="s">
        <v>22</v>
      </c>
    </row>
    <row r="581" spans="1:14" x14ac:dyDescent="0.3">
      <c r="A581" t="s">
        <v>642</v>
      </c>
      <c r="B581" s="1">
        <v>45719</v>
      </c>
      <c r="C581" t="s">
        <v>15</v>
      </c>
      <c r="D581" t="s">
        <v>16</v>
      </c>
      <c r="E581" t="s">
        <v>49</v>
      </c>
      <c r="F581" t="s">
        <v>56</v>
      </c>
      <c r="G581">
        <v>4</v>
      </c>
      <c r="H581">
        <v>3703.09</v>
      </c>
      <c r="I581">
        <v>0.03</v>
      </c>
      <c r="J581">
        <v>14367.99</v>
      </c>
      <c r="K581" t="s">
        <v>41</v>
      </c>
      <c r="L581" t="s">
        <v>20</v>
      </c>
      <c r="M581" t="s">
        <v>54</v>
      </c>
      <c r="N581" t="s">
        <v>22</v>
      </c>
    </row>
    <row r="582" spans="1:14" x14ac:dyDescent="0.3">
      <c r="A582" t="s">
        <v>643</v>
      </c>
      <c r="B582" s="1">
        <v>45730</v>
      </c>
      <c r="C582" t="s">
        <v>48</v>
      </c>
      <c r="D582" t="s">
        <v>16</v>
      </c>
      <c r="E582" t="s">
        <v>27</v>
      </c>
      <c r="F582" t="s">
        <v>68</v>
      </c>
      <c r="G582">
        <v>5</v>
      </c>
      <c r="H582">
        <v>3252.7</v>
      </c>
      <c r="I582">
        <v>0.12</v>
      </c>
      <c r="J582">
        <v>14311.88</v>
      </c>
      <c r="K582" t="s">
        <v>41</v>
      </c>
      <c r="L582" t="s">
        <v>20</v>
      </c>
      <c r="M582" t="s">
        <v>30</v>
      </c>
      <c r="N582" t="s">
        <v>22</v>
      </c>
    </row>
    <row r="583" spans="1:14" x14ac:dyDescent="0.3">
      <c r="A583" t="s">
        <v>644</v>
      </c>
      <c r="B583" s="1">
        <v>45834</v>
      </c>
      <c r="C583" t="s">
        <v>24</v>
      </c>
      <c r="D583" t="s">
        <v>43</v>
      </c>
      <c r="E583" t="s">
        <v>17</v>
      </c>
      <c r="F583" t="s">
        <v>32</v>
      </c>
      <c r="G583">
        <v>2</v>
      </c>
      <c r="H583">
        <v>4054.81</v>
      </c>
      <c r="I583">
        <v>0.17</v>
      </c>
      <c r="J583">
        <v>6730.98</v>
      </c>
      <c r="K583" t="s">
        <v>41</v>
      </c>
      <c r="L583" t="s">
        <v>20</v>
      </c>
      <c r="M583" t="s">
        <v>30</v>
      </c>
      <c r="N583" t="s">
        <v>22</v>
      </c>
    </row>
    <row r="584" spans="1:14" x14ac:dyDescent="0.3">
      <c r="A584" t="s">
        <v>645</v>
      </c>
      <c r="B584" s="1">
        <v>45841</v>
      </c>
      <c r="C584" t="s">
        <v>24</v>
      </c>
      <c r="D584" t="s">
        <v>43</v>
      </c>
      <c r="E584" t="s">
        <v>61</v>
      </c>
      <c r="F584" t="s">
        <v>62</v>
      </c>
      <c r="G584">
        <v>1</v>
      </c>
      <c r="H584">
        <v>2408.98</v>
      </c>
      <c r="I584">
        <v>0.23</v>
      </c>
      <c r="J584">
        <v>1854.91</v>
      </c>
      <c r="K584" t="s">
        <v>19</v>
      </c>
      <c r="L584" t="s">
        <v>34</v>
      </c>
      <c r="M584" t="s">
        <v>54</v>
      </c>
      <c r="N584" t="s">
        <v>22</v>
      </c>
    </row>
    <row r="585" spans="1:14" x14ac:dyDescent="0.3">
      <c r="A585" t="s">
        <v>646</v>
      </c>
      <c r="B585" s="1">
        <v>45814</v>
      </c>
      <c r="C585" t="s">
        <v>52</v>
      </c>
      <c r="D585" t="s">
        <v>16</v>
      </c>
      <c r="E585" t="s">
        <v>61</v>
      </c>
      <c r="F585" t="s">
        <v>62</v>
      </c>
      <c r="G585">
        <v>1</v>
      </c>
      <c r="H585">
        <v>2335.3000000000002</v>
      </c>
      <c r="I585">
        <v>0.04</v>
      </c>
      <c r="J585">
        <v>2241.89</v>
      </c>
      <c r="K585" t="s">
        <v>58</v>
      </c>
      <c r="L585" t="s">
        <v>34</v>
      </c>
      <c r="M585" t="s">
        <v>21</v>
      </c>
      <c r="N585" t="s">
        <v>88</v>
      </c>
    </row>
    <row r="586" spans="1:14" x14ac:dyDescent="0.3">
      <c r="A586" t="s">
        <v>647</v>
      </c>
      <c r="B586" s="1">
        <v>45827</v>
      </c>
      <c r="C586" t="s">
        <v>48</v>
      </c>
      <c r="D586" t="s">
        <v>25</v>
      </c>
      <c r="E586" t="s">
        <v>17</v>
      </c>
      <c r="F586" t="s">
        <v>18</v>
      </c>
      <c r="G586">
        <v>2</v>
      </c>
      <c r="H586">
        <v>409.24</v>
      </c>
      <c r="I586">
        <v>0.05</v>
      </c>
      <c r="J586">
        <v>777.56</v>
      </c>
      <c r="K586" t="s">
        <v>33</v>
      </c>
      <c r="L586" t="s">
        <v>29</v>
      </c>
      <c r="M586" t="s">
        <v>30</v>
      </c>
      <c r="N586" t="s">
        <v>22</v>
      </c>
    </row>
    <row r="587" spans="1:14" x14ac:dyDescent="0.3">
      <c r="A587" t="s">
        <v>648</v>
      </c>
      <c r="B587" s="1">
        <v>45667</v>
      </c>
      <c r="C587" t="s">
        <v>15</v>
      </c>
      <c r="D587" t="s">
        <v>43</v>
      </c>
      <c r="E587" t="s">
        <v>27</v>
      </c>
      <c r="F587" t="s">
        <v>68</v>
      </c>
      <c r="G587">
        <v>5</v>
      </c>
      <c r="H587">
        <v>949.89</v>
      </c>
      <c r="I587">
        <v>0.02</v>
      </c>
      <c r="J587">
        <v>4654.46</v>
      </c>
      <c r="K587" t="s">
        <v>19</v>
      </c>
      <c r="L587" t="s">
        <v>20</v>
      </c>
      <c r="M587" t="s">
        <v>30</v>
      </c>
      <c r="N587" t="s">
        <v>88</v>
      </c>
    </row>
    <row r="588" spans="1:14" x14ac:dyDescent="0.3">
      <c r="A588" t="s">
        <v>649</v>
      </c>
      <c r="B588" s="1">
        <v>45834</v>
      </c>
      <c r="C588" t="s">
        <v>36</v>
      </c>
      <c r="D588" t="s">
        <v>25</v>
      </c>
      <c r="E588" t="s">
        <v>61</v>
      </c>
      <c r="F588" t="s">
        <v>66</v>
      </c>
      <c r="G588">
        <v>2</v>
      </c>
      <c r="H588">
        <v>4635.8100000000004</v>
      </c>
      <c r="I588">
        <v>0.01</v>
      </c>
      <c r="J588">
        <v>9178.9</v>
      </c>
      <c r="K588" t="s">
        <v>19</v>
      </c>
      <c r="L588" t="s">
        <v>34</v>
      </c>
      <c r="M588" t="s">
        <v>54</v>
      </c>
      <c r="N588" t="s">
        <v>88</v>
      </c>
    </row>
    <row r="589" spans="1:14" x14ac:dyDescent="0.3">
      <c r="A589" t="s">
        <v>650</v>
      </c>
      <c r="B589" s="1">
        <v>45729</v>
      </c>
      <c r="C589" t="s">
        <v>24</v>
      </c>
      <c r="D589" t="s">
        <v>39</v>
      </c>
      <c r="E589" t="s">
        <v>17</v>
      </c>
      <c r="F589" t="s">
        <v>40</v>
      </c>
      <c r="G589">
        <v>2</v>
      </c>
      <c r="H589">
        <v>4638.07</v>
      </c>
      <c r="I589">
        <v>0.18</v>
      </c>
      <c r="J589">
        <v>7606.43</v>
      </c>
      <c r="K589" t="s">
        <v>58</v>
      </c>
      <c r="L589" t="s">
        <v>20</v>
      </c>
      <c r="M589" t="s">
        <v>21</v>
      </c>
      <c r="N589" t="s">
        <v>22</v>
      </c>
    </row>
    <row r="590" spans="1:14" x14ac:dyDescent="0.3">
      <c r="A590" t="s">
        <v>651</v>
      </c>
      <c r="B590" s="1">
        <v>45700</v>
      </c>
      <c r="C590" t="s">
        <v>52</v>
      </c>
      <c r="D590" t="s">
        <v>16</v>
      </c>
      <c r="E590" t="s">
        <v>49</v>
      </c>
      <c r="F590" t="s">
        <v>73</v>
      </c>
      <c r="G590">
        <v>3</v>
      </c>
      <c r="H590">
        <v>2663.13</v>
      </c>
      <c r="I590">
        <v>0.1</v>
      </c>
      <c r="J590">
        <v>7190.45</v>
      </c>
      <c r="K590" t="s">
        <v>19</v>
      </c>
      <c r="L590" t="s">
        <v>29</v>
      </c>
      <c r="M590" t="s">
        <v>54</v>
      </c>
      <c r="N590" t="s">
        <v>22</v>
      </c>
    </row>
    <row r="591" spans="1:14" x14ac:dyDescent="0.3">
      <c r="A591" t="s">
        <v>652</v>
      </c>
      <c r="B591" s="1">
        <v>45792</v>
      </c>
      <c r="C591" t="s">
        <v>15</v>
      </c>
      <c r="D591" t="s">
        <v>16</v>
      </c>
      <c r="E591" t="s">
        <v>49</v>
      </c>
      <c r="F591" t="s">
        <v>56</v>
      </c>
      <c r="G591">
        <v>1</v>
      </c>
      <c r="H591">
        <v>2832.78</v>
      </c>
      <c r="I591">
        <v>0.05</v>
      </c>
      <c r="J591">
        <v>2691.14</v>
      </c>
      <c r="K591" t="s">
        <v>46</v>
      </c>
      <c r="L591" t="s">
        <v>34</v>
      </c>
      <c r="M591" t="s">
        <v>21</v>
      </c>
      <c r="N591" t="s">
        <v>22</v>
      </c>
    </row>
    <row r="592" spans="1:14" x14ac:dyDescent="0.3">
      <c r="A592" t="s">
        <v>653</v>
      </c>
      <c r="B592" s="1">
        <v>45708</v>
      </c>
      <c r="C592" t="s">
        <v>48</v>
      </c>
      <c r="D592" t="s">
        <v>25</v>
      </c>
      <c r="E592" t="s">
        <v>27</v>
      </c>
      <c r="F592" t="s">
        <v>68</v>
      </c>
      <c r="G592">
        <v>1</v>
      </c>
      <c r="H592">
        <v>1049.22</v>
      </c>
      <c r="I592">
        <v>0.2</v>
      </c>
      <c r="J592">
        <v>839.38</v>
      </c>
      <c r="K592" t="s">
        <v>19</v>
      </c>
      <c r="L592" t="s">
        <v>34</v>
      </c>
      <c r="M592" t="s">
        <v>21</v>
      </c>
      <c r="N592" t="s">
        <v>22</v>
      </c>
    </row>
    <row r="593" spans="1:14" x14ac:dyDescent="0.3">
      <c r="A593" t="s">
        <v>654</v>
      </c>
      <c r="B593" s="1">
        <v>45789</v>
      </c>
      <c r="C593" t="s">
        <v>24</v>
      </c>
      <c r="D593" t="s">
        <v>16</v>
      </c>
      <c r="E593" t="s">
        <v>61</v>
      </c>
      <c r="F593" t="s">
        <v>62</v>
      </c>
      <c r="G593">
        <v>2</v>
      </c>
      <c r="H593">
        <v>2229.89</v>
      </c>
      <c r="I593">
        <v>0.08</v>
      </c>
      <c r="J593">
        <v>4103</v>
      </c>
      <c r="K593" t="s">
        <v>46</v>
      </c>
      <c r="L593" t="s">
        <v>34</v>
      </c>
      <c r="M593" t="s">
        <v>30</v>
      </c>
      <c r="N593" t="s">
        <v>22</v>
      </c>
    </row>
    <row r="594" spans="1:14" x14ac:dyDescent="0.3">
      <c r="A594" t="s">
        <v>655</v>
      </c>
      <c r="B594" s="1">
        <v>45679</v>
      </c>
      <c r="C594" t="s">
        <v>52</v>
      </c>
      <c r="D594" t="s">
        <v>25</v>
      </c>
      <c r="E594" t="s">
        <v>17</v>
      </c>
      <c r="F594" t="s">
        <v>44</v>
      </c>
      <c r="G594">
        <v>5</v>
      </c>
      <c r="H594">
        <v>668.72</v>
      </c>
      <c r="I594">
        <v>0.22</v>
      </c>
      <c r="J594">
        <v>2608.0100000000002</v>
      </c>
      <c r="K594" t="s">
        <v>58</v>
      </c>
      <c r="L594" t="s">
        <v>34</v>
      </c>
      <c r="M594" t="s">
        <v>21</v>
      </c>
      <c r="N594" t="s">
        <v>22</v>
      </c>
    </row>
    <row r="595" spans="1:14" x14ac:dyDescent="0.3">
      <c r="A595" t="s">
        <v>656</v>
      </c>
      <c r="B595" s="1">
        <v>45728</v>
      </c>
      <c r="C595" t="s">
        <v>52</v>
      </c>
      <c r="D595" t="s">
        <v>25</v>
      </c>
      <c r="E595" t="s">
        <v>99</v>
      </c>
      <c r="F595" t="s">
        <v>115</v>
      </c>
      <c r="G595">
        <v>1</v>
      </c>
      <c r="H595">
        <v>1698.05</v>
      </c>
      <c r="I595">
        <v>0.02</v>
      </c>
      <c r="J595">
        <v>1664.09</v>
      </c>
      <c r="K595" t="s">
        <v>46</v>
      </c>
      <c r="L595" t="s">
        <v>20</v>
      </c>
      <c r="M595" t="s">
        <v>21</v>
      </c>
      <c r="N595" t="s">
        <v>37</v>
      </c>
    </row>
    <row r="596" spans="1:14" x14ac:dyDescent="0.3">
      <c r="A596" t="s">
        <v>657</v>
      </c>
      <c r="B596" s="1">
        <v>45811</v>
      </c>
      <c r="C596" t="s">
        <v>24</v>
      </c>
      <c r="D596" t="s">
        <v>25</v>
      </c>
      <c r="E596" t="s">
        <v>49</v>
      </c>
      <c r="F596" t="s">
        <v>73</v>
      </c>
      <c r="G596">
        <v>4</v>
      </c>
      <c r="H596">
        <v>366.26</v>
      </c>
      <c r="I596">
        <v>0.11</v>
      </c>
      <c r="J596">
        <v>1303.8900000000001</v>
      </c>
      <c r="K596" t="s">
        <v>41</v>
      </c>
      <c r="L596" t="s">
        <v>29</v>
      </c>
      <c r="M596" t="s">
        <v>54</v>
      </c>
      <c r="N596" t="s">
        <v>22</v>
      </c>
    </row>
    <row r="597" spans="1:14" x14ac:dyDescent="0.3">
      <c r="A597" t="s">
        <v>658</v>
      </c>
      <c r="B597" s="1">
        <v>45768</v>
      </c>
      <c r="C597" t="s">
        <v>48</v>
      </c>
      <c r="D597" t="s">
        <v>16</v>
      </c>
      <c r="E597" t="s">
        <v>99</v>
      </c>
      <c r="F597" t="s">
        <v>100</v>
      </c>
      <c r="G597">
        <v>3</v>
      </c>
      <c r="H597">
        <v>4880.22</v>
      </c>
      <c r="I597">
        <v>0.05</v>
      </c>
      <c r="J597">
        <v>13908.63</v>
      </c>
      <c r="K597" t="s">
        <v>19</v>
      </c>
      <c r="L597" t="s">
        <v>29</v>
      </c>
      <c r="M597" t="s">
        <v>54</v>
      </c>
      <c r="N597" t="s">
        <v>22</v>
      </c>
    </row>
    <row r="598" spans="1:14" x14ac:dyDescent="0.3">
      <c r="A598" t="s">
        <v>659</v>
      </c>
      <c r="B598" s="1">
        <v>45831</v>
      </c>
      <c r="C598" t="s">
        <v>52</v>
      </c>
      <c r="D598" t="s">
        <v>39</v>
      </c>
      <c r="E598" t="s">
        <v>17</v>
      </c>
      <c r="F598" t="s">
        <v>32</v>
      </c>
      <c r="G598">
        <v>4</v>
      </c>
      <c r="H598">
        <v>2149.3000000000002</v>
      </c>
      <c r="I598">
        <v>0.19</v>
      </c>
      <c r="J598">
        <v>6963.73</v>
      </c>
      <c r="K598" t="s">
        <v>58</v>
      </c>
      <c r="L598" t="s">
        <v>34</v>
      </c>
      <c r="M598" t="s">
        <v>54</v>
      </c>
      <c r="N598" t="s">
        <v>22</v>
      </c>
    </row>
    <row r="599" spans="1:14" x14ac:dyDescent="0.3">
      <c r="A599" t="s">
        <v>660</v>
      </c>
      <c r="B599" s="1">
        <v>45829</v>
      </c>
      <c r="C599" t="s">
        <v>36</v>
      </c>
      <c r="D599" t="s">
        <v>25</v>
      </c>
      <c r="E599" t="s">
        <v>27</v>
      </c>
      <c r="F599" t="s">
        <v>68</v>
      </c>
      <c r="G599">
        <v>1</v>
      </c>
      <c r="H599">
        <v>2117.31</v>
      </c>
      <c r="I599">
        <v>0.13</v>
      </c>
      <c r="J599">
        <v>1842.06</v>
      </c>
      <c r="K599" t="s">
        <v>33</v>
      </c>
      <c r="L599" t="s">
        <v>20</v>
      </c>
      <c r="M599" t="s">
        <v>54</v>
      </c>
      <c r="N599" t="s">
        <v>88</v>
      </c>
    </row>
    <row r="600" spans="1:14" x14ac:dyDescent="0.3">
      <c r="A600" t="s">
        <v>661</v>
      </c>
      <c r="B600" s="1">
        <v>45738</v>
      </c>
      <c r="C600" t="s">
        <v>48</v>
      </c>
      <c r="D600" t="s">
        <v>43</v>
      </c>
      <c r="E600" t="s">
        <v>99</v>
      </c>
      <c r="F600" t="s">
        <v>120</v>
      </c>
      <c r="G600">
        <v>3</v>
      </c>
      <c r="H600">
        <v>2227.8200000000002</v>
      </c>
      <c r="I600">
        <v>0.06</v>
      </c>
      <c r="J600">
        <v>6282.45</v>
      </c>
      <c r="K600" t="s">
        <v>19</v>
      </c>
      <c r="L600" t="s">
        <v>20</v>
      </c>
      <c r="M600" t="s">
        <v>21</v>
      </c>
      <c r="N600" t="s">
        <v>37</v>
      </c>
    </row>
    <row r="601" spans="1:14" x14ac:dyDescent="0.3">
      <c r="A601" t="s">
        <v>662</v>
      </c>
      <c r="B601" s="1">
        <v>45780</v>
      </c>
      <c r="C601" t="s">
        <v>24</v>
      </c>
      <c r="D601" t="s">
        <v>16</v>
      </c>
      <c r="E601" t="s">
        <v>17</v>
      </c>
      <c r="F601" t="s">
        <v>40</v>
      </c>
      <c r="G601">
        <v>5</v>
      </c>
      <c r="H601">
        <v>264.74</v>
      </c>
      <c r="I601">
        <v>0.13</v>
      </c>
      <c r="J601">
        <v>1151.6199999999999</v>
      </c>
      <c r="K601" t="s">
        <v>58</v>
      </c>
      <c r="L601" t="s">
        <v>34</v>
      </c>
      <c r="M601" t="s">
        <v>30</v>
      </c>
      <c r="N601" t="s">
        <v>22</v>
      </c>
    </row>
    <row r="602" spans="1:14" x14ac:dyDescent="0.3">
      <c r="A602" t="s">
        <v>663</v>
      </c>
      <c r="B602" s="1">
        <v>45805</v>
      </c>
      <c r="C602" t="s">
        <v>36</v>
      </c>
      <c r="D602" t="s">
        <v>43</v>
      </c>
      <c r="E602" t="s">
        <v>61</v>
      </c>
      <c r="F602" t="s">
        <v>62</v>
      </c>
      <c r="G602">
        <v>4</v>
      </c>
      <c r="H602">
        <v>4754.68</v>
      </c>
      <c r="I602">
        <v>0.03</v>
      </c>
      <c r="J602">
        <v>18448.16</v>
      </c>
      <c r="K602" t="s">
        <v>58</v>
      </c>
      <c r="L602" t="s">
        <v>29</v>
      </c>
      <c r="M602" t="s">
        <v>30</v>
      </c>
      <c r="N602" t="s">
        <v>22</v>
      </c>
    </row>
    <row r="603" spans="1:14" x14ac:dyDescent="0.3">
      <c r="A603" t="s">
        <v>664</v>
      </c>
      <c r="B603" s="1">
        <v>45690</v>
      </c>
      <c r="C603" t="s">
        <v>48</v>
      </c>
      <c r="D603" t="s">
        <v>25</v>
      </c>
      <c r="E603" t="s">
        <v>17</v>
      </c>
      <c r="F603" t="s">
        <v>18</v>
      </c>
      <c r="G603">
        <v>4</v>
      </c>
      <c r="H603">
        <v>4303.82</v>
      </c>
      <c r="I603">
        <v>0.19</v>
      </c>
      <c r="J603">
        <v>13944.38</v>
      </c>
      <c r="K603" t="s">
        <v>46</v>
      </c>
      <c r="L603" t="s">
        <v>20</v>
      </c>
      <c r="M603" t="s">
        <v>54</v>
      </c>
      <c r="N603" t="s">
        <v>22</v>
      </c>
    </row>
    <row r="604" spans="1:14" x14ac:dyDescent="0.3">
      <c r="A604" t="s">
        <v>665</v>
      </c>
      <c r="B604" s="1">
        <v>45839</v>
      </c>
      <c r="C604" t="s">
        <v>52</v>
      </c>
      <c r="D604" t="s">
        <v>16</v>
      </c>
      <c r="E604" t="s">
        <v>61</v>
      </c>
      <c r="F604" t="s">
        <v>92</v>
      </c>
      <c r="G604">
        <v>4</v>
      </c>
      <c r="H604">
        <v>3549.12</v>
      </c>
      <c r="I604">
        <v>0</v>
      </c>
      <c r="J604">
        <v>14196.48</v>
      </c>
      <c r="K604" t="s">
        <v>46</v>
      </c>
      <c r="L604" t="s">
        <v>29</v>
      </c>
      <c r="M604" t="s">
        <v>21</v>
      </c>
      <c r="N604" t="s">
        <v>22</v>
      </c>
    </row>
    <row r="605" spans="1:14" x14ac:dyDescent="0.3">
      <c r="A605" t="s">
        <v>666</v>
      </c>
      <c r="B605" s="1">
        <v>45840</v>
      </c>
      <c r="C605" t="s">
        <v>15</v>
      </c>
      <c r="D605" t="s">
        <v>16</v>
      </c>
      <c r="E605" t="s">
        <v>99</v>
      </c>
      <c r="F605" t="s">
        <v>120</v>
      </c>
      <c r="G605">
        <v>5</v>
      </c>
      <c r="H605">
        <v>2757.93</v>
      </c>
      <c r="I605">
        <v>0.2</v>
      </c>
      <c r="J605">
        <v>11031.72</v>
      </c>
      <c r="K605" t="s">
        <v>41</v>
      </c>
      <c r="L605" t="s">
        <v>34</v>
      </c>
      <c r="M605" t="s">
        <v>21</v>
      </c>
      <c r="N605" t="s">
        <v>22</v>
      </c>
    </row>
    <row r="606" spans="1:14" x14ac:dyDescent="0.3">
      <c r="A606" t="s">
        <v>667</v>
      </c>
      <c r="B606" s="1">
        <v>45705</v>
      </c>
      <c r="C606" t="s">
        <v>36</v>
      </c>
      <c r="D606" t="s">
        <v>39</v>
      </c>
      <c r="E606" t="s">
        <v>99</v>
      </c>
      <c r="F606" t="s">
        <v>120</v>
      </c>
      <c r="G606">
        <v>1</v>
      </c>
      <c r="H606">
        <v>1976.48</v>
      </c>
      <c r="I606">
        <v>0.12</v>
      </c>
      <c r="J606">
        <v>1739.3</v>
      </c>
      <c r="K606" t="s">
        <v>46</v>
      </c>
      <c r="L606" t="s">
        <v>20</v>
      </c>
      <c r="M606" t="s">
        <v>54</v>
      </c>
      <c r="N606" t="s">
        <v>22</v>
      </c>
    </row>
    <row r="607" spans="1:14" x14ac:dyDescent="0.3">
      <c r="A607" t="s">
        <v>668</v>
      </c>
      <c r="B607" s="1">
        <v>45827</v>
      </c>
      <c r="C607" t="s">
        <v>36</v>
      </c>
      <c r="D607" t="s">
        <v>43</v>
      </c>
      <c r="E607" t="s">
        <v>27</v>
      </c>
      <c r="F607" t="s">
        <v>79</v>
      </c>
      <c r="G607">
        <v>3</v>
      </c>
      <c r="H607">
        <v>1269.3</v>
      </c>
      <c r="I607">
        <v>0.03</v>
      </c>
      <c r="J607">
        <v>3693.66</v>
      </c>
      <c r="K607" t="s">
        <v>19</v>
      </c>
      <c r="L607" t="s">
        <v>20</v>
      </c>
      <c r="M607" t="s">
        <v>30</v>
      </c>
      <c r="N607" t="s">
        <v>88</v>
      </c>
    </row>
    <row r="608" spans="1:14" x14ac:dyDescent="0.3">
      <c r="A608" t="s">
        <v>669</v>
      </c>
      <c r="B608" s="1">
        <v>45691</v>
      </c>
      <c r="C608" t="s">
        <v>15</v>
      </c>
      <c r="D608" t="s">
        <v>25</v>
      </c>
      <c r="E608" t="s">
        <v>61</v>
      </c>
      <c r="F608" t="s">
        <v>66</v>
      </c>
      <c r="G608">
        <v>4</v>
      </c>
      <c r="H608">
        <v>1458.01</v>
      </c>
      <c r="I608">
        <v>0.02</v>
      </c>
      <c r="J608">
        <v>5715.4</v>
      </c>
      <c r="K608" t="s">
        <v>46</v>
      </c>
      <c r="L608" t="s">
        <v>29</v>
      </c>
      <c r="M608" t="s">
        <v>30</v>
      </c>
      <c r="N608" t="s">
        <v>22</v>
      </c>
    </row>
    <row r="609" spans="1:14" x14ac:dyDescent="0.3">
      <c r="A609" t="s">
        <v>670</v>
      </c>
      <c r="B609" s="1">
        <v>45815</v>
      </c>
      <c r="C609" t="s">
        <v>48</v>
      </c>
      <c r="D609" t="s">
        <v>16</v>
      </c>
      <c r="E609" t="s">
        <v>27</v>
      </c>
      <c r="F609" t="s">
        <v>79</v>
      </c>
      <c r="G609">
        <v>5</v>
      </c>
      <c r="H609">
        <v>4507.3100000000004</v>
      </c>
      <c r="I609">
        <v>0.11</v>
      </c>
      <c r="J609">
        <v>20057.53</v>
      </c>
      <c r="K609" t="s">
        <v>33</v>
      </c>
      <c r="L609" t="s">
        <v>29</v>
      </c>
      <c r="M609" t="s">
        <v>30</v>
      </c>
      <c r="N609" t="s">
        <v>22</v>
      </c>
    </row>
    <row r="610" spans="1:14" x14ac:dyDescent="0.3">
      <c r="A610" t="s">
        <v>671</v>
      </c>
      <c r="B610" s="1">
        <v>45817</v>
      </c>
      <c r="C610" t="s">
        <v>24</v>
      </c>
      <c r="D610" t="s">
        <v>39</v>
      </c>
      <c r="E610" t="s">
        <v>49</v>
      </c>
      <c r="F610" t="s">
        <v>56</v>
      </c>
      <c r="G610">
        <v>3</v>
      </c>
      <c r="H610">
        <v>4795.46</v>
      </c>
      <c r="I610">
        <v>0.02</v>
      </c>
      <c r="J610">
        <v>14098.65</v>
      </c>
      <c r="K610" t="s">
        <v>41</v>
      </c>
      <c r="L610" t="s">
        <v>20</v>
      </c>
      <c r="M610" t="s">
        <v>54</v>
      </c>
      <c r="N610" t="s">
        <v>22</v>
      </c>
    </row>
    <row r="611" spans="1:14" x14ac:dyDescent="0.3">
      <c r="A611" t="s">
        <v>672</v>
      </c>
      <c r="B611" s="1">
        <v>45694</v>
      </c>
      <c r="C611" t="s">
        <v>52</v>
      </c>
      <c r="D611" t="s">
        <v>43</v>
      </c>
      <c r="E611" t="s">
        <v>61</v>
      </c>
      <c r="F611" t="s">
        <v>92</v>
      </c>
      <c r="G611">
        <v>1</v>
      </c>
      <c r="H611">
        <v>1536.53</v>
      </c>
      <c r="I611">
        <v>0.24</v>
      </c>
      <c r="J611">
        <v>1167.76</v>
      </c>
      <c r="K611" t="s">
        <v>19</v>
      </c>
      <c r="L611" t="s">
        <v>29</v>
      </c>
      <c r="M611" t="s">
        <v>21</v>
      </c>
      <c r="N611" t="s">
        <v>22</v>
      </c>
    </row>
    <row r="612" spans="1:14" x14ac:dyDescent="0.3">
      <c r="A612" t="s">
        <v>673</v>
      </c>
      <c r="B612" s="1">
        <v>45831</v>
      </c>
      <c r="C612" t="s">
        <v>24</v>
      </c>
      <c r="D612" t="s">
        <v>39</v>
      </c>
      <c r="E612" t="s">
        <v>49</v>
      </c>
      <c r="F612" t="s">
        <v>50</v>
      </c>
      <c r="G612">
        <v>1</v>
      </c>
      <c r="H612">
        <v>207.98</v>
      </c>
      <c r="I612">
        <v>0.2</v>
      </c>
      <c r="J612">
        <v>166.38</v>
      </c>
      <c r="K612" t="s">
        <v>46</v>
      </c>
      <c r="L612" t="s">
        <v>20</v>
      </c>
      <c r="M612" t="s">
        <v>21</v>
      </c>
      <c r="N612" t="s">
        <v>22</v>
      </c>
    </row>
    <row r="613" spans="1:14" x14ac:dyDescent="0.3">
      <c r="A613" t="s">
        <v>674</v>
      </c>
      <c r="B613" s="1">
        <v>45740</v>
      </c>
      <c r="C613" t="s">
        <v>48</v>
      </c>
      <c r="D613" t="s">
        <v>43</v>
      </c>
      <c r="E613" t="s">
        <v>99</v>
      </c>
      <c r="F613" t="s">
        <v>111</v>
      </c>
      <c r="G613">
        <v>5</v>
      </c>
      <c r="H613">
        <v>4225.3500000000004</v>
      </c>
      <c r="I613">
        <v>0.11</v>
      </c>
      <c r="J613">
        <v>18802.810000000001</v>
      </c>
      <c r="K613" t="s">
        <v>33</v>
      </c>
      <c r="L613" t="s">
        <v>29</v>
      </c>
      <c r="M613" t="s">
        <v>30</v>
      </c>
      <c r="N613" t="s">
        <v>37</v>
      </c>
    </row>
    <row r="614" spans="1:14" x14ac:dyDescent="0.3">
      <c r="A614" t="s">
        <v>675</v>
      </c>
      <c r="B614" s="1">
        <v>45664</v>
      </c>
      <c r="C614" t="s">
        <v>15</v>
      </c>
      <c r="D614" t="s">
        <v>43</v>
      </c>
      <c r="E614" t="s">
        <v>99</v>
      </c>
      <c r="F614" t="s">
        <v>100</v>
      </c>
      <c r="G614">
        <v>3</v>
      </c>
      <c r="H614">
        <v>4856.55</v>
      </c>
      <c r="I614">
        <v>0.19</v>
      </c>
      <c r="J614">
        <v>11801.42</v>
      </c>
      <c r="K614" t="s">
        <v>19</v>
      </c>
      <c r="L614" t="s">
        <v>34</v>
      </c>
      <c r="M614" t="s">
        <v>54</v>
      </c>
      <c r="N614" t="s">
        <v>22</v>
      </c>
    </row>
    <row r="615" spans="1:14" x14ac:dyDescent="0.3">
      <c r="A615" t="s">
        <v>676</v>
      </c>
      <c r="B615" s="1">
        <v>45694</v>
      </c>
      <c r="C615" t="s">
        <v>36</v>
      </c>
      <c r="D615" t="s">
        <v>43</v>
      </c>
      <c r="E615" t="s">
        <v>49</v>
      </c>
      <c r="F615" t="s">
        <v>73</v>
      </c>
      <c r="G615">
        <v>5</v>
      </c>
      <c r="H615">
        <v>1497.71</v>
      </c>
      <c r="I615">
        <v>0.24</v>
      </c>
      <c r="J615">
        <v>5691.3</v>
      </c>
      <c r="K615" t="s">
        <v>19</v>
      </c>
      <c r="L615" t="s">
        <v>29</v>
      </c>
      <c r="M615" t="s">
        <v>21</v>
      </c>
      <c r="N615" t="s">
        <v>22</v>
      </c>
    </row>
    <row r="616" spans="1:14" x14ac:dyDescent="0.3">
      <c r="A616" t="s">
        <v>677</v>
      </c>
      <c r="B616" s="1">
        <v>45803</v>
      </c>
      <c r="C616" t="s">
        <v>15</v>
      </c>
      <c r="D616" t="s">
        <v>16</v>
      </c>
      <c r="E616" t="s">
        <v>17</v>
      </c>
      <c r="F616" t="s">
        <v>18</v>
      </c>
      <c r="G616">
        <v>4</v>
      </c>
      <c r="H616">
        <v>1376</v>
      </c>
      <c r="I616">
        <v>0.05</v>
      </c>
      <c r="J616">
        <v>5228.8</v>
      </c>
      <c r="K616" t="s">
        <v>33</v>
      </c>
      <c r="L616" t="s">
        <v>20</v>
      </c>
      <c r="M616" t="s">
        <v>21</v>
      </c>
      <c r="N616" t="s">
        <v>22</v>
      </c>
    </row>
    <row r="617" spans="1:14" x14ac:dyDescent="0.3">
      <c r="A617" t="s">
        <v>678</v>
      </c>
      <c r="B617" s="1">
        <v>45839</v>
      </c>
      <c r="C617" t="s">
        <v>15</v>
      </c>
      <c r="D617" t="s">
        <v>25</v>
      </c>
      <c r="E617" t="s">
        <v>99</v>
      </c>
      <c r="F617" t="s">
        <v>100</v>
      </c>
      <c r="G617">
        <v>2</v>
      </c>
      <c r="H617">
        <v>2714.85</v>
      </c>
      <c r="I617">
        <v>0.03</v>
      </c>
      <c r="J617">
        <v>5266.81</v>
      </c>
      <c r="K617" t="s">
        <v>41</v>
      </c>
      <c r="L617" t="s">
        <v>29</v>
      </c>
      <c r="M617" t="s">
        <v>54</v>
      </c>
      <c r="N617" t="s">
        <v>37</v>
      </c>
    </row>
    <row r="618" spans="1:14" x14ac:dyDescent="0.3">
      <c r="A618" t="s">
        <v>679</v>
      </c>
      <c r="B618" s="1">
        <v>45724</v>
      </c>
      <c r="C618" t="s">
        <v>15</v>
      </c>
      <c r="D618" t="s">
        <v>39</v>
      </c>
      <c r="E618" t="s">
        <v>61</v>
      </c>
      <c r="F618" t="s">
        <v>92</v>
      </c>
      <c r="G618">
        <v>5</v>
      </c>
      <c r="H618">
        <v>4880.45</v>
      </c>
      <c r="I618">
        <v>0.08</v>
      </c>
      <c r="J618">
        <v>22450.07</v>
      </c>
      <c r="K618" t="s">
        <v>19</v>
      </c>
      <c r="L618" t="s">
        <v>20</v>
      </c>
      <c r="M618" t="s">
        <v>21</v>
      </c>
      <c r="N618" t="s">
        <v>22</v>
      </c>
    </row>
    <row r="619" spans="1:14" x14ac:dyDescent="0.3">
      <c r="A619" t="s">
        <v>680</v>
      </c>
      <c r="B619" s="1">
        <v>45811</v>
      </c>
      <c r="C619" t="s">
        <v>36</v>
      </c>
      <c r="D619" t="s">
        <v>16</v>
      </c>
      <c r="E619" t="s">
        <v>99</v>
      </c>
      <c r="F619" t="s">
        <v>100</v>
      </c>
      <c r="G619">
        <v>1</v>
      </c>
      <c r="H619">
        <v>3685.04</v>
      </c>
      <c r="I619">
        <v>0.23</v>
      </c>
      <c r="J619">
        <v>2837.48</v>
      </c>
      <c r="K619" t="s">
        <v>41</v>
      </c>
      <c r="L619" t="s">
        <v>34</v>
      </c>
      <c r="M619" t="s">
        <v>54</v>
      </c>
      <c r="N619" t="s">
        <v>22</v>
      </c>
    </row>
    <row r="620" spans="1:14" x14ac:dyDescent="0.3">
      <c r="A620" t="s">
        <v>681</v>
      </c>
      <c r="B620" s="1">
        <v>45840</v>
      </c>
      <c r="C620" t="s">
        <v>48</v>
      </c>
      <c r="D620" t="s">
        <v>43</v>
      </c>
      <c r="E620" t="s">
        <v>49</v>
      </c>
      <c r="F620" t="s">
        <v>73</v>
      </c>
      <c r="G620">
        <v>3</v>
      </c>
      <c r="H620">
        <v>369.66</v>
      </c>
      <c r="I620">
        <v>0.16</v>
      </c>
      <c r="J620">
        <v>931.54</v>
      </c>
      <c r="K620" t="s">
        <v>46</v>
      </c>
      <c r="L620" t="s">
        <v>20</v>
      </c>
      <c r="M620" t="s">
        <v>21</v>
      </c>
      <c r="N620" t="s">
        <v>88</v>
      </c>
    </row>
    <row r="621" spans="1:14" x14ac:dyDescent="0.3">
      <c r="A621" t="s">
        <v>682</v>
      </c>
      <c r="B621" s="1">
        <v>45739</v>
      </c>
      <c r="C621" t="s">
        <v>24</v>
      </c>
      <c r="D621" t="s">
        <v>25</v>
      </c>
      <c r="E621" t="s">
        <v>99</v>
      </c>
      <c r="F621" t="s">
        <v>100</v>
      </c>
      <c r="G621">
        <v>4</v>
      </c>
      <c r="H621">
        <v>3417.61</v>
      </c>
      <c r="I621">
        <v>0.24</v>
      </c>
      <c r="J621">
        <v>10389.530000000001</v>
      </c>
      <c r="K621" t="s">
        <v>58</v>
      </c>
      <c r="L621" t="s">
        <v>29</v>
      </c>
      <c r="M621" t="s">
        <v>21</v>
      </c>
      <c r="N621" t="s">
        <v>22</v>
      </c>
    </row>
    <row r="622" spans="1:14" x14ac:dyDescent="0.3">
      <c r="A622" t="s">
        <v>683</v>
      </c>
      <c r="B622" s="1">
        <v>45815</v>
      </c>
      <c r="C622" t="s">
        <v>15</v>
      </c>
      <c r="D622" t="s">
        <v>39</v>
      </c>
      <c r="E622" t="s">
        <v>99</v>
      </c>
      <c r="F622" t="s">
        <v>120</v>
      </c>
      <c r="G622">
        <v>4</v>
      </c>
      <c r="H622">
        <v>1911.19</v>
      </c>
      <c r="I622">
        <v>0.09</v>
      </c>
      <c r="J622">
        <v>6956.73</v>
      </c>
      <c r="K622" t="s">
        <v>41</v>
      </c>
      <c r="L622" t="s">
        <v>20</v>
      </c>
      <c r="M622" t="s">
        <v>30</v>
      </c>
      <c r="N622" t="s">
        <v>22</v>
      </c>
    </row>
    <row r="623" spans="1:14" x14ac:dyDescent="0.3">
      <c r="A623" t="s">
        <v>684</v>
      </c>
      <c r="B623" s="1">
        <v>45790</v>
      </c>
      <c r="C623" t="s">
        <v>52</v>
      </c>
      <c r="D623" t="s">
        <v>25</v>
      </c>
      <c r="E623" t="s">
        <v>49</v>
      </c>
      <c r="F623" t="s">
        <v>56</v>
      </c>
      <c r="G623">
        <v>4</v>
      </c>
      <c r="H623">
        <v>4038.06</v>
      </c>
      <c r="I623">
        <v>7.0000000000000007E-2</v>
      </c>
      <c r="J623">
        <v>15021.58</v>
      </c>
      <c r="K623" t="s">
        <v>41</v>
      </c>
      <c r="L623" t="s">
        <v>29</v>
      </c>
      <c r="M623" t="s">
        <v>21</v>
      </c>
      <c r="N623" t="s">
        <v>22</v>
      </c>
    </row>
    <row r="624" spans="1:14" x14ac:dyDescent="0.3">
      <c r="A624" t="s">
        <v>685</v>
      </c>
      <c r="B624" s="1">
        <v>45827</v>
      </c>
      <c r="C624" t="s">
        <v>36</v>
      </c>
      <c r="D624" t="s">
        <v>39</v>
      </c>
      <c r="E624" t="s">
        <v>49</v>
      </c>
      <c r="F624" t="s">
        <v>73</v>
      </c>
      <c r="G624">
        <v>2</v>
      </c>
      <c r="H624">
        <v>1118.1400000000001</v>
      </c>
      <c r="I624">
        <v>0.12</v>
      </c>
      <c r="J624">
        <v>1967.93</v>
      </c>
      <c r="K624" t="s">
        <v>33</v>
      </c>
      <c r="L624" t="s">
        <v>20</v>
      </c>
      <c r="M624" t="s">
        <v>21</v>
      </c>
      <c r="N624" t="s">
        <v>22</v>
      </c>
    </row>
    <row r="625" spans="1:14" x14ac:dyDescent="0.3">
      <c r="A625" t="s">
        <v>686</v>
      </c>
      <c r="B625" s="1">
        <v>45802</v>
      </c>
      <c r="C625" t="s">
        <v>24</v>
      </c>
      <c r="D625" t="s">
        <v>43</v>
      </c>
      <c r="E625" t="s">
        <v>27</v>
      </c>
      <c r="F625" t="s">
        <v>87</v>
      </c>
      <c r="G625">
        <v>3</v>
      </c>
      <c r="H625">
        <v>2131.12</v>
      </c>
      <c r="I625">
        <v>0.14000000000000001</v>
      </c>
      <c r="J625">
        <v>5498.29</v>
      </c>
      <c r="K625" t="s">
        <v>58</v>
      </c>
      <c r="L625" t="s">
        <v>34</v>
      </c>
      <c r="M625" t="s">
        <v>21</v>
      </c>
      <c r="N625" t="s">
        <v>22</v>
      </c>
    </row>
    <row r="626" spans="1:14" x14ac:dyDescent="0.3">
      <c r="A626" t="s">
        <v>687</v>
      </c>
      <c r="B626" s="1">
        <v>45817</v>
      </c>
      <c r="C626" t="s">
        <v>36</v>
      </c>
      <c r="D626" t="s">
        <v>25</v>
      </c>
      <c r="E626" t="s">
        <v>49</v>
      </c>
      <c r="F626" t="s">
        <v>53</v>
      </c>
      <c r="G626">
        <v>3</v>
      </c>
      <c r="H626">
        <v>4189.47</v>
      </c>
      <c r="I626">
        <v>0.08</v>
      </c>
      <c r="J626">
        <v>11562.94</v>
      </c>
      <c r="K626" t="s">
        <v>41</v>
      </c>
      <c r="L626" t="s">
        <v>20</v>
      </c>
      <c r="M626" t="s">
        <v>21</v>
      </c>
      <c r="N626" t="s">
        <v>22</v>
      </c>
    </row>
    <row r="627" spans="1:14" x14ac:dyDescent="0.3">
      <c r="A627" t="s">
        <v>688</v>
      </c>
      <c r="B627" s="1">
        <v>45708</v>
      </c>
      <c r="C627" t="s">
        <v>15</v>
      </c>
      <c r="D627" t="s">
        <v>25</v>
      </c>
      <c r="E627" t="s">
        <v>17</v>
      </c>
      <c r="F627" t="s">
        <v>44</v>
      </c>
      <c r="G627">
        <v>4</v>
      </c>
      <c r="H627">
        <v>708.47</v>
      </c>
      <c r="I627">
        <v>0.17</v>
      </c>
      <c r="J627">
        <v>2352.12</v>
      </c>
      <c r="K627" t="s">
        <v>46</v>
      </c>
      <c r="L627" t="s">
        <v>29</v>
      </c>
      <c r="M627" t="s">
        <v>30</v>
      </c>
      <c r="N627" t="s">
        <v>22</v>
      </c>
    </row>
    <row r="628" spans="1:14" x14ac:dyDescent="0.3">
      <c r="A628" t="s">
        <v>689</v>
      </c>
      <c r="B628" s="1">
        <v>45711</v>
      </c>
      <c r="C628" t="s">
        <v>24</v>
      </c>
      <c r="D628" t="s">
        <v>25</v>
      </c>
      <c r="E628" t="s">
        <v>61</v>
      </c>
      <c r="F628" t="s">
        <v>62</v>
      </c>
      <c r="G628">
        <v>1</v>
      </c>
      <c r="H628">
        <v>3034.57</v>
      </c>
      <c r="I628">
        <v>0.09</v>
      </c>
      <c r="J628">
        <v>2761.46</v>
      </c>
      <c r="K628" t="s">
        <v>46</v>
      </c>
      <c r="L628" t="s">
        <v>34</v>
      </c>
      <c r="M628" t="s">
        <v>30</v>
      </c>
      <c r="N628" t="s">
        <v>37</v>
      </c>
    </row>
    <row r="629" spans="1:14" x14ac:dyDescent="0.3">
      <c r="A629" t="s">
        <v>690</v>
      </c>
      <c r="B629" s="1">
        <v>45690</v>
      </c>
      <c r="C629" t="s">
        <v>15</v>
      </c>
      <c r="D629" t="s">
        <v>16</v>
      </c>
      <c r="E629" t="s">
        <v>49</v>
      </c>
      <c r="F629" t="s">
        <v>56</v>
      </c>
      <c r="G629">
        <v>5</v>
      </c>
      <c r="H629">
        <v>185.97</v>
      </c>
      <c r="I629">
        <v>0.06</v>
      </c>
      <c r="J629">
        <v>874.06</v>
      </c>
      <c r="K629" t="s">
        <v>33</v>
      </c>
      <c r="L629" t="s">
        <v>29</v>
      </c>
      <c r="M629" t="s">
        <v>21</v>
      </c>
      <c r="N629" t="s">
        <v>22</v>
      </c>
    </row>
    <row r="630" spans="1:14" x14ac:dyDescent="0.3">
      <c r="A630" t="s">
        <v>691</v>
      </c>
      <c r="B630" s="1">
        <v>45812</v>
      </c>
      <c r="C630" t="s">
        <v>15</v>
      </c>
      <c r="D630" t="s">
        <v>16</v>
      </c>
      <c r="E630" t="s">
        <v>49</v>
      </c>
      <c r="F630" t="s">
        <v>73</v>
      </c>
      <c r="G630">
        <v>3</v>
      </c>
      <c r="H630">
        <v>1869.7</v>
      </c>
      <c r="I630">
        <v>0.16</v>
      </c>
      <c r="J630">
        <v>4711.6400000000003</v>
      </c>
      <c r="K630" t="s">
        <v>19</v>
      </c>
      <c r="L630" t="s">
        <v>20</v>
      </c>
      <c r="M630" t="s">
        <v>30</v>
      </c>
      <c r="N630" t="s">
        <v>22</v>
      </c>
    </row>
    <row r="631" spans="1:14" x14ac:dyDescent="0.3">
      <c r="A631" t="s">
        <v>692</v>
      </c>
      <c r="B631" s="1">
        <v>45796</v>
      </c>
      <c r="C631" t="s">
        <v>36</v>
      </c>
      <c r="D631" t="s">
        <v>39</v>
      </c>
      <c r="E631" t="s">
        <v>27</v>
      </c>
      <c r="F631" t="s">
        <v>79</v>
      </c>
      <c r="G631">
        <v>2</v>
      </c>
      <c r="H631">
        <v>3846.98</v>
      </c>
      <c r="I631">
        <v>0.15</v>
      </c>
      <c r="J631">
        <v>6539.87</v>
      </c>
      <c r="K631" t="s">
        <v>19</v>
      </c>
      <c r="L631" t="s">
        <v>29</v>
      </c>
      <c r="M631" t="s">
        <v>54</v>
      </c>
      <c r="N631" t="s">
        <v>37</v>
      </c>
    </row>
    <row r="632" spans="1:14" x14ac:dyDescent="0.3">
      <c r="A632" t="s">
        <v>693</v>
      </c>
      <c r="B632" s="1">
        <v>45680</v>
      </c>
      <c r="C632" t="s">
        <v>15</v>
      </c>
      <c r="D632" t="s">
        <v>39</v>
      </c>
      <c r="E632" t="s">
        <v>99</v>
      </c>
      <c r="F632" t="s">
        <v>111</v>
      </c>
      <c r="G632">
        <v>5</v>
      </c>
      <c r="H632">
        <v>1822.98</v>
      </c>
      <c r="I632">
        <v>0.04</v>
      </c>
      <c r="J632">
        <v>8750.2999999999993</v>
      </c>
      <c r="K632" t="s">
        <v>58</v>
      </c>
      <c r="L632" t="s">
        <v>29</v>
      </c>
      <c r="M632" t="s">
        <v>54</v>
      </c>
      <c r="N632" t="s">
        <v>22</v>
      </c>
    </row>
    <row r="633" spans="1:14" x14ac:dyDescent="0.3">
      <c r="A633" t="s">
        <v>694</v>
      </c>
      <c r="B633" s="1">
        <v>45734</v>
      </c>
      <c r="C633" t="s">
        <v>15</v>
      </c>
      <c r="D633" t="s">
        <v>16</v>
      </c>
      <c r="E633" t="s">
        <v>49</v>
      </c>
      <c r="F633" t="s">
        <v>50</v>
      </c>
      <c r="G633">
        <v>2</v>
      </c>
      <c r="H633">
        <v>857.32</v>
      </c>
      <c r="I633">
        <v>0.06</v>
      </c>
      <c r="J633">
        <v>1611.76</v>
      </c>
      <c r="K633" t="s">
        <v>19</v>
      </c>
      <c r="L633" t="s">
        <v>20</v>
      </c>
      <c r="M633" t="s">
        <v>54</v>
      </c>
      <c r="N633" t="s">
        <v>22</v>
      </c>
    </row>
    <row r="634" spans="1:14" x14ac:dyDescent="0.3">
      <c r="A634" t="s">
        <v>695</v>
      </c>
      <c r="B634" s="1">
        <v>45829</v>
      </c>
      <c r="C634" t="s">
        <v>52</v>
      </c>
      <c r="D634" t="s">
        <v>39</v>
      </c>
      <c r="E634" t="s">
        <v>17</v>
      </c>
      <c r="F634" t="s">
        <v>18</v>
      </c>
      <c r="G634">
        <v>3</v>
      </c>
      <c r="H634">
        <v>1626.71</v>
      </c>
      <c r="I634">
        <v>0.09</v>
      </c>
      <c r="J634">
        <v>4440.92</v>
      </c>
      <c r="K634" t="s">
        <v>58</v>
      </c>
      <c r="L634" t="s">
        <v>34</v>
      </c>
      <c r="M634" t="s">
        <v>30</v>
      </c>
      <c r="N634" t="s">
        <v>22</v>
      </c>
    </row>
    <row r="635" spans="1:14" x14ac:dyDescent="0.3">
      <c r="A635" t="s">
        <v>696</v>
      </c>
      <c r="B635" s="1">
        <v>45667</v>
      </c>
      <c r="C635" t="s">
        <v>24</v>
      </c>
      <c r="D635" t="s">
        <v>43</v>
      </c>
      <c r="E635" t="s">
        <v>99</v>
      </c>
      <c r="F635" t="s">
        <v>120</v>
      </c>
      <c r="G635">
        <v>2</v>
      </c>
      <c r="H635">
        <v>3471.43</v>
      </c>
      <c r="I635">
        <v>0.08</v>
      </c>
      <c r="J635">
        <v>6387.43</v>
      </c>
      <c r="K635" t="s">
        <v>19</v>
      </c>
      <c r="L635" t="s">
        <v>20</v>
      </c>
      <c r="M635" t="s">
        <v>54</v>
      </c>
      <c r="N635" t="s">
        <v>59</v>
      </c>
    </row>
    <row r="636" spans="1:14" x14ac:dyDescent="0.3">
      <c r="A636" t="s">
        <v>697</v>
      </c>
      <c r="B636" s="1">
        <v>45826</v>
      </c>
      <c r="C636" t="s">
        <v>24</v>
      </c>
      <c r="D636" t="s">
        <v>16</v>
      </c>
      <c r="E636" t="s">
        <v>49</v>
      </c>
      <c r="F636" t="s">
        <v>56</v>
      </c>
      <c r="G636">
        <v>4</v>
      </c>
      <c r="H636">
        <v>308.33</v>
      </c>
      <c r="I636">
        <v>0.03</v>
      </c>
      <c r="J636">
        <v>1196.32</v>
      </c>
      <c r="K636" t="s">
        <v>58</v>
      </c>
      <c r="L636" t="s">
        <v>34</v>
      </c>
      <c r="M636" t="s">
        <v>21</v>
      </c>
      <c r="N636" t="s">
        <v>22</v>
      </c>
    </row>
    <row r="637" spans="1:14" x14ac:dyDescent="0.3">
      <c r="A637" t="s">
        <v>698</v>
      </c>
      <c r="B637" s="1">
        <v>45751</v>
      </c>
      <c r="C637" t="s">
        <v>24</v>
      </c>
      <c r="D637" t="s">
        <v>43</v>
      </c>
      <c r="E637" t="s">
        <v>99</v>
      </c>
      <c r="F637" t="s">
        <v>120</v>
      </c>
      <c r="G637">
        <v>1</v>
      </c>
      <c r="H637">
        <v>3797.3</v>
      </c>
      <c r="I637">
        <v>0.2</v>
      </c>
      <c r="J637">
        <v>3037.84</v>
      </c>
      <c r="K637" t="s">
        <v>46</v>
      </c>
      <c r="L637" t="s">
        <v>29</v>
      </c>
      <c r="M637" t="s">
        <v>21</v>
      </c>
      <c r="N637" t="s">
        <v>22</v>
      </c>
    </row>
    <row r="638" spans="1:14" x14ac:dyDescent="0.3">
      <c r="A638" t="s">
        <v>699</v>
      </c>
      <c r="B638" s="1">
        <v>45703</v>
      </c>
      <c r="C638" t="s">
        <v>15</v>
      </c>
      <c r="D638" t="s">
        <v>39</v>
      </c>
      <c r="E638" t="s">
        <v>61</v>
      </c>
      <c r="F638" t="s">
        <v>75</v>
      </c>
      <c r="G638">
        <v>2</v>
      </c>
      <c r="H638">
        <v>4244.72</v>
      </c>
      <c r="I638">
        <v>0.24</v>
      </c>
      <c r="J638">
        <v>6451.97</v>
      </c>
      <c r="K638" t="s">
        <v>58</v>
      </c>
      <c r="L638" t="s">
        <v>20</v>
      </c>
      <c r="M638" t="s">
        <v>21</v>
      </c>
      <c r="N638" t="s">
        <v>22</v>
      </c>
    </row>
    <row r="639" spans="1:14" x14ac:dyDescent="0.3">
      <c r="A639" t="s">
        <v>700</v>
      </c>
      <c r="B639" s="1">
        <v>45698</v>
      </c>
      <c r="C639" t="s">
        <v>36</v>
      </c>
      <c r="D639" t="s">
        <v>43</v>
      </c>
      <c r="E639" t="s">
        <v>27</v>
      </c>
      <c r="F639" t="s">
        <v>68</v>
      </c>
      <c r="G639">
        <v>1</v>
      </c>
      <c r="H639">
        <v>4115.97</v>
      </c>
      <c r="I639">
        <v>0.19</v>
      </c>
      <c r="J639">
        <v>3333.94</v>
      </c>
      <c r="K639" t="s">
        <v>33</v>
      </c>
      <c r="L639" t="s">
        <v>20</v>
      </c>
      <c r="M639" t="s">
        <v>21</v>
      </c>
      <c r="N639" t="s">
        <v>22</v>
      </c>
    </row>
    <row r="640" spans="1:14" x14ac:dyDescent="0.3">
      <c r="A640" t="s">
        <v>701</v>
      </c>
      <c r="B640" s="1">
        <v>45818</v>
      </c>
      <c r="C640" t="s">
        <v>36</v>
      </c>
      <c r="D640" t="s">
        <v>25</v>
      </c>
      <c r="E640" t="s">
        <v>99</v>
      </c>
      <c r="F640" t="s">
        <v>100</v>
      </c>
      <c r="G640">
        <v>1</v>
      </c>
      <c r="H640">
        <v>4628.74</v>
      </c>
      <c r="I640">
        <v>0.23</v>
      </c>
      <c r="J640">
        <v>3564.13</v>
      </c>
      <c r="K640" t="s">
        <v>58</v>
      </c>
      <c r="L640" t="s">
        <v>29</v>
      </c>
      <c r="M640" t="s">
        <v>21</v>
      </c>
      <c r="N640" t="s">
        <v>22</v>
      </c>
    </row>
    <row r="641" spans="1:14" x14ac:dyDescent="0.3">
      <c r="A641" t="s">
        <v>702</v>
      </c>
      <c r="B641" s="1">
        <v>45838</v>
      </c>
      <c r="C641" t="s">
        <v>48</v>
      </c>
      <c r="D641" t="s">
        <v>43</v>
      </c>
      <c r="E641" t="s">
        <v>27</v>
      </c>
      <c r="F641" t="s">
        <v>68</v>
      </c>
      <c r="G641">
        <v>3</v>
      </c>
      <c r="H641">
        <v>4908.38</v>
      </c>
      <c r="I641">
        <v>0.11</v>
      </c>
      <c r="J641">
        <v>13105.37</v>
      </c>
      <c r="K641" t="s">
        <v>58</v>
      </c>
      <c r="L641" t="s">
        <v>20</v>
      </c>
      <c r="M641" t="s">
        <v>21</v>
      </c>
      <c r="N641" t="s">
        <v>22</v>
      </c>
    </row>
    <row r="642" spans="1:14" x14ac:dyDescent="0.3">
      <c r="A642" t="s">
        <v>703</v>
      </c>
      <c r="B642" s="1">
        <v>45749</v>
      </c>
      <c r="C642" t="s">
        <v>48</v>
      </c>
      <c r="D642" t="s">
        <v>16</v>
      </c>
      <c r="E642" t="s">
        <v>99</v>
      </c>
      <c r="F642" t="s">
        <v>120</v>
      </c>
      <c r="G642">
        <v>2</v>
      </c>
      <c r="H642">
        <v>2529.5</v>
      </c>
      <c r="I642">
        <v>0.09</v>
      </c>
      <c r="J642">
        <v>4603.6899999999996</v>
      </c>
      <c r="K642" t="s">
        <v>58</v>
      </c>
      <c r="L642" t="s">
        <v>29</v>
      </c>
      <c r="M642" t="s">
        <v>30</v>
      </c>
      <c r="N642" t="s">
        <v>22</v>
      </c>
    </row>
    <row r="643" spans="1:14" x14ac:dyDescent="0.3">
      <c r="A643" t="s">
        <v>704</v>
      </c>
      <c r="B643" s="1">
        <v>45727</v>
      </c>
      <c r="C643" t="s">
        <v>48</v>
      </c>
      <c r="D643" t="s">
        <v>43</v>
      </c>
      <c r="E643" t="s">
        <v>49</v>
      </c>
      <c r="F643" t="s">
        <v>56</v>
      </c>
      <c r="G643">
        <v>5</v>
      </c>
      <c r="H643">
        <v>3707.25</v>
      </c>
      <c r="I643">
        <v>0.17</v>
      </c>
      <c r="J643">
        <v>15385.09</v>
      </c>
      <c r="K643" t="s">
        <v>46</v>
      </c>
      <c r="L643" t="s">
        <v>34</v>
      </c>
      <c r="M643" t="s">
        <v>30</v>
      </c>
      <c r="N643" t="s">
        <v>22</v>
      </c>
    </row>
    <row r="644" spans="1:14" x14ac:dyDescent="0.3">
      <c r="A644" t="s">
        <v>705</v>
      </c>
      <c r="B644" s="1">
        <v>45719</v>
      </c>
      <c r="C644" t="s">
        <v>52</v>
      </c>
      <c r="D644" t="s">
        <v>16</v>
      </c>
      <c r="E644" t="s">
        <v>99</v>
      </c>
      <c r="F644" t="s">
        <v>115</v>
      </c>
      <c r="G644">
        <v>3</v>
      </c>
      <c r="H644">
        <v>978.56</v>
      </c>
      <c r="I644">
        <v>0.25</v>
      </c>
      <c r="J644">
        <v>2201.7600000000002</v>
      </c>
      <c r="K644" t="s">
        <v>58</v>
      </c>
      <c r="L644" t="s">
        <v>34</v>
      </c>
      <c r="M644" t="s">
        <v>30</v>
      </c>
      <c r="N644" t="s">
        <v>22</v>
      </c>
    </row>
    <row r="645" spans="1:14" x14ac:dyDescent="0.3">
      <c r="A645" t="s">
        <v>706</v>
      </c>
      <c r="B645" s="1">
        <v>45819</v>
      </c>
      <c r="C645" t="s">
        <v>24</v>
      </c>
      <c r="D645" t="s">
        <v>43</v>
      </c>
      <c r="E645" t="s">
        <v>27</v>
      </c>
      <c r="F645" t="s">
        <v>79</v>
      </c>
      <c r="G645">
        <v>4</v>
      </c>
      <c r="H645">
        <v>3505.68</v>
      </c>
      <c r="I645">
        <v>0.24</v>
      </c>
      <c r="J645">
        <v>10657.27</v>
      </c>
      <c r="K645" t="s">
        <v>19</v>
      </c>
      <c r="L645" t="s">
        <v>34</v>
      </c>
      <c r="M645" t="s">
        <v>21</v>
      </c>
      <c r="N645" t="s">
        <v>22</v>
      </c>
    </row>
    <row r="646" spans="1:14" x14ac:dyDescent="0.3">
      <c r="A646" t="s">
        <v>707</v>
      </c>
      <c r="B646" s="1">
        <v>45814</v>
      </c>
      <c r="C646" t="s">
        <v>52</v>
      </c>
      <c r="D646" t="s">
        <v>39</v>
      </c>
      <c r="E646" t="s">
        <v>61</v>
      </c>
      <c r="F646" t="s">
        <v>66</v>
      </c>
      <c r="G646">
        <v>1</v>
      </c>
      <c r="H646">
        <v>1241.06</v>
      </c>
      <c r="I646">
        <v>0.11</v>
      </c>
      <c r="J646">
        <v>1104.54</v>
      </c>
      <c r="K646" t="s">
        <v>33</v>
      </c>
      <c r="L646" t="s">
        <v>34</v>
      </c>
      <c r="M646" t="s">
        <v>30</v>
      </c>
      <c r="N646" t="s">
        <v>88</v>
      </c>
    </row>
    <row r="647" spans="1:14" x14ac:dyDescent="0.3">
      <c r="A647" t="s">
        <v>708</v>
      </c>
      <c r="B647" s="1">
        <v>45829</v>
      </c>
      <c r="C647" t="s">
        <v>48</v>
      </c>
      <c r="D647" t="s">
        <v>39</v>
      </c>
      <c r="E647" t="s">
        <v>27</v>
      </c>
      <c r="F647" t="s">
        <v>28</v>
      </c>
      <c r="G647">
        <v>5</v>
      </c>
      <c r="H647">
        <v>4755.68</v>
      </c>
      <c r="I647">
        <v>0.25</v>
      </c>
      <c r="J647">
        <v>17833.8</v>
      </c>
      <c r="K647" t="s">
        <v>46</v>
      </c>
      <c r="L647" t="s">
        <v>34</v>
      </c>
      <c r="M647" t="s">
        <v>21</v>
      </c>
      <c r="N647" t="s">
        <v>22</v>
      </c>
    </row>
    <row r="648" spans="1:14" x14ac:dyDescent="0.3">
      <c r="A648" t="s">
        <v>709</v>
      </c>
      <c r="B648" s="1">
        <v>45704</v>
      </c>
      <c r="C648" t="s">
        <v>24</v>
      </c>
      <c r="D648" t="s">
        <v>16</v>
      </c>
      <c r="E648" t="s">
        <v>49</v>
      </c>
      <c r="F648" t="s">
        <v>56</v>
      </c>
      <c r="G648">
        <v>4</v>
      </c>
      <c r="H648">
        <v>1231.03</v>
      </c>
      <c r="I648">
        <v>0.24</v>
      </c>
      <c r="J648">
        <v>3742.33</v>
      </c>
      <c r="K648" t="s">
        <v>46</v>
      </c>
      <c r="L648" t="s">
        <v>34</v>
      </c>
      <c r="M648" t="s">
        <v>54</v>
      </c>
      <c r="N648" t="s">
        <v>22</v>
      </c>
    </row>
    <row r="649" spans="1:14" x14ac:dyDescent="0.3">
      <c r="A649" t="s">
        <v>710</v>
      </c>
      <c r="B649" s="1">
        <v>45703</v>
      </c>
      <c r="C649" t="s">
        <v>24</v>
      </c>
      <c r="D649" t="s">
        <v>16</v>
      </c>
      <c r="E649" t="s">
        <v>17</v>
      </c>
      <c r="F649" t="s">
        <v>40</v>
      </c>
      <c r="G649">
        <v>5</v>
      </c>
      <c r="H649">
        <v>3428.1</v>
      </c>
      <c r="I649">
        <v>0.04</v>
      </c>
      <c r="J649">
        <v>16454.88</v>
      </c>
      <c r="K649" t="s">
        <v>19</v>
      </c>
      <c r="L649" t="s">
        <v>34</v>
      </c>
      <c r="M649" t="s">
        <v>21</v>
      </c>
      <c r="N649" t="s">
        <v>88</v>
      </c>
    </row>
    <row r="650" spans="1:14" x14ac:dyDescent="0.3">
      <c r="A650" t="s">
        <v>711</v>
      </c>
      <c r="B650" s="1">
        <v>45664</v>
      </c>
      <c r="C650" t="s">
        <v>48</v>
      </c>
      <c r="D650" t="s">
        <v>16</v>
      </c>
      <c r="E650" t="s">
        <v>27</v>
      </c>
      <c r="F650" t="s">
        <v>87</v>
      </c>
      <c r="G650">
        <v>4</v>
      </c>
      <c r="H650">
        <v>2502.23</v>
      </c>
      <c r="I650">
        <v>7.0000000000000007E-2</v>
      </c>
      <c r="J650">
        <v>9308.2999999999993</v>
      </c>
      <c r="K650" t="s">
        <v>19</v>
      </c>
      <c r="L650" t="s">
        <v>34</v>
      </c>
      <c r="M650" t="s">
        <v>30</v>
      </c>
      <c r="N650" t="s">
        <v>59</v>
      </c>
    </row>
    <row r="651" spans="1:14" x14ac:dyDescent="0.3">
      <c r="A651" t="s">
        <v>712</v>
      </c>
      <c r="B651" s="1">
        <v>45788</v>
      </c>
      <c r="C651" t="s">
        <v>24</v>
      </c>
      <c r="D651" t="s">
        <v>16</v>
      </c>
      <c r="E651" t="s">
        <v>17</v>
      </c>
      <c r="F651" t="s">
        <v>40</v>
      </c>
      <c r="G651">
        <v>3</v>
      </c>
      <c r="H651">
        <v>4279.08</v>
      </c>
      <c r="I651">
        <v>0.11</v>
      </c>
      <c r="J651">
        <v>11425.14</v>
      </c>
      <c r="K651" t="s">
        <v>41</v>
      </c>
      <c r="L651" t="s">
        <v>34</v>
      </c>
      <c r="M651" t="s">
        <v>54</v>
      </c>
      <c r="N651" t="s">
        <v>22</v>
      </c>
    </row>
    <row r="652" spans="1:14" x14ac:dyDescent="0.3">
      <c r="A652" t="s">
        <v>713</v>
      </c>
      <c r="B652" s="1">
        <v>45697</v>
      </c>
      <c r="C652" t="s">
        <v>48</v>
      </c>
      <c r="D652" t="s">
        <v>25</v>
      </c>
      <c r="E652" t="s">
        <v>99</v>
      </c>
      <c r="F652" t="s">
        <v>100</v>
      </c>
      <c r="G652">
        <v>3</v>
      </c>
      <c r="H652">
        <v>3607.04</v>
      </c>
      <c r="I652">
        <v>0.12</v>
      </c>
      <c r="J652">
        <v>9522.59</v>
      </c>
      <c r="K652" t="s">
        <v>41</v>
      </c>
      <c r="L652" t="s">
        <v>20</v>
      </c>
      <c r="M652" t="s">
        <v>54</v>
      </c>
      <c r="N652" t="s">
        <v>22</v>
      </c>
    </row>
    <row r="653" spans="1:14" x14ac:dyDescent="0.3">
      <c r="A653" t="s">
        <v>714</v>
      </c>
      <c r="B653" s="1">
        <v>45737</v>
      </c>
      <c r="C653" t="s">
        <v>48</v>
      </c>
      <c r="D653" t="s">
        <v>25</v>
      </c>
      <c r="E653" t="s">
        <v>27</v>
      </c>
      <c r="F653" t="s">
        <v>87</v>
      </c>
      <c r="G653">
        <v>5</v>
      </c>
      <c r="H653">
        <v>373.11</v>
      </c>
      <c r="I653">
        <v>7.0000000000000007E-2</v>
      </c>
      <c r="J653">
        <v>1734.96</v>
      </c>
      <c r="K653" t="s">
        <v>33</v>
      </c>
      <c r="L653" t="s">
        <v>20</v>
      </c>
      <c r="M653" t="s">
        <v>21</v>
      </c>
      <c r="N653" t="s">
        <v>22</v>
      </c>
    </row>
    <row r="654" spans="1:14" x14ac:dyDescent="0.3">
      <c r="A654" t="s">
        <v>715</v>
      </c>
      <c r="B654" s="1">
        <v>45723</v>
      </c>
      <c r="C654" t="s">
        <v>15</v>
      </c>
      <c r="D654" t="s">
        <v>16</v>
      </c>
      <c r="E654" t="s">
        <v>99</v>
      </c>
      <c r="F654" t="s">
        <v>111</v>
      </c>
      <c r="G654">
        <v>5</v>
      </c>
      <c r="H654">
        <v>321.08</v>
      </c>
      <c r="I654">
        <v>0.21</v>
      </c>
      <c r="J654">
        <v>1268.27</v>
      </c>
      <c r="K654" t="s">
        <v>58</v>
      </c>
      <c r="L654" t="s">
        <v>20</v>
      </c>
      <c r="M654" t="s">
        <v>30</v>
      </c>
      <c r="N654" t="s">
        <v>88</v>
      </c>
    </row>
    <row r="655" spans="1:14" x14ac:dyDescent="0.3">
      <c r="A655" t="s">
        <v>716</v>
      </c>
      <c r="B655" s="1">
        <v>45714</v>
      </c>
      <c r="C655" t="s">
        <v>24</v>
      </c>
      <c r="D655" t="s">
        <v>43</v>
      </c>
      <c r="E655" t="s">
        <v>99</v>
      </c>
      <c r="F655" t="s">
        <v>115</v>
      </c>
      <c r="G655">
        <v>3</v>
      </c>
      <c r="H655">
        <v>2118.46</v>
      </c>
      <c r="I655">
        <v>0.01</v>
      </c>
      <c r="J655">
        <v>6291.83</v>
      </c>
      <c r="K655" t="s">
        <v>41</v>
      </c>
      <c r="L655" t="s">
        <v>34</v>
      </c>
      <c r="M655" t="s">
        <v>54</v>
      </c>
      <c r="N655" t="s">
        <v>22</v>
      </c>
    </row>
    <row r="656" spans="1:14" x14ac:dyDescent="0.3">
      <c r="A656" t="s">
        <v>717</v>
      </c>
      <c r="B656" s="1">
        <v>45827</v>
      </c>
      <c r="C656" t="s">
        <v>24</v>
      </c>
      <c r="D656" t="s">
        <v>25</v>
      </c>
      <c r="E656" t="s">
        <v>99</v>
      </c>
      <c r="F656" t="s">
        <v>120</v>
      </c>
      <c r="G656">
        <v>3</v>
      </c>
      <c r="H656">
        <v>931.92</v>
      </c>
      <c r="I656">
        <v>0.13</v>
      </c>
      <c r="J656">
        <v>2432.31</v>
      </c>
      <c r="K656" t="s">
        <v>46</v>
      </c>
      <c r="L656" t="s">
        <v>20</v>
      </c>
      <c r="M656" t="s">
        <v>54</v>
      </c>
      <c r="N656" t="s">
        <v>22</v>
      </c>
    </row>
    <row r="657" spans="1:14" x14ac:dyDescent="0.3">
      <c r="A657" t="s">
        <v>718</v>
      </c>
      <c r="B657" s="1">
        <v>45673</v>
      </c>
      <c r="C657" t="s">
        <v>15</v>
      </c>
      <c r="D657" t="s">
        <v>25</v>
      </c>
      <c r="E657" t="s">
        <v>49</v>
      </c>
      <c r="F657" t="s">
        <v>50</v>
      </c>
      <c r="G657">
        <v>4</v>
      </c>
      <c r="H657">
        <v>2981.15</v>
      </c>
      <c r="I657">
        <v>0.25</v>
      </c>
      <c r="J657">
        <v>8943.4500000000007</v>
      </c>
      <c r="K657" t="s">
        <v>58</v>
      </c>
      <c r="L657" t="s">
        <v>29</v>
      </c>
      <c r="M657" t="s">
        <v>30</v>
      </c>
      <c r="N657" t="s">
        <v>22</v>
      </c>
    </row>
    <row r="658" spans="1:14" x14ac:dyDescent="0.3">
      <c r="A658" t="s">
        <v>719</v>
      </c>
      <c r="B658" s="1">
        <v>45810</v>
      </c>
      <c r="C658" t="s">
        <v>24</v>
      </c>
      <c r="D658" t="s">
        <v>43</v>
      </c>
      <c r="E658" t="s">
        <v>17</v>
      </c>
      <c r="F658" t="s">
        <v>40</v>
      </c>
      <c r="G658">
        <v>4</v>
      </c>
      <c r="H658">
        <v>2563.5700000000002</v>
      </c>
      <c r="I658">
        <v>0.19</v>
      </c>
      <c r="J658">
        <v>8305.9699999999993</v>
      </c>
      <c r="K658" t="s">
        <v>19</v>
      </c>
      <c r="L658" t="s">
        <v>34</v>
      </c>
      <c r="M658" t="s">
        <v>30</v>
      </c>
      <c r="N658" t="s">
        <v>22</v>
      </c>
    </row>
    <row r="659" spans="1:14" x14ac:dyDescent="0.3">
      <c r="A659" t="s">
        <v>720</v>
      </c>
      <c r="B659" s="1">
        <v>45714</v>
      </c>
      <c r="C659" t="s">
        <v>52</v>
      </c>
      <c r="D659" t="s">
        <v>39</v>
      </c>
      <c r="E659" t="s">
        <v>99</v>
      </c>
      <c r="F659" t="s">
        <v>115</v>
      </c>
      <c r="G659">
        <v>1</v>
      </c>
      <c r="H659">
        <v>4217.8599999999997</v>
      </c>
      <c r="I659">
        <v>0.13</v>
      </c>
      <c r="J659">
        <v>3669.54</v>
      </c>
      <c r="K659" t="s">
        <v>41</v>
      </c>
      <c r="L659" t="s">
        <v>29</v>
      </c>
      <c r="M659" t="s">
        <v>30</v>
      </c>
      <c r="N659" t="s">
        <v>22</v>
      </c>
    </row>
    <row r="660" spans="1:14" x14ac:dyDescent="0.3">
      <c r="A660" t="s">
        <v>721</v>
      </c>
      <c r="B660" s="1">
        <v>45728</v>
      </c>
      <c r="C660" t="s">
        <v>52</v>
      </c>
      <c r="D660" t="s">
        <v>39</v>
      </c>
      <c r="E660" t="s">
        <v>27</v>
      </c>
      <c r="F660" t="s">
        <v>87</v>
      </c>
      <c r="G660">
        <v>1</v>
      </c>
      <c r="H660">
        <v>3616.76</v>
      </c>
      <c r="I660">
        <v>0.14000000000000001</v>
      </c>
      <c r="J660">
        <v>3110.41</v>
      </c>
      <c r="K660" t="s">
        <v>33</v>
      </c>
      <c r="L660" t="s">
        <v>29</v>
      </c>
      <c r="M660" t="s">
        <v>21</v>
      </c>
      <c r="N660" t="s">
        <v>22</v>
      </c>
    </row>
    <row r="661" spans="1:14" x14ac:dyDescent="0.3">
      <c r="A661" t="s">
        <v>722</v>
      </c>
      <c r="B661" s="1">
        <v>45784</v>
      </c>
      <c r="C661" t="s">
        <v>48</v>
      </c>
      <c r="D661" t="s">
        <v>25</v>
      </c>
      <c r="E661" t="s">
        <v>27</v>
      </c>
      <c r="F661" t="s">
        <v>87</v>
      </c>
      <c r="G661">
        <v>1</v>
      </c>
      <c r="H661">
        <v>3292.53</v>
      </c>
      <c r="I661">
        <v>0.08</v>
      </c>
      <c r="J661">
        <v>3029.13</v>
      </c>
      <c r="K661" t="s">
        <v>19</v>
      </c>
      <c r="L661" t="s">
        <v>34</v>
      </c>
      <c r="M661" t="s">
        <v>30</v>
      </c>
      <c r="N661" t="s">
        <v>22</v>
      </c>
    </row>
    <row r="662" spans="1:14" x14ac:dyDescent="0.3">
      <c r="A662" t="s">
        <v>723</v>
      </c>
      <c r="B662" s="1">
        <v>45758</v>
      </c>
      <c r="C662" t="s">
        <v>48</v>
      </c>
      <c r="D662" t="s">
        <v>43</v>
      </c>
      <c r="E662" t="s">
        <v>99</v>
      </c>
      <c r="F662" t="s">
        <v>100</v>
      </c>
      <c r="G662">
        <v>5</v>
      </c>
      <c r="H662">
        <v>2625.31</v>
      </c>
      <c r="I662">
        <v>0.17</v>
      </c>
      <c r="J662">
        <v>10895.04</v>
      </c>
      <c r="K662" t="s">
        <v>41</v>
      </c>
      <c r="L662" t="s">
        <v>34</v>
      </c>
      <c r="M662" t="s">
        <v>21</v>
      </c>
      <c r="N662" t="s">
        <v>37</v>
      </c>
    </row>
    <row r="663" spans="1:14" x14ac:dyDescent="0.3">
      <c r="A663" t="s">
        <v>724</v>
      </c>
      <c r="B663" s="1">
        <v>45737</v>
      </c>
      <c r="C663" t="s">
        <v>36</v>
      </c>
      <c r="D663" t="s">
        <v>25</v>
      </c>
      <c r="E663" t="s">
        <v>27</v>
      </c>
      <c r="F663" t="s">
        <v>68</v>
      </c>
      <c r="G663">
        <v>4</v>
      </c>
      <c r="H663">
        <v>1412.89</v>
      </c>
      <c r="I663">
        <v>0.16</v>
      </c>
      <c r="J663">
        <v>4747.3100000000004</v>
      </c>
      <c r="K663" t="s">
        <v>41</v>
      </c>
      <c r="L663" t="s">
        <v>20</v>
      </c>
      <c r="M663" t="s">
        <v>21</v>
      </c>
      <c r="N663" t="s">
        <v>37</v>
      </c>
    </row>
    <row r="664" spans="1:14" x14ac:dyDescent="0.3">
      <c r="A664" t="s">
        <v>725</v>
      </c>
      <c r="B664" s="1">
        <v>45791</v>
      </c>
      <c r="C664" t="s">
        <v>15</v>
      </c>
      <c r="D664" t="s">
        <v>25</v>
      </c>
      <c r="E664" t="s">
        <v>17</v>
      </c>
      <c r="F664" t="s">
        <v>44</v>
      </c>
      <c r="G664">
        <v>2</v>
      </c>
      <c r="H664">
        <v>837.32</v>
      </c>
      <c r="I664">
        <v>0.17</v>
      </c>
      <c r="J664">
        <v>1389.95</v>
      </c>
      <c r="K664" t="s">
        <v>41</v>
      </c>
      <c r="L664" t="s">
        <v>20</v>
      </c>
      <c r="M664" t="s">
        <v>30</v>
      </c>
      <c r="N664" t="s">
        <v>22</v>
      </c>
    </row>
    <row r="665" spans="1:14" x14ac:dyDescent="0.3">
      <c r="A665" t="s">
        <v>726</v>
      </c>
      <c r="B665" s="1">
        <v>45823</v>
      </c>
      <c r="C665" t="s">
        <v>48</v>
      </c>
      <c r="D665" t="s">
        <v>43</v>
      </c>
      <c r="E665" t="s">
        <v>17</v>
      </c>
      <c r="F665" t="s">
        <v>44</v>
      </c>
      <c r="G665">
        <v>2</v>
      </c>
      <c r="H665">
        <v>1356.59</v>
      </c>
      <c r="I665">
        <v>0.15</v>
      </c>
      <c r="J665">
        <v>2306.1999999999998</v>
      </c>
      <c r="K665" t="s">
        <v>46</v>
      </c>
      <c r="L665" t="s">
        <v>34</v>
      </c>
      <c r="M665" t="s">
        <v>30</v>
      </c>
      <c r="N665" t="s">
        <v>22</v>
      </c>
    </row>
    <row r="666" spans="1:14" x14ac:dyDescent="0.3">
      <c r="A666" t="s">
        <v>727</v>
      </c>
      <c r="B666" s="1">
        <v>45764</v>
      </c>
      <c r="C666" t="s">
        <v>52</v>
      </c>
      <c r="D666" t="s">
        <v>16</v>
      </c>
      <c r="E666" t="s">
        <v>61</v>
      </c>
      <c r="F666" t="s">
        <v>62</v>
      </c>
      <c r="G666">
        <v>4</v>
      </c>
      <c r="H666">
        <v>2843.14</v>
      </c>
      <c r="I666">
        <v>0.11</v>
      </c>
      <c r="J666">
        <v>10121.58</v>
      </c>
      <c r="K666" t="s">
        <v>46</v>
      </c>
      <c r="L666" t="s">
        <v>34</v>
      </c>
      <c r="M666" t="s">
        <v>21</v>
      </c>
      <c r="N666" t="s">
        <v>22</v>
      </c>
    </row>
    <row r="667" spans="1:14" x14ac:dyDescent="0.3">
      <c r="A667" t="s">
        <v>728</v>
      </c>
      <c r="B667" s="1">
        <v>45724</v>
      </c>
      <c r="C667" t="s">
        <v>24</v>
      </c>
      <c r="D667" t="s">
        <v>25</v>
      </c>
      <c r="E667" t="s">
        <v>99</v>
      </c>
      <c r="F667" t="s">
        <v>100</v>
      </c>
      <c r="G667">
        <v>5</v>
      </c>
      <c r="H667">
        <v>962.33</v>
      </c>
      <c r="I667">
        <v>0.21</v>
      </c>
      <c r="J667">
        <v>3801.2</v>
      </c>
      <c r="K667" t="s">
        <v>46</v>
      </c>
      <c r="L667" t="s">
        <v>34</v>
      </c>
      <c r="M667" t="s">
        <v>21</v>
      </c>
      <c r="N667" t="s">
        <v>88</v>
      </c>
    </row>
    <row r="668" spans="1:14" x14ac:dyDescent="0.3">
      <c r="A668" t="s">
        <v>729</v>
      </c>
      <c r="B668" s="1">
        <v>45842</v>
      </c>
      <c r="C668" t="s">
        <v>15</v>
      </c>
      <c r="D668" t="s">
        <v>16</v>
      </c>
      <c r="E668" t="s">
        <v>17</v>
      </c>
      <c r="F668" t="s">
        <v>18</v>
      </c>
      <c r="G668">
        <v>1</v>
      </c>
      <c r="H668">
        <v>4512.82</v>
      </c>
      <c r="I668">
        <v>0.1</v>
      </c>
      <c r="J668">
        <v>4061.54</v>
      </c>
      <c r="K668" t="s">
        <v>33</v>
      </c>
      <c r="L668" t="s">
        <v>34</v>
      </c>
      <c r="M668" t="s">
        <v>30</v>
      </c>
      <c r="N668" t="s">
        <v>22</v>
      </c>
    </row>
    <row r="669" spans="1:14" x14ac:dyDescent="0.3">
      <c r="A669" t="s">
        <v>730</v>
      </c>
      <c r="B669" s="1">
        <v>45665</v>
      </c>
      <c r="C669" t="s">
        <v>24</v>
      </c>
      <c r="D669" t="s">
        <v>39</v>
      </c>
      <c r="E669" t="s">
        <v>61</v>
      </c>
      <c r="F669" t="s">
        <v>75</v>
      </c>
      <c r="G669">
        <v>5</v>
      </c>
      <c r="H669">
        <v>4671.38</v>
      </c>
      <c r="I669">
        <v>0.13</v>
      </c>
      <c r="J669">
        <v>20320.5</v>
      </c>
      <c r="K669" t="s">
        <v>33</v>
      </c>
      <c r="L669" t="s">
        <v>29</v>
      </c>
      <c r="M669" t="s">
        <v>21</v>
      </c>
      <c r="N669" t="s">
        <v>22</v>
      </c>
    </row>
    <row r="670" spans="1:14" x14ac:dyDescent="0.3">
      <c r="A670" t="s">
        <v>731</v>
      </c>
      <c r="B670" s="1">
        <v>45682</v>
      </c>
      <c r="C670" t="s">
        <v>36</v>
      </c>
      <c r="D670" t="s">
        <v>43</v>
      </c>
      <c r="E670" t="s">
        <v>17</v>
      </c>
      <c r="F670" t="s">
        <v>44</v>
      </c>
      <c r="G670">
        <v>3</v>
      </c>
      <c r="H670">
        <v>4178.4399999999996</v>
      </c>
      <c r="I670">
        <v>0.18</v>
      </c>
      <c r="J670">
        <v>10278.959999999999</v>
      </c>
      <c r="K670" t="s">
        <v>58</v>
      </c>
      <c r="L670" t="s">
        <v>34</v>
      </c>
      <c r="M670" t="s">
        <v>21</v>
      </c>
      <c r="N670" t="s">
        <v>37</v>
      </c>
    </row>
    <row r="671" spans="1:14" x14ac:dyDescent="0.3">
      <c r="A671" t="s">
        <v>732</v>
      </c>
      <c r="B671" s="1">
        <v>45830</v>
      </c>
      <c r="C671" t="s">
        <v>24</v>
      </c>
      <c r="D671" t="s">
        <v>16</v>
      </c>
      <c r="E671" t="s">
        <v>61</v>
      </c>
      <c r="F671" t="s">
        <v>75</v>
      </c>
      <c r="G671">
        <v>3</v>
      </c>
      <c r="H671">
        <v>2253.4299999999998</v>
      </c>
      <c r="I671">
        <v>0.06</v>
      </c>
      <c r="J671">
        <v>6354.67</v>
      </c>
      <c r="K671" t="s">
        <v>19</v>
      </c>
      <c r="L671" t="s">
        <v>20</v>
      </c>
      <c r="M671" t="s">
        <v>21</v>
      </c>
      <c r="N671" t="s">
        <v>22</v>
      </c>
    </row>
    <row r="672" spans="1:14" x14ac:dyDescent="0.3">
      <c r="A672" t="s">
        <v>733</v>
      </c>
      <c r="B672" s="1">
        <v>45710</v>
      </c>
      <c r="C672" t="s">
        <v>15</v>
      </c>
      <c r="D672" t="s">
        <v>39</v>
      </c>
      <c r="E672" t="s">
        <v>99</v>
      </c>
      <c r="F672" t="s">
        <v>120</v>
      </c>
      <c r="G672">
        <v>4</v>
      </c>
      <c r="H672">
        <v>3445.42</v>
      </c>
      <c r="I672">
        <v>0.24</v>
      </c>
      <c r="J672">
        <v>10474.08</v>
      </c>
      <c r="K672" t="s">
        <v>33</v>
      </c>
      <c r="L672" t="s">
        <v>34</v>
      </c>
      <c r="M672" t="s">
        <v>54</v>
      </c>
      <c r="N672" t="s">
        <v>22</v>
      </c>
    </row>
    <row r="673" spans="1:14" x14ac:dyDescent="0.3">
      <c r="A673" t="s">
        <v>734</v>
      </c>
      <c r="B673" s="1">
        <v>45694</v>
      </c>
      <c r="C673" t="s">
        <v>24</v>
      </c>
      <c r="D673" t="s">
        <v>39</v>
      </c>
      <c r="E673" t="s">
        <v>99</v>
      </c>
      <c r="F673" t="s">
        <v>111</v>
      </c>
      <c r="G673">
        <v>1</v>
      </c>
      <c r="H673">
        <v>3484.34</v>
      </c>
      <c r="I673">
        <v>0.2</v>
      </c>
      <c r="J673">
        <v>2787.47</v>
      </c>
      <c r="K673" t="s">
        <v>33</v>
      </c>
      <c r="L673" t="s">
        <v>20</v>
      </c>
      <c r="M673" t="s">
        <v>54</v>
      </c>
      <c r="N673" t="s">
        <v>22</v>
      </c>
    </row>
    <row r="674" spans="1:14" x14ac:dyDescent="0.3">
      <c r="A674" t="s">
        <v>735</v>
      </c>
      <c r="B674" s="1">
        <v>45772</v>
      </c>
      <c r="C674" t="s">
        <v>24</v>
      </c>
      <c r="D674" t="s">
        <v>39</v>
      </c>
      <c r="E674" t="s">
        <v>99</v>
      </c>
      <c r="F674" t="s">
        <v>111</v>
      </c>
      <c r="G674">
        <v>4</v>
      </c>
      <c r="H674">
        <v>2003.51</v>
      </c>
      <c r="I674">
        <v>0.23</v>
      </c>
      <c r="J674">
        <v>6170.81</v>
      </c>
      <c r="K674" t="s">
        <v>33</v>
      </c>
      <c r="L674" t="s">
        <v>20</v>
      </c>
      <c r="M674" t="s">
        <v>30</v>
      </c>
      <c r="N674" t="s">
        <v>22</v>
      </c>
    </row>
    <row r="675" spans="1:14" x14ac:dyDescent="0.3">
      <c r="A675" t="s">
        <v>736</v>
      </c>
      <c r="B675" s="1">
        <v>45711</v>
      </c>
      <c r="C675" t="s">
        <v>52</v>
      </c>
      <c r="D675" t="s">
        <v>16</v>
      </c>
      <c r="E675" t="s">
        <v>61</v>
      </c>
      <c r="F675" t="s">
        <v>66</v>
      </c>
      <c r="G675">
        <v>3</v>
      </c>
      <c r="H675">
        <v>4409.3900000000003</v>
      </c>
      <c r="I675">
        <v>0.19</v>
      </c>
      <c r="J675">
        <v>10714.82</v>
      </c>
      <c r="K675" t="s">
        <v>19</v>
      </c>
      <c r="L675" t="s">
        <v>34</v>
      </c>
      <c r="M675" t="s">
        <v>30</v>
      </c>
      <c r="N675" t="s">
        <v>22</v>
      </c>
    </row>
    <row r="676" spans="1:14" x14ac:dyDescent="0.3">
      <c r="A676" t="s">
        <v>737</v>
      </c>
      <c r="B676" s="1">
        <v>45667</v>
      </c>
      <c r="C676" t="s">
        <v>48</v>
      </c>
      <c r="D676" t="s">
        <v>39</v>
      </c>
      <c r="E676" t="s">
        <v>17</v>
      </c>
      <c r="F676" t="s">
        <v>40</v>
      </c>
      <c r="G676">
        <v>4</v>
      </c>
      <c r="H676">
        <v>4396.13</v>
      </c>
      <c r="I676">
        <v>0.21</v>
      </c>
      <c r="J676">
        <v>13891.77</v>
      </c>
      <c r="K676" t="s">
        <v>41</v>
      </c>
      <c r="L676" t="s">
        <v>34</v>
      </c>
      <c r="M676" t="s">
        <v>54</v>
      </c>
      <c r="N676" t="s">
        <v>22</v>
      </c>
    </row>
    <row r="677" spans="1:14" x14ac:dyDescent="0.3">
      <c r="A677" t="s">
        <v>738</v>
      </c>
      <c r="B677" s="1">
        <v>45681</v>
      </c>
      <c r="C677" t="s">
        <v>36</v>
      </c>
      <c r="D677" t="s">
        <v>43</v>
      </c>
      <c r="E677" t="s">
        <v>99</v>
      </c>
      <c r="F677" t="s">
        <v>115</v>
      </c>
      <c r="G677">
        <v>3</v>
      </c>
      <c r="H677">
        <v>2320.98</v>
      </c>
      <c r="I677">
        <v>0.01</v>
      </c>
      <c r="J677">
        <v>6893.31</v>
      </c>
      <c r="K677" t="s">
        <v>33</v>
      </c>
      <c r="L677" t="s">
        <v>29</v>
      </c>
      <c r="M677" t="s">
        <v>54</v>
      </c>
      <c r="N677" t="s">
        <v>22</v>
      </c>
    </row>
    <row r="678" spans="1:14" x14ac:dyDescent="0.3">
      <c r="A678" t="s">
        <v>739</v>
      </c>
      <c r="B678" s="1">
        <v>45775</v>
      </c>
      <c r="C678" t="s">
        <v>48</v>
      </c>
      <c r="D678" t="s">
        <v>43</v>
      </c>
      <c r="E678" t="s">
        <v>61</v>
      </c>
      <c r="F678" t="s">
        <v>62</v>
      </c>
      <c r="G678">
        <v>3</v>
      </c>
      <c r="H678">
        <v>1637.24</v>
      </c>
      <c r="I678">
        <v>0.02</v>
      </c>
      <c r="J678">
        <v>4813.49</v>
      </c>
      <c r="K678" t="s">
        <v>19</v>
      </c>
      <c r="L678" t="s">
        <v>29</v>
      </c>
      <c r="M678" t="s">
        <v>54</v>
      </c>
      <c r="N678" t="s">
        <v>22</v>
      </c>
    </row>
    <row r="679" spans="1:14" x14ac:dyDescent="0.3">
      <c r="A679" t="s">
        <v>740</v>
      </c>
      <c r="B679" s="1">
        <v>45744</v>
      </c>
      <c r="C679" t="s">
        <v>15</v>
      </c>
      <c r="D679" t="s">
        <v>39</v>
      </c>
      <c r="E679" t="s">
        <v>61</v>
      </c>
      <c r="F679" t="s">
        <v>92</v>
      </c>
      <c r="G679">
        <v>2</v>
      </c>
      <c r="H679">
        <v>1377.33</v>
      </c>
      <c r="I679">
        <v>0.17</v>
      </c>
      <c r="J679">
        <v>2286.37</v>
      </c>
      <c r="K679" t="s">
        <v>41</v>
      </c>
      <c r="L679" t="s">
        <v>34</v>
      </c>
      <c r="M679" t="s">
        <v>30</v>
      </c>
      <c r="N679" t="s">
        <v>22</v>
      </c>
    </row>
    <row r="680" spans="1:14" x14ac:dyDescent="0.3">
      <c r="A680" t="s">
        <v>741</v>
      </c>
      <c r="B680" s="1">
        <v>45727</v>
      </c>
      <c r="C680" t="s">
        <v>52</v>
      </c>
      <c r="D680" t="s">
        <v>43</v>
      </c>
      <c r="E680" t="s">
        <v>49</v>
      </c>
      <c r="F680" t="s">
        <v>53</v>
      </c>
      <c r="G680">
        <v>5</v>
      </c>
      <c r="H680">
        <v>1199.99</v>
      </c>
      <c r="I680">
        <v>0.24</v>
      </c>
      <c r="J680">
        <v>4559.96</v>
      </c>
      <c r="K680" t="s">
        <v>41</v>
      </c>
      <c r="L680" t="s">
        <v>34</v>
      </c>
      <c r="M680" t="s">
        <v>21</v>
      </c>
      <c r="N680" t="s">
        <v>37</v>
      </c>
    </row>
    <row r="681" spans="1:14" x14ac:dyDescent="0.3">
      <c r="A681" t="s">
        <v>742</v>
      </c>
      <c r="B681" s="1">
        <v>45801</v>
      </c>
      <c r="C681" t="s">
        <v>15</v>
      </c>
      <c r="D681" t="s">
        <v>16</v>
      </c>
      <c r="E681" t="s">
        <v>49</v>
      </c>
      <c r="F681" t="s">
        <v>73</v>
      </c>
      <c r="G681">
        <v>4</v>
      </c>
      <c r="H681">
        <v>3128.22</v>
      </c>
      <c r="I681">
        <v>0.15</v>
      </c>
      <c r="J681">
        <v>10635.95</v>
      </c>
      <c r="K681" t="s">
        <v>19</v>
      </c>
      <c r="L681" t="s">
        <v>20</v>
      </c>
      <c r="M681" t="s">
        <v>54</v>
      </c>
      <c r="N681" t="s">
        <v>59</v>
      </c>
    </row>
    <row r="682" spans="1:14" x14ac:dyDescent="0.3">
      <c r="A682" t="s">
        <v>743</v>
      </c>
      <c r="B682" s="1">
        <v>45812</v>
      </c>
      <c r="C682" t="s">
        <v>24</v>
      </c>
      <c r="D682" t="s">
        <v>43</v>
      </c>
      <c r="E682" t="s">
        <v>61</v>
      </c>
      <c r="F682" t="s">
        <v>62</v>
      </c>
      <c r="G682">
        <v>4</v>
      </c>
      <c r="H682">
        <v>4153.5600000000004</v>
      </c>
      <c r="I682">
        <v>0.12</v>
      </c>
      <c r="J682">
        <v>14620.53</v>
      </c>
      <c r="K682" t="s">
        <v>33</v>
      </c>
      <c r="L682" t="s">
        <v>34</v>
      </c>
      <c r="M682" t="s">
        <v>54</v>
      </c>
      <c r="N682" t="s">
        <v>22</v>
      </c>
    </row>
    <row r="683" spans="1:14" x14ac:dyDescent="0.3">
      <c r="A683" t="s">
        <v>744</v>
      </c>
      <c r="B683" s="1">
        <v>45720</v>
      </c>
      <c r="C683" t="s">
        <v>48</v>
      </c>
      <c r="D683" t="s">
        <v>43</v>
      </c>
      <c r="E683" t="s">
        <v>99</v>
      </c>
      <c r="F683" t="s">
        <v>111</v>
      </c>
      <c r="G683">
        <v>4</v>
      </c>
      <c r="H683">
        <v>4296.05</v>
      </c>
      <c r="I683">
        <v>0.15</v>
      </c>
      <c r="J683">
        <v>14606.57</v>
      </c>
      <c r="K683" t="s">
        <v>41</v>
      </c>
      <c r="L683" t="s">
        <v>20</v>
      </c>
      <c r="M683" t="s">
        <v>30</v>
      </c>
      <c r="N683" t="s">
        <v>22</v>
      </c>
    </row>
    <row r="684" spans="1:14" x14ac:dyDescent="0.3">
      <c r="A684" t="s">
        <v>745</v>
      </c>
      <c r="B684" s="1">
        <v>45744</v>
      </c>
      <c r="C684" t="s">
        <v>24</v>
      </c>
      <c r="D684" t="s">
        <v>25</v>
      </c>
      <c r="E684" t="s">
        <v>49</v>
      </c>
      <c r="F684" t="s">
        <v>73</v>
      </c>
      <c r="G684">
        <v>2</v>
      </c>
      <c r="H684">
        <v>3126.63</v>
      </c>
      <c r="I684">
        <v>0.23</v>
      </c>
      <c r="J684">
        <v>4815.01</v>
      </c>
      <c r="K684" t="s">
        <v>46</v>
      </c>
      <c r="L684" t="s">
        <v>34</v>
      </c>
      <c r="M684" t="s">
        <v>30</v>
      </c>
      <c r="N684" t="s">
        <v>22</v>
      </c>
    </row>
    <row r="685" spans="1:14" x14ac:dyDescent="0.3">
      <c r="A685" t="s">
        <v>746</v>
      </c>
      <c r="B685" s="1">
        <v>45777</v>
      </c>
      <c r="C685" t="s">
        <v>15</v>
      </c>
      <c r="D685" t="s">
        <v>39</v>
      </c>
      <c r="E685" t="s">
        <v>49</v>
      </c>
      <c r="F685" t="s">
        <v>73</v>
      </c>
      <c r="G685">
        <v>2</v>
      </c>
      <c r="H685">
        <v>3595.35</v>
      </c>
      <c r="I685">
        <v>0.18</v>
      </c>
      <c r="J685">
        <v>5896.37</v>
      </c>
      <c r="K685" t="s">
        <v>41</v>
      </c>
      <c r="L685" t="s">
        <v>29</v>
      </c>
      <c r="M685" t="s">
        <v>21</v>
      </c>
      <c r="N685" t="s">
        <v>22</v>
      </c>
    </row>
    <row r="686" spans="1:14" x14ac:dyDescent="0.3">
      <c r="A686" t="s">
        <v>747</v>
      </c>
      <c r="B686" s="1">
        <v>45759</v>
      </c>
      <c r="C686" t="s">
        <v>24</v>
      </c>
      <c r="D686" t="s">
        <v>16</v>
      </c>
      <c r="E686" t="s">
        <v>27</v>
      </c>
      <c r="F686" t="s">
        <v>79</v>
      </c>
      <c r="G686">
        <v>4</v>
      </c>
      <c r="H686">
        <v>4550.3100000000004</v>
      </c>
      <c r="I686">
        <v>0.25</v>
      </c>
      <c r="J686">
        <v>13650.93</v>
      </c>
      <c r="K686" t="s">
        <v>46</v>
      </c>
      <c r="L686" t="s">
        <v>20</v>
      </c>
      <c r="M686" t="s">
        <v>21</v>
      </c>
      <c r="N686" t="s">
        <v>22</v>
      </c>
    </row>
    <row r="687" spans="1:14" x14ac:dyDescent="0.3">
      <c r="A687" t="s">
        <v>748</v>
      </c>
      <c r="B687" s="1">
        <v>45682</v>
      </c>
      <c r="C687" t="s">
        <v>15</v>
      </c>
      <c r="D687" t="s">
        <v>43</v>
      </c>
      <c r="E687" t="s">
        <v>27</v>
      </c>
      <c r="F687" t="s">
        <v>87</v>
      </c>
      <c r="G687">
        <v>3</v>
      </c>
      <c r="H687">
        <v>747.97</v>
      </c>
      <c r="I687">
        <v>0.22</v>
      </c>
      <c r="J687">
        <v>1750.25</v>
      </c>
      <c r="K687" t="s">
        <v>41</v>
      </c>
      <c r="L687" t="s">
        <v>29</v>
      </c>
      <c r="M687" t="s">
        <v>54</v>
      </c>
      <c r="N687" t="s">
        <v>22</v>
      </c>
    </row>
    <row r="688" spans="1:14" x14ac:dyDescent="0.3">
      <c r="A688" t="s">
        <v>749</v>
      </c>
      <c r="B688" s="1">
        <v>45734</v>
      </c>
      <c r="C688" t="s">
        <v>15</v>
      </c>
      <c r="D688" t="s">
        <v>39</v>
      </c>
      <c r="E688" t="s">
        <v>27</v>
      </c>
      <c r="F688" t="s">
        <v>87</v>
      </c>
      <c r="G688">
        <v>1</v>
      </c>
      <c r="H688">
        <v>1654.86</v>
      </c>
      <c r="I688">
        <v>0.13</v>
      </c>
      <c r="J688">
        <v>1439.73</v>
      </c>
      <c r="K688" t="s">
        <v>41</v>
      </c>
      <c r="L688" t="s">
        <v>20</v>
      </c>
      <c r="M688" t="s">
        <v>54</v>
      </c>
      <c r="N688" t="s">
        <v>22</v>
      </c>
    </row>
    <row r="689" spans="1:14" x14ac:dyDescent="0.3">
      <c r="A689" t="s">
        <v>750</v>
      </c>
      <c r="B689" s="1">
        <v>45834</v>
      </c>
      <c r="C689" t="s">
        <v>48</v>
      </c>
      <c r="D689" t="s">
        <v>39</v>
      </c>
      <c r="E689" t="s">
        <v>17</v>
      </c>
      <c r="F689" t="s">
        <v>44</v>
      </c>
      <c r="G689">
        <v>3</v>
      </c>
      <c r="H689">
        <v>4638.5600000000004</v>
      </c>
      <c r="I689">
        <v>7.0000000000000007E-2</v>
      </c>
      <c r="J689">
        <v>12941.58</v>
      </c>
      <c r="K689" t="s">
        <v>46</v>
      </c>
      <c r="L689" t="s">
        <v>29</v>
      </c>
      <c r="M689" t="s">
        <v>30</v>
      </c>
      <c r="N689" t="s">
        <v>22</v>
      </c>
    </row>
    <row r="690" spans="1:14" x14ac:dyDescent="0.3">
      <c r="A690" t="s">
        <v>751</v>
      </c>
      <c r="B690" s="1">
        <v>45771</v>
      </c>
      <c r="C690" t="s">
        <v>15</v>
      </c>
      <c r="D690" t="s">
        <v>16</v>
      </c>
      <c r="E690" t="s">
        <v>49</v>
      </c>
      <c r="F690" t="s">
        <v>73</v>
      </c>
      <c r="G690">
        <v>5</v>
      </c>
      <c r="H690">
        <v>4279.8599999999997</v>
      </c>
      <c r="I690">
        <v>0.16</v>
      </c>
      <c r="J690">
        <v>17975.41</v>
      </c>
      <c r="K690" t="s">
        <v>41</v>
      </c>
      <c r="L690" t="s">
        <v>20</v>
      </c>
      <c r="M690" t="s">
        <v>30</v>
      </c>
      <c r="N690" t="s">
        <v>22</v>
      </c>
    </row>
    <row r="691" spans="1:14" x14ac:dyDescent="0.3">
      <c r="A691" t="s">
        <v>752</v>
      </c>
      <c r="B691" s="1">
        <v>45696</v>
      </c>
      <c r="C691" t="s">
        <v>52</v>
      </c>
      <c r="D691" t="s">
        <v>25</v>
      </c>
      <c r="E691" t="s">
        <v>17</v>
      </c>
      <c r="F691" t="s">
        <v>44</v>
      </c>
      <c r="G691">
        <v>3</v>
      </c>
      <c r="H691">
        <v>901.42</v>
      </c>
      <c r="I691">
        <v>0.12</v>
      </c>
      <c r="J691">
        <v>2379.75</v>
      </c>
      <c r="K691" t="s">
        <v>58</v>
      </c>
      <c r="L691" t="s">
        <v>34</v>
      </c>
      <c r="M691" t="s">
        <v>54</v>
      </c>
      <c r="N691" t="s">
        <v>22</v>
      </c>
    </row>
    <row r="692" spans="1:14" x14ac:dyDescent="0.3">
      <c r="A692" t="s">
        <v>753</v>
      </c>
      <c r="B692" s="1">
        <v>45709</v>
      </c>
      <c r="C692" t="s">
        <v>48</v>
      </c>
      <c r="D692" t="s">
        <v>43</v>
      </c>
      <c r="E692" t="s">
        <v>99</v>
      </c>
      <c r="F692" t="s">
        <v>115</v>
      </c>
      <c r="G692">
        <v>2</v>
      </c>
      <c r="H692">
        <v>705.91</v>
      </c>
      <c r="I692">
        <v>0.02</v>
      </c>
      <c r="J692">
        <v>1383.58</v>
      </c>
      <c r="K692" t="s">
        <v>41</v>
      </c>
      <c r="L692" t="s">
        <v>20</v>
      </c>
      <c r="M692" t="s">
        <v>30</v>
      </c>
      <c r="N692" t="s">
        <v>88</v>
      </c>
    </row>
    <row r="693" spans="1:14" x14ac:dyDescent="0.3">
      <c r="A693" t="s">
        <v>754</v>
      </c>
      <c r="B693" s="1">
        <v>45668</v>
      </c>
      <c r="C693" t="s">
        <v>36</v>
      </c>
      <c r="D693" t="s">
        <v>43</v>
      </c>
      <c r="E693" t="s">
        <v>27</v>
      </c>
      <c r="F693" t="s">
        <v>28</v>
      </c>
      <c r="G693">
        <v>5</v>
      </c>
      <c r="H693">
        <v>4990.22</v>
      </c>
      <c r="I693">
        <v>0</v>
      </c>
      <c r="J693">
        <v>24951.1</v>
      </c>
      <c r="K693" t="s">
        <v>33</v>
      </c>
      <c r="L693" t="s">
        <v>20</v>
      </c>
      <c r="M693" t="s">
        <v>21</v>
      </c>
      <c r="N693" t="s">
        <v>22</v>
      </c>
    </row>
    <row r="694" spans="1:14" x14ac:dyDescent="0.3">
      <c r="A694" t="s">
        <v>755</v>
      </c>
      <c r="B694" s="1">
        <v>45797</v>
      </c>
      <c r="C694" t="s">
        <v>48</v>
      </c>
      <c r="D694" t="s">
        <v>25</v>
      </c>
      <c r="E694" t="s">
        <v>17</v>
      </c>
      <c r="F694" t="s">
        <v>44</v>
      </c>
      <c r="G694">
        <v>1</v>
      </c>
      <c r="H694">
        <v>1492.98</v>
      </c>
      <c r="I694">
        <v>0.25</v>
      </c>
      <c r="J694">
        <v>1119.74</v>
      </c>
      <c r="K694" t="s">
        <v>58</v>
      </c>
      <c r="L694" t="s">
        <v>34</v>
      </c>
      <c r="M694" t="s">
        <v>54</v>
      </c>
      <c r="N694" t="s">
        <v>22</v>
      </c>
    </row>
    <row r="695" spans="1:14" x14ac:dyDescent="0.3">
      <c r="A695" t="s">
        <v>756</v>
      </c>
      <c r="B695" s="1">
        <v>45744</v>
      </c>
      <c r="C695" t="s">
        <v>52</v>
      </c>
      <c r="D695" t="s">
        <v>39</v>
      </c>
      <c r="E695" t="s">
        <v>17</v>
      </c>
      <c r="F695" t="s">
        <v>32</v>
      </c>
      <c r="G695">
        <v>4</v>
      </c>
      <c r="H695">
        <v>4170.43</v>
      </c>
      <c r="I695">
        <v>0.16</v>
      </c>
      <c r="J695">
        <v>14012.64</v>
      </c>
      <c r="K695" t="s">
        <v>58</v>
      </c>
      <c r="L695" t="s">
        <v>20</v>
      </c>
      <c r="M695" t="s">
        <v>30</v>
      </c>
      <c r="N695" t="s">
        <v>22</v>
      </c>
    </row>
    <row r="696" spans="1:14" x14ac:dyDescent="0.3">
      <c r="A696" t="s">
        <v>757</v>
      </c>
      <c r="B696" s="1">
        <v>45660</v>
      </c>
      <c r="C696" t="s">
        <v>24</v>
      </c>
      <c r="D696" t="s">
        <v>43</v>
      </c>
      <c r="E696" t="s">
        <v>17</v>
      </c>
      <c r="F696" t="s">
        <v>32</v>
      </c>
      <c r="G696">
        <v>3</v>
      </c>
      <c r="H696">
        <v>4742.3500000000004</v>
      </c>
      <c r="I696">
        <v>0.25</v>
      </c>
      <c r="J696">
        <v>10670.29</v>
      </c>
      <c r="K696" t="s">
        <v>33</v>
      </c>
      <c r="L696" t="s">
        <v>34</v>
      </c>
      <c r="M696" t="s">
        <v>21</v>
      </c>
      <c r="N696" t="s">
        <v>22</v>
      </c>
    </row>
    <row r="697" spans="1:14" x14ac:dyDescent="0.3">
      <c r="A697" t="s">
        <v>758</v>
      </c>
      <c r="B697" s="1">
        <v>45760</v>
      </c>
      <c r="C697" t="s">
        <v>15</v>
      </c>
      <c r="D697" t="s">
        <v>25</v>
      </c>
      <c r="E697" t="s">
        <v>17</v>
      </c>
      <c r="F697" t="s">
        <v>32</v>
      </c>
      <c r="G697">
        <v>1</v>
      </c>
      <c r="H697">
        <v>2781.07</v>
      </c>
      <c r="I697">
        <v>0.15</v>
      </c>
      <c r="J697">
        <v>2363.91</v>
      </c>
      <c r="K697" t="s">
        <v>58</v>
      </c>
      <c r="L697" t="s">
        <v>29</v>
      </c>
      <c r="M697" t="s">
        <v>54</v>
      </c>
      <c r="N697" t="s">
        <v>22</v>
      </c>
    </row>
    <row r="698" spans="1:14" x14ac:dyDescent="0.3">
      <c r="A698" t="s">
        <v>759</v>
      </c>
      <c r="B698" s="1">
        <v>45839</v>
      </c>
      <c r="C698" t="s">
        <v>24</v>
      </c>
      <c r="D698" t="s">
        <v>43</v>
      </c>
      <c r="E698" t="s">
        <v>61</v>
      </c>
      <c r="F698" t="s">
        <v>92</v>
      </c>
      <c r="G698">
        <v>2</v>
      </c>
      <c r="H698">
        <v>2003.66</v>
      </c>
      <c r="I698">
        <v>0.1</v>
      </c>
      <c r="J698">
        <v>3606.59</v>
      </c>
      <c r="K698" t="s">
        <v>58</v>
      </c>
      <c r="L698" t="s">
        <v>20</v>
      </c>
      <c r="M698" t="s">
        <v>21</v>
      </c>
      <c r="N698" t="s">
        <v>22</v>
      </c>
    </row>
    <row r="699" spans="1:14" x14ac:dyDescent="0.3">
      <c r="A699" t="s">
        <v>760</v>
      </c>
      <c r="B699" s="1">
        <v>45816</v>
      </c>
      <c r="C699" t="s">
        <v>15</v>
      </c>
      <c r="D699" t="s">
        <v>43</v>
      </c>
      <c r="E699" t="s">
        <v>49</v>
      </c>
      <c r="F699" t="s">
        <v>50</v>
      </c>
      <c r="G699">
        <v>3</v>
      </c>
      <c r="H699">
        <v>3361.05</v>
      </c>
      <c r="I699">
        <v>0.21</v>
      </c>
      <c r="J699">
        <v>7965.69</v>
      </c>
      <c r="K699" t="s">
        <v>33</v>
      </c>
      <c r="L699" t="s">
        <v>20</v>
      </c>
      <c r="M699" t="s">
        <v>21</v>
      </c>
      <c r="N699" t="s">
        <v>22</v>
      </c>
    </row>
    <row r="700" spans="1:14" x14ac:dyDescent="0.3">
      <c r="A700" t="s">
        <v>761</v>
      </c>
      <c r="B700" s="1">
        <v>45764</v>
      </c>
      <c r="C700" t="s">
        <v>15</v>
      </c>
      <c r="D700" t="s">
        <v>43</v>
      </c>
      <c r="E700" t="s">
        <v>49</v>
      </c>
      <c r="F700" t="s">
        <v>50</v>
      </c>
      <c r="G700">
        <v>4</v>
      </c>
      <c r="H700">
        <v>542.09</v>
      </c>
      <c r="I700">
        <v>0.11</v>
      </c>
      <c r="J700">
        <v>1929.84</v>
      </c>
      <c r="K700" t="s">
        <v>33</v>
      </c>
      <c r="L700" t="s">
        <v>29</v>
      </c>
      <c r="M700" t="s">
        <v>30</v>
      </c>
      <c r="N700" t="s">
        <v>22</v>
      </c>
    </row>
    <row r="701" spans="1:14" x14ac:dyDescent="0.3">
      <c r="A701" t="s">
        <v>762</v>
      </c>
      <c r="B701" s="1">
        <v>45793</v>
      </c>
      <c r="C701" t="s">
        <v>24</v>
      </c>
      <c r="D701" t="s">
        <v>43</v>
      </c>
      <c r="E701" t="s">
        <v>49</v>
      </c>
      <c r="F701" t="s">
        <v>56</v>
      </c>
      <c r="G701">
        <v>4</v>
      </c>
      <c r="H701">
        <v>3414.56</v>
      </c>
      <c r="I701">
        <v>0.16</v>
      </c>
      <c r="J701">
        <v>11472.92</v>
      </c>
      <c r="K701" t="s">
        <v>33</v>
      </c>
      <c r="L701" t="s">
        <v>34</v>
      </c>
      <c r="M701" t="s">
        <v>21</v>
      </c>
      <c r="N701" t="s">
        <v>37</v>
      </c>
    </row>
    <row r="702" spans="1:14" x14ac:dyDescent="0.3">
      <c r="A702" t="s">
        <v>763</v>
      </c>
      <c r="B702" s="1">
        <v>45799</v>
      </c>
      <c r="C702" t="s">
        <v>15</v>
      </c>
      <c r="D702" t="s">
        <v>43</v>
      </c>
      <c r="E702" t="s">
        <v>27</v>
      </c>
      <c r="F702" t="s">
        <v>79</v>
      </c>
      <c r="G702">
        <v>1</v>
      </c>
      <c r="H702">
        <v>4545.32</v>
      </c>
      <c r="I702">
        <v>0.12</v>
      </c>
      <c r="J702">
        <v>3999.88</v>
      </c>
      <c r="K702" t="s">
        <v>41</v>
      </c>
      <c r="L702" t="s">
        <v>34</v>
      </c>
      <c r="M702" t="s">
        <v>54</v>
      </c>
      <c r="N702" t="s">
        <v>22</v>
      </c>
    </row>
    <row r="703" spans="1:14" x14ac:dyDescent="0.3">
      <c r="A703" t="s">
        <v>764</v>
      </c>
      <c r="B703" s="1">
        <v>45842</v>
      </c>
      <c r="C703" t="s">
        <v>36</v>
      </c>
      <c r="D703" t="s">
        <v>16</v>
      </c>
      <c r="E703" t="s">
        <v>99</v>
      </c>
      <c r="F703" t="s">
        <v>100</v>
      </c>
      <c r="G703">
        <v>5</v>
      </c>
      <c r="H703">
        <v>333.87</v>
      </c>
      <c r="I703">
        <v>0.02</v>
      </c>
      <c r="J703">
        <v>1635.96</v>
      </c>
      <c r="K703" t="s">
        <v>41</v>
      </c>
      <c r="L703" t="s">
        <v>34</v>
      </c>
      <c r="M703" t="s">
        <v>54</v>
      </c>
      <c r="N703" t="s">
        <v>22</v>
      </c>
    </row>
    <row r="704" spans="1:14" x14ac:dyDescent="0.3">
      <c r="A704" t="s">
        <v>765</v>
      </c>
      <c r="B704" s="1">
        <v>45804</v>
      </c>
      <c r="C704" t="s">
        <v>48</v>
      </c>
      <c r="D704" t="s">
        <v>16</v>
      </c>
      <c r="E704" t="s">
        <v>49</v>
      </c>
      <c r="F704" t="s">
        <v>56</v>
      </c>
      <c r="G704">
        <v>3</v>
      </c>
      <c r="H704">
        <v>1348.82</v>
      </c>
      <c r="I704">
        <v>0.02</v>
      </c>
      <c r="J704">
        <v>3965.53</v>
      </c>
      <c r="K704" t="s">
        <v>33</v>
      </c>
      <c r="L704" t="s">
        <v>34</v>
      </c>
      <c r="M704" t="s">
        <v>21</v>
      </c>
      <c r="N704" t="s">
        <v>22</v>
      </c>
    </row>
    <row r="705" spans="1:14" x14ac:dyDescent="0.3">
      <c r="A705" t="s">
        <v>766</v>
      </c>
      <c r="B705" s="1">
        <v>45803</v>
      </c>
      <c r="C705" t="s">
        <v>52</v>
      </c>
      <c r="D705" t="s">
        <v>25</v>
      </c>
      <c r="E705" t="s">
        <v>49</v>
      </c>
      <c r="F705" t="s">
        <v>73</v>
      </c>
      <c r="G705">
        <v>1</v>
      </c>
      <c r="H705">
        <v>2139.63</v>
      </c>
      <c r="I705">
        <v>0.18</v>
      </c>
      <c r="J705">
        <v>1754.5</v>
      </c>
      <c r="K705" t="s">
        <v>41</v>
      </c>
      <c r="L705" t="s">
        <v>20</v>
      </c>
      <c r="M705" t="s">
        <v>30</v>
      </c>
      <c r="N705" t="s">
        <v>88</v>
      </c>
    </row>
    <row r="706" spans="1:14" x14ac:dyDescent="0.3">
      <c r="A706" t="s">
        <v>767</v>
      </c>
      <c r="B706" s="1">
        <v>45790</v>
      </c>
      <c r="C706" t="s">
        <v>15</v>
      </c>
      <c r="D706" t="s">
        <v>16</v>
      </c>
      <c r="E706" t="s">
        <v>49</v>
      </c>
      <c r="F706" t="s">
        <v>53</v>
      </c>
      <c r="G706">
        <v>2</v>
      </c>
      <c r="H706">
        <v>483.28</v>
      </c>
      <c r="I706">
        <v>0.25</v>
      </c>
      <c r="J706">
        <v>724.92</v>
      </c>
      <c r="K706" t="s">
        <v>19</v>
      </c>
      <c r="L706" t="s">
        <v>20</v>
      </c>
      <c r="M706" t="s">
        <v>30</v>
      </c>
      <c r="N706" t="s">
        <v>22</v>
      </c>
    </row>
    <row r="707" spans="1:14" x14ac:dyDescent="0.3">
      <c r="A707" t="s">
        <v>768</v>
      </c>
      <c r="B707" s="1">
        <v>45698</v>
      </c>
      <c r="C707" t="s">
        <v>48</v>
      </c>
      <c r="D707" t="s">
        <v>25</v>
      </c>
      <c r="E707" t="s">
        <v>17</v>
      </c>
      <c r="F707" t="s">
        <v>18</v>
      </c>
      <c r="G707">
        <v>2</v>
      </c>
      <c r="H707">
        <v>3313.42</v>
      </c>
      <c r="I707">
        <v>0.12</v>
      </c>
      <c r="J707">
        <v>5831.62</v>
      </c>
      <c r="K707" t="s">
        <v>58</v>
      </c>
      <c r="L707" t="s">
        <v>20</v>
      </c>
      <c r="M707" t="s">
        <v>30</v>
      </c>
      <c r="N707" t="s">
        <v>22</v>
      </c>
    </row>
    <row r="708" spans="1:14" x14ac:dyDescent="0.3">
      <c r="A708" t="s">
        <v>769</v>
      </c>
      <c r="B708" s="1">
        <v>45730</v>
      </c>
      <c r="C708" t="s">
        <v>48</v>
      </c>
      <c r="D708" t="s">
        <v>43</v>
      </c>
      <c r="E708" t="s">
        <v>27</v>
      </c>
      <c r="F708" t="s">
        <v>28</v>
      </c>
      <c r="G708">
        <v>2</v>
      </c>
      <c r="H708">
        <v>762.06</v>
      </c>
      <c r="I708">
        <v>0.05</v>
      </c>
      <c r="J708">
        <v>1447.91</v>
      </c>
      <c r="K708" t="s">
        <v>46</v>
      </c>
      <c r="L708" t="s">
        <v>20</v>
      </c>
      <c r="M708" t="s">
        <v>54</v>
      </c>
      <c r="N708" t="s">
        <v>37</v>
      </c>
    </row>
    <row r="709" spans="1:14" x14ac:dyDescent="0.3">
      <c r="A709" t="s">
        <v>770</v>
      </c>
      <c r="B709" s="1">
        <v>45743</v>
      </c>
      <c r="C709" t="s">
        <v>52</v>
      </c>
      <c r="D709" t="s">
        <v>43</v>
      </c>
      <c r="E709" t="s">
        <v>61</v>
      </c>
      <c r="F709" t="s">
        <v>92</v>
      </c>
      <c r="G709">
        <v>5</v>
      </c>
      <c r="H709">
        <v>1035.48</v>
      </c>
      <c r="I709">
        <v>0.08</v>
      </c>
      <c r="J709">
        <v>4763.21</v>
      </c>
      <c r="K709" t="s">
        <v>19</v>
      </c>
      <c r="L709" t="s">
        <v>34</v>
      </c>
      <c r="M709" t="s">
        <v>30</v>
      </c>
      <c r="N709" t="s">
        <v>22</v>
      </c>
    </row>
    <row r="710" spans="1:14" x14ac:dyDescent="0.3">
      <c r="A710" t="s">
        <v>771</v>
      </c>
      <c r="B710" s="1">
        <v>45673</v>
      </c>
      <c r="C710" t="s">
        <v>52</v>
      </c>
      <c r="D710" t="s">
        <v>43</v>
      </c>
      <c r="E710" t="s">
        <v>17</v>
      </c>
      <c r="F710" t="s">
        <v>18</v>
      </c>
      <c r="G710">
        <v>4</v>
      </c>
      <c r="H710">
        <v>4822.95</v>
      </c>
      <c r="I710">
        <v>0.12</v>
      </c>
      <c r="J710">
        <v>16976.78</v>
      </c>
      <c r="K710" t="s">
        <v>19</v>
      </c>
      <c r="L710" t="s">
        <v>29</v>
      </c>
      <c r="M710" t="s">
        <v>30</v>
      </c>
      <c r="N710" t="s">
        <v>22</v>
      </c>
    </row>
    <row r="711" spans="1:14" x14ac:dyDescent="0.3">
      <c r="A711" t="s">
        <v>772</v>
      </c>
      <c r="B711" s="1">
        <v>45788</v>
      </c>
      <c r="C711" t="s">
        <v>24</v>
      </c>
      <c r="D711" t="s">
        <v>25</v>
      </c>
      <c r="E711" t="s">
        <v>27</v>
      </c>
      <c r="F711" t="s">
        <v>87</v>
      </c>
      <c r="G711">
        <v>1</v>
      </c>
      <c r="H711">
        <v>3189.01</v>
      </c>
      <c r="I711">
        <v>0.18</v>
      </c>
      <c r="J711">
        <v>2614.9899999999998</v>
      </c>
      <c r="K711" t="s">
        <v>46</v>
      </c>
      <c r="L711" t="s">
        <v>20</v>
      </c>
      <c r="M711" t="s">
        <v>30</v>
      </c>
      <c r="N711" t="s">
        <v>22</v>
      </c>
    </row>
    <row r="712" spans="1:14" x14ac:dyDescent="0.3">
      <c r="A712" t="s">
        <v>773</v>
      </c>
      <c r="B712" s="1">
        <v>45838</v>
      </c>
      <c r="C712" t="s">
        <v>24</v>
      </c>
      <c r="D712" t="s">
        <v>25</v>
      </c>
      <c r="E712" t="s">
        <v>27</v>
      </c>
      <c r="F712" t="s">
        <v>28</v>
      </c>
      <c r="G712">
        <v>4</v>
      </c>
      <c r="H712">
        <v>2615.44</v>
      </c>
      <c r="I712">
        <v>0.18</v>
      </c>
      <c r="J712">
        <v>8578.64</v>
      </c>
      <c r="K712" t="s">
        <v>41</v>
      </c>
      <c r="L712" t="s">
        <v>34</v>
      </c>
      <c r="M712" t="s">
        <v>21</v>
      </c>
      <c r="N712" t="s">
        <v>22</v>
      </c>
    </row>
    <row r="713" spans="1:14" x14ac:dyDescent="0.3">
      <c r="A713" t="s">
        <v>774</v>
      </c>
      <c r="B713" s="1">
        <v>45724</v>
      </c>
      <c r="C713" t="s">
        <v>48</v>
      </c>
      <c r="D713" t="s">
        <v>25</v>
      </c>
      <c r="E713" t="s">
        <v>17</v>
      </c>
      <c r="F713" t="s">
        <v>18</v>
      </c>
      <c r="G713">
        <v>5</v>
      </c>
      <c r="H713">
        <v>411.2</v>
      </c>
      <c r="I713">
        <v>0.22</v>
      </c>
      <c r="J713">
        <v>1603.68</v>
      </c>
      <c r="K713" t="s">
        <v>33</v>
      </c>
      <c r="L713" t="s">
        <v>34</v>
      </c>
      <c r="M713" t="s">
        <v>30</v>
      </c>
      <c r="N713" t="s">
        <v>22</v>
      </c>
    </row>
    <row r="714" spans="1:14" x14ac:dyDescent="0.3">
      <c r="A714" t="s">
        <v>775</v>
      </c>
      <c r="B714" s="1">
        <v>45781</v>
      </c>
      <c r="C714" t="s">
        <v>48</v>
      </c>
      <c r="D714" t="s">
        <v>25</v>
      </c>
      <c r="E714" t="s">
        <v>27</v>
      </c>
      <c r="F714" t="s">
        <v>28</v>
      </c>
      <c r="G714">
        <v>2</v>
      </c>
      <c r="H714">
        <v>1511.25</v>
      </c>
      <c r="I714">
        <v>0.05</v>
      </c>
      <c r="J714">
        <v>2871.38</v>
      </c>
      <c r="K714" t="s">
        <v>41</v>
      </c>
      <c r="L714" t="s">
        <v>20</v>
      </c>
      <c r="M714" t="s">
        <v>30</v>
      </c>
      <c r="N714" t="s">
        <v>22</v>
      </c>
    </row>
    <row r="715" spans="1:14" x14ac:dyDescent="0.3">
      <c r="A715" t="s">
        <v>776</v>
      </c>
      <c r="B715" s="1">
        <v>45720</v>
      </c>
      <c r="C715" t="s">
        <v>36</v>
      </c>
      <c r="D715" t="s">
        <v>39</v>
      </c>
      <c r="E715" t="s">
        <v>61</v>
      </c>
      <c r="F715" t="s">
        <v>66</v>
      </c>
      <c r="G715">
        <v>3</v>
      </c>
      <c r="H715">
        <v>3642.68</v>
      </c>
      <c r="I715">
        <v>0.1</v>
      </c>
      <c r="J715">
        <v>9835.24</v>
      </c>
      <c r="K715" t="s">
        <v>41</v>
      </c>
      <c r="L715" t="s">
        <v>20</v>
      </c>
      <c r="M715" t="s">
        <v>30</v>
      </c>
      <c r="N715" t="s">
        <v>88</v>
      </c>
    </row>
    <row r="716" spans="1:14" x14ac:dyDescent="0.3">
      <c r="A716" t="s">
        <v>777</v>
      </c>
      <c r="B716" s="1">
        <v>45788</v>
      </c>
      <c r="C716" t="s">
        <v>15</v>
      </c>
      <c r="D716" t="s">
        <v>25</v>
      </c>
      <c r="E716" t="s">
        <v>61</v>
      </c>
      <c r="F716" t="s">
        <v>75</v>
      </c>
      <c r="G716">
        <v>4</v>
      </c>
      <c r="H716">
        <v>732.57</v>
      </c>
      <c r="I716">
        <v>0.05</v>
      </c>
      <c r="J716">
        <v>2783.77</v>
      </c>
      <c r="K716" t="s">
        <v>58</v>
      </c>
      <c r="L716" t="s">
        <v>29</v>
      </c>
      <c r="M716" t="s">
        <v>21</v>
      </c>
      <c r="N716" t="s">
        <v>22</v>
      </c>
    </row>
    <row r="717" spans="1:14" x14ac:dyDescent="0.3">
      <c r="A717" t="s">
        <v>778</v>
      </c>
      <c r="B717" s="1">
        <v>45824</v>
      </c>
      <c r="C717" t="s">
        <v>15</v>
      </c>
      <c r="D717" t="s">
        <v>39</v>
      </c>
      <c r="E717" t="s">
        <v>49</v>
      </c>
      <c r="F717" t="s">
        <v>50</v>
      </c>
      <c r="G717">
        <v>5</v>
      </c>
      <c r="H717">
        <v>330.54</v>
      </c>
      <c r="I717">
        <v>0</v>
      </c>
      <c r="J717">
        <v>1652.7</v>
      </c>
      <c r="K717" t="s">
        <v>19</v>
      </c>
      <c r="L717" t="s">
        <v>20</v>
      </c>
      <c r="M717" t="s">
        <v>30</v>
      </c>
      <c r="N717" t="s">
        <v>22</v>
      </c>
    </row>
    <row r="718" spans="1:14" x14ac:dyDescent="0.3">
      <c r="A718" t="s">
        <v>779</v>
      </c>
      <c r="B718" s="1">
        <v>45684</v>
      </c>
      <c r="C718" t="s">
        <v>24</v>
      </c>
      <c r="D718" t="s">
        <v>25</v>
      </c>
      <c r="E718" t="s">
        <v>61</v>
      </c>
      <c r="F718" t="s">
        <v>62</v>
      </c>
      <c r="G718">
        <v>1</v>
      </c>
      <c r="H718">
        <v>3126.06</v>
      </c>
      <c r="I718">
        <v>0.03</v>
      </c>
      <c r="J718">
        <v>3032.28</v>
      </c>
      <c r="K718" t="s">
        <v>46</v>
      </c>
      <c r="L718" t="s">
        <v>34</v>
      </c>
      <c r="M718" t="s">
        <v>54</v>
      </c>
      <c r="N718" t="s">
        <v>22</v>
      </c>
    </row>
    <row r="719" spans="1:14" x14ac:dyDescent="0.3">
      <c r="A719" t="s">
        <v>780</v>
      </c>
      <c r="B719" s="1">
        <v>45799</v>
      </c>
      <c r="C719" t="s">
        <v>24</v>
      </c>
      <c r="D719" t="s">
        <v>16</v>
      </c>
      <c r="E719" t="s">
        <v>99</v>
      </c>
      <c r="F719" t="s">
        <v>111</v>
      </c>
      <c r="G719">
        <v>2</v>
      </c>
      <c r="H719">
        <v>4281.7</v>
      </c>
      <c r="I719">
        <v>0.22</v>
      </c>
      <c r="J719">
        <v>6679.45</v>
      </c>
      <c r="K719" t="s">
        <v>33</v>
      </c>
      <c r="L719" t="s">
        <v>34</v>
      </c>
      <c r="M719" t="s">
        <v>21</v>
      </c>
      <c r="N719" t="s">
        <v>22</v>
      </c>
    </row>
    <row r="720" spans="1:14" x14ac:dyDescent="0.3">
      <c r="A720" t="s">
        <v>781</v>
      </c>
      <c r="B720" s="1">
        <v>45834</v>
      </c>
      <c r="C720" t="s">
        <v>24</v>
      </c>
      <c r="D720" t="s">
        <v>16</v>
      </c>
      <c r="E720" t="s">
        <v>49</v>
      </c>
      <c r="F720" t="s">
        <v>50</v>
      </c>
      <c r="G720">
        <v>5</v>
      </c>
      <c r="H720">
        <v>3932.57</v>
      </c>
      <c r="I720">
        <v>0.24</v>
      </c>
      <c r="J720">
        <v>14943.77</v>
      </c>
      <c r="K720" t="s">
        <v>58</v>
      </c>
      <c r="L720" t="s">
        <v>29</v>
      </c>
      <c r="M720" t="s">
        <v>21</v>
      </c>
      <c r="N720" t="s">
        <v>22</v>
      </c>
    </row>
    <row r="721" spans="1:14" x14ac:dyDescent="0.3">
      <c r="A721" t="s">
        <v>782</v>
      </c>
      <c r="B721" s="1">
        <v>45718</v>
      </c>
      <c r="C721" t="s">
        <v>52</v>
      </c>
      <c r="D721" t="s">
        <v>16</v>
      </c>
      <c r="E721" t="s">
        <v>61</v>
      </c>
      <c r="F721" t="s">
        <v>62</v>
      </c>
      <c r="G721">
        <v>3</v>
      </c>
      <c r="H721">
        <v>3570</v>
      </c>
      <c r="I721">
        <v>0.19</v>
      </c>
      <c r="J721">
        <v>8675.1</v>
      </c>
      <c r="K721" t="s">
        <v>46</v>
      </c>
      <c r="L721" t="s">
        <v>20</v>
      </c>
      <c r="M721" t="s">
        <v>30</v>
      </c>
      <c r="N721" t="s">
        <v>22</v>
      </c>
    </row>
    <row r="722" spans="1:14" x14ac:dyDescent="0.3">
      <c r="A722" t="s">
        <v>783</v>
      </c>
      <c r="B722" s="1">
        <v>45758</v>
      </c>
      <c r="C722" t="s">
        <v>52</v>
      </c>
      <c r="D722" t="s">
        <v>43</v>
      </c>
      <c r="E722" t="s">
        <v>99</v>
      </c>
      <c r="F722" t="s">
        <v>111</v>
      </c>
      <c r="G722">
        <v>4</v>
      </c>
      <c r="H722">
        <v>4851.22</v>
      </c>
      <c r="I722">
        <v>0.19</v>
      </c>
      <c r="J722">
        <v>15717.95</v>
      </c>
      <c r="K722" t="s">
        <v>58</v>
      </c>
      <c r="L722" t="s">
        <v>20</v>
      </c>
      <c r="M722" t="s">
        <v>54</v>
      </c>
      <c r="N722" t="s">
        <v>88</v>
      </c>
    </row>
    <row r="723" spans="1:14" x14ac:dyDescent="0.3">
      <c r="A723" t="s">
        <v>784</v>
      </c>
      <c r="B723" s="1">
        <v>45720</v>
      </c>
      <c r="C723" t="s">
        <v>15</v>
      </c>
      <c r="D723" t="s">
        <v>39</v>
      </c>
      <c r="E723" t="s">
        <v>49</v>
      </c>
      <c r="F723" t="s">
        <v>53</v>
      </c>
      <c r="G723">
        <v>1</v>
      </c>
      <c r="H723">
        <v>1403.48</v>
      </c>
      <c r="I723">
        <v>0.18</v>
      </c>
      <c r="J723">
        <v>1150.8499999999999</v>
      </c>
      <c r="K723" t="s">
        <v>33</v>
      </c>
      <c r="L723" t="s">
        <v>20</v>
      </c>
      <c r="M723" t="s">
        <v>30</v>
      </c>
      <c r="N723" t="s">
        <v>22</v>
      </c>
    </row>
    <row r="724" spans="1:14" x14ac:dyDescent="0.3">
      <c r="A724" t="s">
        <v>785</v>
      </c>
      <c r="B724" s="1">
        <v>45789</v>
      </c>
      <c r="C724" t="s">
        <v>36</v>
      </c>
      <c r="D724" t="s">
        <v>25</v>
      </c>
      <c r="E724" t="s">
        <v>61</v>
      </c>
      <c r="F724" t="s">
        <v>75</v>
      </c>
      <c r="G724">
        <v>2</v>
      </c>
      <c r="H724">
        <v>4028.67</v>
      </c>
      <c r="I724">
        <v>0.1</v>
      </c>
      <c r="J724">
        <v>7251.61</v>
      </c>
      <c r="K724" t="s">
        <v>41</v>
      </c>
      <c r="L724" t="s">
        <v>20</v>
      </c>
      <c r="M724" t="s">
        <v>30</v>
      </c>
      <c r="N724" t="s">
        <v>59</v>
      </c>
    </row>
    <row r="725" spans="1:14" x14ac:dyDescent="0.3">
      <c r="A725" t="s">
        <v>786</v>
      </c>
      <c r="B725" s="1">
        <v>45739</v>
      </c>
      <c r="C725" t="s">
        <v>24</v>
      </c>
      <c r="D725" t="s">
        <v>16</v>
      </c>
      <c r="E725" t="s">
        <v>27</v>
      </c>
      <c r="F725" t="s">
        <v>28</v>
      </c>
      <c r="G725">
        <v>1</v>
      </c>
      <c r="H725">
        <v>3616.37</v>
      </c>
      <c r="I725">
        <v>0.13</v>
      </c>
      <c r="J725">
        <v>3146.24</v>
      </c>
      <c r="K725" t="s">
        <v>41</v>
      </c>
      <c r="L725" t="s">
        <v>20</v>
      </c>
      <c r="M725" t="s">
        <v>54</v>
      </c>
      <c r="N725" t="s">
        <v>22</v>
      </c>
    </row>
    <row r="726" spans="1:14" x14ac:dyDescent="0.3">
      <c r="A726" t="s">
        <v>787</v>
      </c>
      <c r="B726" s="1">
        <v>45723</v>
      </c>
      <c r="C726" t="s">
        <v>48</v>
      </c>
      <c r="D726" t="s">
        <v>16</v>
      </c>
      <c r="E726" t="s">
        <v>49</v>
      </c>
      <c r="F726" t="s">
        <v>73</v>
      </c>
      <c r="G726">
        <v>1</v>
      </c>
      <c r="H726">
        <v>3334.86</v>
      </c>
      <c r="I726">
        <v>0.16</v>
      </c>
      <c r="J726">
        <v>2801.28</v>
      </c>
      <c r="K726" t="s">
        <v>58</v>
      </c>
      <c r="L726" t="s">
        <v>34</v>
      </c>
      <c r="M726" t="s">
        <v>21</v>
      </c>
      <c r="N726" t="s">
        <v>59</v>
      </c>
    </row>
    <row r="727" spans="1:14" x14ac:dyDescent="0.3">
      <c r="A727" t="s">
        <v>788</v>
      </c>
      <c r="B727" s="1">
        <v>45738</v>
      </c>
      <c r="C727" t="s">
        <v>48</v>
      </c>
      <c r="D727" t="s">
        <v>39</v>
      </c>
      <c r="E727" t="s">
        <v>27</v>
      </c>
      <c r="F727" t="s">
        <v>28</v>
      </c>
      <c r="G727">
        <v>5</v>
      </c>
      <c r="H727">
        <v>4380.38</v>
      </c>
      <c r="I727">
        <v>0.18</v>
      </c>
      <c r="J727">
        <v>17959.560000000001</v>
      </c>
      <c r="K727" t="s">
        <v>41</v>
      </c>
      <c r="L727" t="s">
        <v>29</v>
      </c>
      <c r="M727" t="s">
        <v>30</v>
      </c>
      <c r="N727" t="s">
        <v>22</v>
      </c>
    </row>
    <row r="728" spans="1:14" x14ac:dyDescent="0.3">
      <c r="A728" t="s">
        <v>789</v>
      </c>
      <c r="B728" s="1">
        <v>45795</v>
      </c>
      <c r="C728" t="s">
        <v>48</v>
      </c>
      <c r="D728" t="s">
        <v>25</v>
      </c>
      <c r="E728" t="s">
        <v>99</v>
      </c>
      <c r="F728" t="s">
        <v>100</v>
      </c>
      <c r="G728">
        <v>2</v>
      </c>
      <c r="H728">
        <v>4449.1400000000003</v>
      </c>
      <c r="I728">
        <v>0.16</v>
      </c>
      <c r="J728">
        <v>7474.56</v>
      </c>
      <c r="K728" t="s">
        <v>41</v>
      </c>
      <c r="L728" t="s">
        <v>29</v>
      </c>
      <c r="M728" t="s">
        <v>21</v>
      </c>
      <c r="N728" t="s">
        <v>22</v>
      </c>
    </row>
    <row r="729" spans="1:14" x14ac:dyDescent="0.3">
      <c r="A729" t="s">
        <v>790</v>
      </c>
      <c r="B729" s="1">
        <v>45717</v>
      </c>
      <c r="C729" t="s">
        <v>15</v>
      </c>
      <c r="D729" t="s">
        <v>43</v>
      </c>
      <c r="E729" t="s">
        <v>49</v>
      </c>
      <c r="F729" t="s">
        <v>73</v>
      </c>
      <c r="G729">
        <v>5</v>
      </c>
      <c r="H729">
        <v>1739.02</v>
      </c>
      <c r="I729">
        <v>0.18</v>
      </c>
      <c r="J729">
        <v>7129.98</v>
      </c>
      <c r="K729" t="s">
        <v>58</v>
      </c>
      <c r="L729" t="s">
        <v>20</v>
      </c>
      <c r="M729" t="s">
        <v>21</v>
      </c>
      <c r="N729" t="s">
        <v>22</v>
      </c>
    </row>
    <row r="730" spans="1:14" x14ac:dyDescent="0.3">
      <c r="A730" t="s">
        <v>791</v>
      </c>
      <c r="B730" s="1">
        <v>45767</v>
      </c>
      <c r="C730" t="s">
        <v>52</v>
      </c>
      <c r="D730" t="s">
        <v>43</v>
      </c>
      <c r="E730" t="s">
        <v>27</v>
      </c>
      <c r="F730" t="s">
        <v>28</v>
      </c>
      <c r="G730">
        <v>5</v>
      </c>
      <c r="H730">
        <v>1630.04</v>
      </c>
      <c r="I730">
        <v>0.09</v>
      </c>
      <c r="J730">
        <v>7416.68</v>
      </c>
      <c r="K730" t="s">
        <v>58</v>
      </c>
      <c r="L730" t="s">
        <v>29</v>
      </c>
      <c r="M730" t="s">
        <v>21</v>
      </c>
      <c r="N730" t="s">
        <v>22</v>
      </c>
    </row>
    <row r="731" spans="1:14" x14ac:dyDescent="0.3">
      <c r="A731" t="s">
        <v>792</v>
      </c>
      <c r="B731" s="1">
        <v>45684</v>
      </c>
      <c r="C731" t="s">
        <v>52</v>
      </c>
      <c r="D731" t="s">
        <v>39</v>
      </c>
      <c r="E731" t="s">
        <v>27</v>
      </c>
      <c r="F731" t="s">
        <v>28</v>
      </c>
      <c r="G731">
        <v>4</v>
      </c>
      <c r="H731">
        <v>4936.08</v>
      </c>
      <c r="I731">
        <v>0.03</v>
      </c>
      <c r="J731">
        <v>19151.990000000002</v>
      </c>
      <c r="K731" t="s">
        <v>46</v>
      </c>
      <c r="L731" t="s">
        <v>29</v>
      </c>
      <c r="M731" t="s">
        <v>54</v>
      </c>
      <c r="N731" t="s">
        <v>22</v>
      </c>
    </row>
    <row r="732" spans="1:14" x14ac:dyDescent="0.3">
      <c r="A732" t="s">
        <v>793</v>
      </c>
      <c r="B732" s="1">
        <v>45697</v>
      </c>
      <c r="C732" t="s">
        <v>24</v>
      </c>
      <c r="D732" t="s">
        <v>25</v>
      </c>
      <c r="E732" t="s">
        <v>27</v>
      </c>
      <c r="F732" t="s">
        <v>28</v>
      </c>
      <c r="G732">
        <v>1</v>
      </c>
      <c r="H732">
        <v>2298.81</v>
      </c>
      <c r="I732">
        <v>0.14000000000000001</v>
      </c>
      <c r="J732">
        <v>1976.98</v>
      </c>
      <c r="K732" t="s">
        <v>58</v>
      </c>
      <c r="L732" t="s">
        <v>29</v>
      </c>
      <c r="M732" t="s">
        <v>54</v>
      </c>
      <c r="N732" t="s">
        <v>22</v>
      </c>
    </row>
    <row r="733" spans="1:14" x14ac:dyDescent="0.3">
      <c r="A733" t="s">
        <v>794</v>
      </c>
      <c r="B733" s="1">
        <v>45741</v>
      </c>
      <c r="C733" t="s">
        <v>15</v>
      </c>
      <c r="D733" t="s">
        <v>43</v>
      </c>
      <c r="E733" t="s">
        <v>61</v>
      </c>
      <c r="F733" t="s">
        <v>75</v>
      </c>
      <c r="G733">
        <v>5</v>
      </c>
      <c r="H733">
        <v>3394.93</v>
      </c>
      <c r="I733">
        <v>0.18</v>
      </c>
      <c r="J733">
        <v>13919.21</v>
      </c>
      <c r="K733" t="s">
        <v>46</v>
      </c>
      <c r="L733" t="s">
        <v>34</v>
      </c>
      <c r="M733" t="s">
        <v>21</v>
      </c>
      <c r="N733" t="s">
        <v>22</v>
      </c>
    </row>
    <row r="734" spans="1:14" x14ac:dyDescent="0.3">
      <c r="A734" t="s">
        <v>795</v>
      </c>
      <c r="B734" s="1">
        <v>45789</v>
      </c>
      <c r="C734" t="s">
        <v>15</v>
      </c>
      <c r="D734" t="s">
        <v>16</v>
      </c>
      <c r="E734" t="s">
        <v>27</v>
      </c>
      <c r="F734" t="s">
        <v>68</v>
      </c>
      <c r="G734">
        <v>2</v>
      </c>
      <c r="H734">
        <v>3587.04</v>
      </c>
      <c r="I734">
        <v>0.21</v>
      </c>
      <c r="J734">
        <v>5667.52</v>
      </c>
      <c r="K734" t="s">
        <v>41</v>
      </c>
      <c r="L734" t="s">
        <v>20</v>
      </c>
      <c r="M734" t="s">
        <v>54</v>
      </c>
      <c r="N734" t="s">
        <v>22</v>
      </c>
    </row>
    <row r="735" spans="1:14" x14ac:dyDescent="0.3">
      <c r="A735" t="s">
        <v>796</v>
      </c>
      <c r="B735" s="1">
        <v>45842</v>
      </c>
      <c r="C735" t="s">
        <v>52</v>
      </c>
      <c r="D735" t="s">
        <v>25</v>
      </c>
      <c r="E735" t="s">
        <v>61</v>
      </c>
      <c r="F735" t="s">
        <v>92</v>
      </c>
      <c r="G735">
        <v>3</v>
      </c>
      <c r="H735">
        <v>3416.43</v>
      </c>
      <c r="I735">
        <v>0.1</v>
      </c>
      <c r="J735">
        <v>9224.36</v>
      </c>
      <c r="K735" t="s">
        <v>41</v>
      </c>
      <c r="L735" t="s">
        <v>20</v>
      </c>
      <c r="M735" t="s">
        <v>21</v>
      </c>
      <c r="N735" t="s">
        <v>37</v>
      </c>
    </row>
    <row r="736" spans="1:14" x14ac:dyDescent="0.3">
      <c r="A736" t="s">
        <v>797</v>
      </c>
      <c r="B736" s="1">
        <v>45733</v>
      </c>
      <c r="C736" t="s">
        <v>48</v>
      </c>
      <c r="D736" t="s">
        <v>43</v>
      </c>
      <c r="E736" t="s">
        <v>27</v>
      </c>
      <c r="F736" t="s">
        <v>87</v>
      </c>
      <c r="G736">
        <v>4</v>
      </c>
      <c r="H736">
        <v>3685.41</v>
      </c>
      <c r="I736">
        <v>0.1</v>
      </c>
      <c r="J736">
        <v>13267.48</v>
      </c>
      <c r="K736" t="s">
        <v>41</v>
      </c>
      <c r="L736" t="s">
        <v>29</v>
      </c>
      <c r="M736" t="s">
        <v>54</v>
      </c>
      <c r="N736" t="s">
        <v>22</v>
      </c>
    </row>
    <row r="737" spans="1:14" x14ac:dyDescent="0.3">
      <c r="A737" t="s">
        <v>798</v>
      </c>
      <c r="B737" s="1">
        <v>45791</v>
      </c>
      <c r="C737" t="s">
        <v>52</v>
      </c>
      <c r="D737" t="s">
        <v>43</v>
      </c>
      <c r="E737" t="s">
        <v>49</v>
      </c>
      <c r="F737" t="s">
        <v>50</v>
      </c>
      <c r="G737">
        <v>1</v>
      </c>
      <c r="H737">
        <v>3502.91</v>
      </c>
      <c r="I737">
        <v>0.11</v>
      </c>
      <c r="J737">
        <v>3117.59</v>
      </c>
      <c r="K737" t="s">
        <v>33</v>
      </c>
      <c r="L737" t="s">
        <v>29</v>
      </c>
      <c r="M737" t="s">
        <v>54</v>
      </c>
      <c r="N737" t="s">
        <v>37</v>
      </c>
    </row>
    <row r="738" spans="1:14" x14ac:dyDescent="0.3">
      <c r="A738" t="s">
        <v>799</v>
      </c>
      <c r="B738" s="1">
        <v>45805</v>
      </c>
      <c r="C738" t="s">
        <v>36</v>
      </c>
      <c r="D738" t="s">
        <v>43</v>
      </c>
      <c r="E738" t="s">
        <v>99</v>
      </c>
      <c r="F738" t="s">
        <v>120</v>
      </c>
      <c r="G738">
        <v>1</v>
      </c>
      <c r="H738">
        <v>1910.97</v>
      </c>
      <c r="I738">
        <v>7.0000000000000007E-2</v>
      </c>
      <c r="J738">
        <v>1777.2</v>
      </c>
      <c r="K738" t="s">
        <v>41</v>
      </c>
      <c r="L738" t="s">
        <v>20</v>
      </c>
      <c r="M738" t="s">
        <v>21</v>
      </c>
      <c r="N738" t="s">
        <v>22</v>
      </c>
    </row>
    <row r="739" spans="1:14" x14ac:dyDescent="0.3">
      <c r="A739" t="s">
        <v>800</v>
      </c>
      <c r="B739" s="1">
        <v>45835</v>
      </c>
      <c r="C739" t="s">
        <v>15</v>
      </c>
      <c r="D739" t="s">
        <v>25</v>
      </c>
      <c r="E739" t="s">
        <v>99</v>
      </c>
      <c r="F739" t="s">
        <v>111</v>
      </c>
      <c r="G739">
        <v>1</v>
      </c>
      <c r="H739">
        <v>3976.9</v>
      </c>
      <c r="I739">
        <v>0.04</v>
      </c>
      <c r="J739">
        <v>3817.82</v>
      </c>
      <c r="K739" t="s">
        <v>46</v>
      </c>
      <c r="L739" t="s">
        <v>34</v>
      </c>
      <c r="M739" t="s">
        <v>21</v>
      </c>
      <c r="N739" t="s">
        <v>22</v>
      </c>
    </row>
    <row r="740" spans="1:14" x14ac:dyDescent="0.3">
      <c r="A740" t="s">
        <v>801</v>
      </c>
      <c r="B740" s="1">
        <v>45693</v>
      </c>
      <c r="C740" t="s">
        <v>52</v>
      </c>
      <c r="D740" t="s">
        <v>16</v>
      </c>
      <c r="E740" t="s">
        <v>99</v>
      </c>
      <c r="F740" t="s">
        <v>111</v>
      </c>
      <c r="G740">
        <v>4</v>
      </c>
      <c r="H740">
        <v>110.22</v>
      </c>
      <c r="I740">
        <v>0.14000000000000001</v>
      </c>
      <c r="J740">
        <v>379.16</v>
      </c>
      <c r="K740" t="s">
        <v>19</v>
      </c>
      <c r="L740" t="s">
        <v>29</v>
      </c>
      <c r="M740" t="s">
        <v>54</v>
      </c>
      <c r="N740" t="s">
        <v>22</v>
      </c>
    </row>
    <row r="741" spans="1:14" x14ac:dyDescent="0.3">
      <c r="A741" t="s">
        <v>802</v>
      </c>
      <c r="B741" s="1">
        <v>45779</v>
      </c>
      <c r="C741" t="s">
        <v>36</v>
      </c>
      <c r="D741" t="s">
        <v>43</v>
      </c>
      <c r="E741" t="s">
        <v>27</v>
      </c>
      <c r="F741" t="s">
        <v>28</v>
      </c>
      <c r="G741">
        <v>4</v>
      </c>
      <c r="H741">
        <v>2428.61</v>
      </c>
      <c r="I741">
        <v>0.18</v>
      </c>
      <c r="J741">
        <v>7965.84</v>
      </c>
      <c r="K741" t="s">
        <v>41</v>
      </c>
      <c r="L741" t="s">
        <v>34</v>
      </c>
      <c r="M741" t="s">
        <v>21</v>
      </c>
      <c r="N741" t="s">
        <v>88</v>
      </c>
    </row>
    <row r="742" spans="1:14" x14ac:dyDescent="0.3">
      <c r="A742" t="s">
        <v>803</v>
      </c>
      <c r="B742" s="1">
        <v>45770</v>
      </c>
      <c r="C742" t="s">
        <v>48</v>
      </c>
      <c r="D742" t="s">
        <v>25</v>
      </c>
      <c r="E742" t="s">
        <v>27</v>
      </c>
      <c r="F742" t="s">
        <v>87</v>
      </c>
      <c r="G742">
        <v>3</v>
      </c>
      <c r="H742">
        <v>537.64</v>
      </c>
      <c r="I742">
        <v>0.16</v>
      </c>
      <c r="J742">
        <v>1354.85</v>
      </c>
      <c r="K742" t="s">
        <v>41</v>
      </c>
      <c r="L742" t="s">
        <v>20</v>
      </c>
      <c r="M742" t="s">
        <v>21</v>
      </c>
      <c r="N742" t="s">
        <v>22</v>
      </c>
    </row>
    <row r="743" spans="1:14" x14ac:dyDescent="0.3">
      <c r="A743" t="s">
        <v>804</v>
      </c>
      <c r="B743" s="1">
        <v>45718</v>
      </c>
      <c r="C743" t="s">
        <v>36</v>
      </c>
      <c r="D743" t="s">
        <v>16</v>
      </c>
      <c r="E743" t="s">
        <v>49</v>
      </c>
      <c r="F743" t="s">
        <v>53</v>
      </c>
      <c r="G743">
        <v>4</v>
      </c>
      <c r="H743">
        <v>3705.97</v>
      </c>
      <c r="I743">
        <v>0.16</v>
      </c>
      <c r="J743">
        <v>12452.06</v>
      </c>
      <c r="K743" t="s">
        <v>58</v>
      </c>
      <c r="L743" t="s">
        <v>29</v>
      </c>
      <c r="M743" t="s">
        <v>54</v>
      </c>
      <c r="N743" t="s">
        <v>22</v>
      </c>
    </row>
    <row r="744" spans="1:14" x14ac:dyDescent="0.3">
      <c r="A744" t="s">
        <v>805</v>
      </c>
      <c r="B744" s="1">
        <v>45738</v>
      </c>
      <c r="C744" t="s">
        <v>36</v>
      </c>
      <c r="D744" t="s">
        <v>43</v>
      </c>
      <c r="E744" t="s">
        <v>99</v>
      </c>
      <c r="F744" t="s">
        <v>120</v>
      </c>
      <c r="G744">
        <v>5</v>
      </c>
      <c r="H744">
        <v>2754.99</v>
      </c>
      <c r="I744">
        <v>0.19</v>
      </c>
      <c r="J744">
        <v>11157.71</v>
      </c>
      <c r="K744" t="s">
        <v>58</v>
      </c>
      <c r="L744" t="s">
        <v>20</v>
      </c>
      <c r="M744" t="s">
        <v>21</v>
      </c>
      <c r="N744" t="s">
        <v>88</v>
      </c>
    </row>
    <row r="745" spans="1:14" x14ac:dyDescent="0.3">
      <c r="A745" t="s">
        <v>806</v>
      </c>
      <c r="B745" s="1">
        <v>45766</v>
      </c>
      <c r="C745" t="s">
        <v>24</v>
      </c>
      <c r="D745" t="s">
        <v>25</v>
      </c>
      <c r="E745" t="s">
        <v>27</v>
      </c>
      <c r="F745" t="s">
        <v>79</v>
      </c>
      <c r="G745">
        <v>1</v>
      </c>
      <c r="H745">
        <v>1447.32</v>
      </c>
      <c r="I745">
        <v>0.05</v>
      </c>
      <c r="J745">
        <v>1374.95</v>
      </c>
      <c r="K745" t="s">
        <v>33</v>
      </c>
      <c r="L745" t="s">
        <v>20</v>
      </c>
      <c r="M745" t="s">
        <v>21</v>
      </c>
      <c r="N745" t="s">
        <v>22</v>
      </c>
    </row>
    <row r="746" spans="1:14" x14ac:dyDescent="0.3">
      <c r="A746" t="s">
        <v>807</v>
      </c>
      <c r="B746" s="1">
        <v>45821</v>
      </c>
      <c r="C746" t="s">
        <v>48</v>
      </c>
      <c r="D746" t="s">
        <v>43</v>
      </c>
      <c r="E746" t="s">
        <v>27</v>
      </c>
      <c r="F746" t="s">
        <v>28</v>
      </c>
      <c r="G746">
        <v>4</v>
      </c>
      <c r="H746">
        <v>4323.67</v>
      </c>
      <c r="I746">
        <v>0.01</v>
      </c>
      <c r="J746">
        <v>17121.73</v>
      </c>
      <c r="K746" t="s">
        <v>33</v>
      </c>
      <c r="L746" t="s">
        <v>20</v>
      </c>
      <c r="M746" t="s">
        <v>30</v>
      </c>
      <c r="N746" t="s">
        <v>22</v>
      </c>
    </row>
    <row r="747" spans="1:14" x14ac:dyDescent="0.3">
      <c r="A747" t="s">
        <v>808</v>
      </c>
      <c r="B747" s="1">
        <v>45660</v>
      </c>
      <c r="C747" t="s">
        <v>48</v>
      </c>
      <c r="D747" t="s">
        <v>43</v>
      </c>
      <c r="E747" t="s">
        <v>27</v>
      </c>
      <c r="F747" t="s">
        <v>28</v>
      </c>
      <c r="G747">
        <v>1</v>
      </c>
      <c r="H747">
        <v>4900.95</v>
      </c>
      <c r="I747">
        <v>0.14000000000000001</v>
      </c>
      <c r="J747">
        <v>4214.82</v>
      </c>
      <c r="K747" t="s">
        <v>46</v>
      </c>
      <c r="L747" t="s">
        <v>20</v>
      </c>
      <c r="M747" t="s">
        <v>30</v>
      </c>
      <c r="N747" t="s">
        <v>22</v>
      </c>
    </row>
    <row r="748" spans="1:14" x14ac:dyDescent="0.3">
      <c r="A748" t="s">
        <v>809</v>
      </c>
      <c r="B748" s="1">
        <v>45719</v>
      </c>
      <c r="C748" t="s">
        <v>15</v>
      </c>
      <c r="D748" t="s">
        <v>16</v>
      </c>
      <c r="E748" t="s">
        <v>17</v>
      </c>
      <c r="F748" t="s">
        <v>44</v>
      </c>
      <c r="G748">
        <v>2</v>
      </c>
      <c r="H748">
        <v>388.68</v>
      </c>
      <c r="I748">
        <v>0.24</v>
      </c>
      <c r="J748">
        <v>590.79</v>
      </c>
      <c r="K748" t="s">
        <v>41</v>
      </c>
      <c r="L748" t="s">
        <v>29</v>
      </c>
      <c r="M748" t="s">
        <v>54</v>
      </c>
      <c r="N748" t="s">
        <v>22</v>
      </c>
    </row>
    <row r="749" spans="1:14" x14ac:dyDescent="0.3">
      <c r="A749" t="s">
        <v>810</v>
      </c>
      <c r="B749" s="1">
        <v>45715</v>
      </c>
      <c r="C749" t="s">
        <v>24</v>
      </c>
      <c r="D749" t="s">
        <v>16</v>
      </c>
      <c r="E749" t="s">
        <v>99</v>
      </c>
      <c r="F749" t="s">
        <v>115</v>
      </c>
      <c r="G749">
        <v>4</v>
      </c>
      <c r="H749">
        <v>4475.75</v>
      </c>
      <c r="I749">
        <v>0.06</v>
      </c>
      <c r="J749">
        <v>16828.82</v>
      </c>
      <c r="K749" t="s">
        <v>46</v>
      </c>
      <c r="L749" t="s">
        <v>20</v>
      </c>
      <c r="M749" t="s">
        <v>54</v>
      </c>
      <c r="N749" t="s">
        <v>22</v>
      </c>
    </row>
    <row r="750" spans="1:14" x14ac:dyDescent="0.3">
      <c r="A750" t="s">
        <v>811</v>
      </c>
      <c r="B750" s="1">
        <v>45700</v>
      </c>
      <c r="C750" t="s">
        <v>48</v>
      </c>
      <c r="D750" t="s">
        <v>25</v>
      </c>
      <c r="E750" t="s">
        <v>27</v>
      </c>
      <c r="F750" t="s">
        <v>68</v>
      </c>
      <c r="G750">
        <v>4</v>
      </c>
      <c r="H750">
        <v>4751.8500000000004</v>
      </c>
      <c r="I750">
        <v>7.0000000000000007E-2</v>
      </c>
      <c r="J750">
        <v>17676.88</v>
      </c>
      <c r="K750" t="s">
        <v>33</v>
      </c>
      <c r="L750" t="s">
        <v>29</v>
      </c>
      <c r="M750" t="s">
        <v>30</v>
      </c>
      <c r="N750" t="s">
        <v>22</v>
      </c>
    </row>
    <row r="751" spans="1:14" x14ac:dyDescent="0.3">
      <c r="A751" t="s">
        <v>812</v>
      </c>
      <c r="B751" s="1">
        <v>45743</v>
      </c>
      <c r="C751" t="s">
        <v>24</v>
      </c>
      <c r="D751" t="s">
        <v>16</v>
      </c>
      <c r="E751" t="s">
        <v>17</v>
      </c>
      <c r="F751" t="s">
        <v>40</v>
      </c>
      <c r="G751">
        <v>2</v>
      </c>
      <c r="H751">
        <v>4577.3</v>
      </c>
      <c r="I751">
        <v>0</v>
      </c>
      <c r="J751">
        <v>9154.6</v>
      </c>
      <c r="K751" t="s">
        <v>41</v>
      </c>
      <c r="L751" t="s">
        <v>29</v>
      </c>
      <c r="M751" t="s">
        <v>21</v>
      </c>
      <c r="N751" t="s">
        <v>22</v>
      </c>
    </row>
    <row r="752" spans="1:14" x14ac:dyDescent="0.3">
      <c r="A752" t="s">
        <v>813</v>
      </c>
      <c r="B752" s="1">
        <v>45812</v>
      </c>
      <c r="C752" t="s">
        <v>15</v>
      </c>
      <c r="D752" t="s">
        <v>43</v>
      </c>
      <c r="E752" t="s">
        <v>27</v>
      </c>
      <c r="F752" t="s">
        <v>68</v>
      </c>
      <c r="G752">
        <v>4</v>
      </c>
      <c r="H752">
        <v>511.15</v>
      </c>
      <c r="I752">
        <v>0.16</v>
      </c>
      <c r="J752">
        <v>1717.46</v>
      </c>
      <c r="K752" t="s">
        <v>33</v>
      </c>
      <c r="L752" t="s">
        <v>34</v>
      </c>
      <c r="M752" t="s">
        <v>54</v>
      </c>
      <c r="N752" t="s">
        <v>22</v>
      </c>
    </row>
    <row r="753" spans="1:14" x14ac:dyDescent="0.3">
      <c r="A753" t="s">
        <v>814</v>
      </c>
      <c r="B753" s="1">
        <v>45772</v>
      </c>
      <c r="C753" t="s">
        <v>36</v>
      </c>
      <c r="D753" t="s">
        <v>39</v>
      </c>
      <c r="E753" t="s">
        <v>61</v>
      </c>
      <c r="F753" t="s">
        <v>75</v>
      </c>
      <c r="G753">
        <v>4</v>
      </c>
      <c r="H753">
        <v>304.77999999999997</v>
      </c>
      <c r="I753">
        <v>0.2</v>
      </c>
      <c r="J753">
        <v>975.3</v>
      </c>
      <c r="K753" t="s">
        <v>41</v>
      </c>
      <c r="L753" t="s">
        <v>29</v>
      </c>
      <c r="M753" t="s">
        <v>21</v>
      </c>
      <c r="N753" t="s">
        <v>22</v>
      </c>
    </row>
    <row r="754" spans="1:14" x14ac:dyDescent="0.3">
      <c r="A754" t="s">
        <v>815</v>
      </c>
      <c r="B754" s="1">
        <v>45777</v>
      </c>
      <c r="C754" t="s">
        <v>24</v>
      </c>
      <c r="D754" t="s">
        <v>43</v>
      </c>
      <c r="E754" t="s">
        <v>61</v>
      </c>
      <c r="F754" t="s">
        <v>62</v>
      </c>
      <c r="G754">
        <v>5</v>
      </c>
      <c r="H754">
        <v>1329.36</v>
      </c>
      <c r="I754">
        <v>0.17</v>
      </c>
      <c r="J754">
        <v>5516.84</v>
      </c>
      <c r="K754" t="s">
        <v>41</v>
      </c>
      <c r="L754" t="s">
        <v>34</v>
      </c>
      <c r="M754" t="s">
        <v>30</v>
      </c>
      <c r="N754" t="s">
        <v>22</v>
      </c>
    </row>
    <row r="755" spans="1:14" x14ac:dyDescent="0.3">
      <c r="A755" t="s">
        <v>816</v>
      </c>
      <c r="B755" s="1">
        <v>45787</v>
      </c>
      <c r="C755" t="s">
        <v>24</v>
      </c>
      <c r="D755" t="s">
        <v>16</v>
      </c>
      <c r="E755" t="s">
        <v>27</v>
      </c>
      <c r="F755" t="s">
        <v>28</v>
      </c>
      <c r="G755">
        <v>5</v>
      </c>
      <c r="H755">
        <v>2859.1</v>
      </c>
      <c r="I755">
        <v>0.08</v>
      </c>
      <c r="J755">
        <v>13151.86</v>
      </c>
      <c r="K755" t="s">
        <v>19</v>
      </c>
      <c r="L755" t="s">
        <v>29</v>
      </c>
      <c r="M755" t="s">
        <v>30</v>
      </c>
      <c r="N755" t="s">
        <v>88</v>
      </c>
    </row>
    <row r="756" spans="1:14" x14ac:dyDescent="0.3">
      <c r="A756" t="s">
        <v>817</v>
      </c>
      <c r="B756" s="1">
        <v>45722</v>
      </c>
      <c r="C756" t="s">
        <v>48</v>
      </c>
      <c r="D756" t="s">
        <v>39</v>
      </c>
      <c r="E756" t="s">
        <v>27</v>
      </c>
      <c r="F756" t="s">
        <v>28</v>
      </c>
      <c r="G756">
        <v>5</v>
      </c>
      <c r="H756">
        <v>4791.34</v>
      </c>
      <c r="I756">
        <v>0.08</v>
      </c>
      <c r="J756">
        <v>22040.16</v>
      </c>
      <c r="K756" t="s">
        <v>19</v>
      </c>
      <c r="L756" t="s">
        <v>29</v>
      </c>
      <c r="M756" t="s">
        <v>21</v>
      </c>
      <c r="N756" t="s">
        <v>22</v>
      </c>
    </row>
    <row r="757" spans="1:14" x14ac:dyDescent="0.3">
      <c r="A757" t="s">
        <v>818</v>
      </c>
      <c r="B757" s="1">
        <v>45750</v>
      </c>
      <c r="C757" t="s">
        <v>52</v>
      </c>
      <c r="D757" t="s">
        <v>43</v>
      </c>
      <c r="E757" t="s">
        <v>49</v>
      </c>
      <c r="F757" t="s">
        <v>53</v>
      </c>
      <c r="G757">
        <v>2</v>
      </c>
      <c r="H757">
        <v>2353.02</v>
      </c>
      <c r="I757">
        <v>0.15</v>
      </c>
      <c r="J757">
        <v>4000.13</v>
      </c>
      <c r="K757" t="s">
        <v>46</v>
      </c>
      <c r="L757" t="s">
        <v>34</v>
      </c>
      <c r="M757" t="s">
        <v>54</v>
      </c>
      <c r="N757" t="s">
        <v>22</v>
      </c>
    </row>
    <row r="758" spans="1:14" x14ac:dyDescent="0.3">
      <c r="A758" t="s">
        <v>819</v>
      </c>
      <c r="B758" s="1">
        <v>45745</v>
      </c>
      <c r="C758" t="s">
        <v>24</v>
      </c>
      <c r="D758" t="s">
        <v>25</v>
      </c>
      <c r="E758" t="s">
        <v>17</v>
      </c>
      <c r="F758" t="s">
        <v>40</v>
      </c>
      <c r="G758">
        <v>2</v>
      </c>
      <c r="H758">
        <v>2124.5</v>
      </c>
      <c r="I758">
        <v>0.22</v>
      </c>
      <c r="J758">
        <v>3314.22</v>
      </c>
      <c r="K758" t="s">
        <v>58</v>
      </c>
      <c r="L758" t="s">
        <v>29</v>
      </c>
      <c r="M758" t="s">
        <v>21</v>
      </c>
      <c r="N758" t="s">
        <v>88</v>
      </c>
    </row>
    <row r="759" spans="1:14" x14ac:dyDescent="0.3">
      <c r="A759" t="s">
        <v>820</v>
      </c>
      <c r="B759" s="1">
        <v>45745</v>
      </c>
      <c r="C759" t="s">
        <v>24</v>
      </c>
      <c r="D759" t="s">
        <v>39</v>
      </c>
      <c r="E759" t="s">
        <v>27</v>
      </c>
      <c r="F759" t="s">
        <v>79</v>
      </c>
      <c r="G759">
        <v>4</v>
      </c>
      <c r="H759">
        <v>3394</v>
      </c>
      <c r="I759">
        <v>0.09</v>
      </c>
      <c r="J759">
        <v>12354.16</v>
      </c>
      <c r="K759" t="s">
        <v>33</v>
      </c>
      <c r="L759" t="s">
        <v>20</v>
      </c>
      <c r="M759" t="s">
        <v>30</v>
      </c>
      <c r="N759" t="s">
        <v>22</v>
      </c>
    </row>
    <row r="760" spans="1:14" x14ac:dyDescent="0.3">
      <c r="A760" t="s">
        <v>821</v>
      </c>
      <c r="B760" s="1">
        <v>45791</v>
      </c>
      <c r="C760" t="s">
        <v>48</v>
      </c>
      <c r="D760" t="s">
        <v>39</v>
      </c>
      <c r="E760" t="s">
        <v>17</v>
      </c>
      <c r="F760" t="s">
        <v>18</v>
      </c>
      <c r="G760">
        <v>4</v>
      </c>
      <c r="H760">
        <v>145.88</v>
      </c>
      <c r="I760">
        <v>0.19</v>
      </c>
      <c r="J760">
        <v>472.65</v>
      </c>
      <c r="K760" t="s">
        <v>46</v>
      </c>
      <c r="L760" t="s">
        <v>20</v>
      </c>
      <c r="M760" t="s">
        <v>30</v>
      </c>
      <c r="N760" t="s">
        <v>22</v>
      </c>
    </row>
    <row r="761" spans="1:14" x14ac:dyDescent="0.3">
      <c r="A761" t="s">
        <v>822</v>
      </c>
      <c r="B761" s="1">
        <v>45701</v>
      </c>
      <c r="C761" t="s">
        <v>52</v>
      </c>
      <c r="D761" t="s">
        <v>43</v>
      </c>
      <c r="E761" t="s">
        <v>27</v>
      </c>
      <c r="F761" t="s">
        <v>28</v>
      </c>
      <c r="G761">
        <v>3</v>
      </c>
      <c r="H761">
        <v>280.3</v>
      </c>
      <c r="I761">
        <v>0.12</v>
      </c>
      <c r="J761">
        <v>739.99</v>
      </c>
      <c r="K761" t="s">
        <v>19</v>
      </c>
      <c r="L761" t="s">
        <v>34</v>
      </c>
      <c r="M761" t="s">
        <v>21</v>
      </c>
      <c r="N761" t="s">
        <v>22</v>
      </c>
    </row>
    <row r="762" spans="1:14" x14ac:dyDescent="0.3">
      <c r="A762" t="s">
        <v>823</v>
      </c>
      <c r="B762" s="1">
        <v>45759</v>
      </c>
      <c r="C762" t="s">
        <v>15</v>
      </c>
      <c r="D762" t="s">
        <v>43</v>
      </c>
      <c r="E762" t="s">
        <v>49</v>
      </c>
      <c r="F762" t="s">
        <v>56</v>
      </c>
      <c r="G762">
        <v>4</v>
      </c>
      <c r="H762">
        <v>935.34</v>
      </c>
      <c r="I762">
        <v>0.05</v>
      </c>
      <c r="J762">
        <v>3554.29</v>
      </c>
      <c r="K762" t="s">
        <v>33</v>
      </c>
      <c r="L762" t="s">
        <v>29</v>
      </c>
      <c r="M762" t="s">
        <v>21</v>
      </c>
      <c r="N762" t="s">
        <v>22</v>
      </c>
    </row>
    <row r="763" spans="1:14" x14ac:dyDescent="0.3">
      <c r="A763" t="s">
        <v>824</v>
      </c>
      <c r="B763" s="1">
        <v>45751</v>
      </c>
      <c r="C763" t="s">
        <v>52</v>
      </c>
      <c r="D763" t="s">
        <v>43</v>
      </c>
      <c r="E763" t="s">
        <v>61</v>
      </c>
      <c r="F763" t="s">
        <v>62</v>
      </c>
      <c r="G763">
        <v>2</v>
      </c>
      <c r="H763">
        <v>4416.92</v>
      </c>
      <c r="I763">
        <v>0.18</v>
      </c>
      <c r="J763">
        <v>7243.75</v>
      </c>
      <c r="K763" t="s">
        <v>46</v>
      </c>
      <c r="L763" t="s">
        <v>29</v>
      </c>
      <c r="M763" t="s">
        <v>30</v>
      </c>
      <c r="N763" t="s">
        <v>88</v>
      </c>
    </row>
    <row r="764" spans="1:14" x14ac:dyDescent="0.3">
      <c r="A764" t="s">
        <v>825</v>
      </c>
      <c r="B764" s="1">
        <v>45814</v>
      </c>
      <c r="C764" t="s">
        <v>36</v>
      </c>
      <c r="D764" t="s">
        <v>39</v>
      </c>
      <c r="E764" t="s">
        <v>17</v>
      </c>
      <c r="F764" t="s">
        <v>32</v>
      </c>
      <c r="G764">
        <v>4</v>
      </c>
      <c r="H764">
        <v>3240.73</v>
      </c>
      <c r="I764">
        <v>0.24</v>
      </c>
      <c r="J764">
        <v>9851.82</v>
      </c>
      <c r="K764" t="s">
        <v>41</v>
      </c>
      <c r="L764" t="s">
        <v>20</v>
      </c>
      <c r="M764" t="s">
        <v>54</v>
      </c>
      <c r="N764" t="s">
        <v>22</v>
      </c>
    </row>
    <row r="765" spans="1:14" x14ac:dyDescent="0.3">
      <c r="A765" t="s">
        <v>826</v>
      </c>
      <c r="B765" s="1">
        <v>45834</v>
      </c>
      <c r="C765" t="s">
        <v>24</v>
      </c>
      <c r="D765" t="s">
        <v>43</v>
      </c>
      <c r="E765" t="s">
        <v>49</v>
      </c>
      <c r="F765" t="s">
        <v>53</v>
      </c>
      <c r="G765">
        <v>4</v>
      </c>
      <c r="H765">
        <v>1871.21</v>
      </c>
      <c r="I765">
        <v>0.19</v>
      </c>
      <c r="J765">
        <v>6062.72</v>
      </c>
      <c r="K765" t="s">
        <v>33</v>
      </c>
      <c r="L765" t="s">
        <v>34</v>
      </c>
      <c r="M765" t="s">
        <v>21</v>
      </c>
      <c r="N765" t="s">
        <v>22</v>
      </c>
    </row>
    <row r="766" spans="1:14" x14ac:dyDescent="0.3">
      <c r="A766" t="s">
        <v>827</v>
      </c>
      <c r="B766" s="1">
        <v>45814</v>
      </c>
      <c r="C766" t="s">
        <v>15</v>
      </c>
      <c r="D766" t="s">
        <v>43</v>
      </c>
      <c r="E766" t="s">
        <v>49</v>
      </c>
      <c r="F766" t="s">
        <v>50</v>
      </c>
      <c r="G766">
        <v>2</v>
      </c>
      <c r="H766">
        <v>1740.06</v>
      </c>
      <c r="I766">
        <v>0.22</v>
      </c>
      <c r="J766">
        <v>2714.49</v>
      </c>
      <c r="K766" t="s">
        <v>58</v>
      </c>
      <c r="L766" t="s">
        <v>34</v>
      </c>
      <c r="M766" t="s">
        <v>54</v>
      </c>
      <c r="N766" t="s">
        <v>59</v>
      </c>
    </row>
    <row r="767" spans="1:14" x14ac:dyDescent="0.3">
      <c r="A767" t="s">
        <v>828</v>
      </c>
      <c r="B767" s="1">
        <v>45802</v>
      </c>
      <c r="C767" t="s">
        <v>52</v>
      </c>
      <c r="D767" t="s">
        <v>16</v>
      </c>
      <c r="E767" t="s">
        <v>49</v>
      </c>
      <c r="F767" t="s">
        <v>56</v>
      </c>
      <c r="G767">
        <v>3</v>
      </c>
      <c r="H767">
        <v>1622.95</v>
      </c>
      <c r="I767">
        <v>0.16</v>
      </c>
      <c r="J767">
        <v>4089.83</v>
      </c>
      <c r="K767" t="s">
        <v>19</v>
      </c>
      <c r="L767" t="s">
        <v>20</v>
      </c>
      <c r="M767" t="s">
        <v>54</v>
      </c>
      <c r="N767" t="s">
        <v>22</v>
      </c>
    </row>
    <row r="768" spans="1:14" x14ac:dyDescent="0.3">
      <c r="A768" t="s">
        <v>829</v>
      </c>
      <c r="B768" s="1">
        <v>45692</v>
      </c>
      <c r="C768" t="s">
        <v>15</v>
      </c>
      <c r="D768" t="s">
        <v>39</v>
      </c>
      <c r="E768" t="s">
        <v>17</v>
      </c>
      <c r="F768" t="s">
        <v>32</v>
      </c>
      <c r="G768">
        <v>4</v>
      </c>
      <c r="H768">
        <v>1267.96</v>
      </c>
      <c r="I768">
        <v>0.09</v>
      </c>
      <c r="J768">
        <v>4615.37</v>
      </c>
      <c r="K768" t="s">
        <v>19</v>
      </c>
      <c r="L768" t="s">
        <v>20</v>
      </c>
      <c r="M768" t="s">
        <v>54</v>
      </c>
      <c r="N768" t="s">
        <v>22</v>
      </c>
    </row>
    <row r="769" spans="1:14" x14ac:dyDescent="0.3">
      <c r="A769" t="s">
        <v>830</v>
      </c>
      <c r="B769" s="1">
        <v>45787</v>
      </c>
      <c r="C769" t="s">
        <v>36</v>
      </c>
      <c r="D769" t="s">
        <v>16</v>
      </c>
      <c r="E769" t="s">
        <v>61</v>
      </c>
      <c r="F769" t="s">
        <v>62</v>
      </c>
      <c r="G769">
        <v>1</v>
      </c>
      <c r="H769">
        <v>3164.21</v>
      </c>
      <c r="I769">
        <v>0.14000000000000001</v>
      </c>
      <c r="J769">
        <v>2721.22</v>
      </c>
      <c r="K769" t="s">
        <v>33</v>
      </c>
      <c r="L769" t="s">
        <v>34</v>
      </c>
      <c r="M769" t="s">
        <v>54</v>
      </c>
      <c r="N769" t="s">
        <v>37</v>
      </c>
    </row>
    <row r="770" spans="1:14" x14ac:dyDescent="0.3">
      <c r="A770" t="s">
        <v>831</v>
      </c>
      <c r="B770" s="1">
        <v>45676</v>
      </c>
      <c r="C770" t="s">
        <v>24</v>
      </c>
      <c r="D770" t="s">
        <v>16</v>
      </c>
      <c r="E770" t="s">
        <v>49</v>
      </c>
      <c r="F770" t="s">
        <v>53</v>
      </c>
      <c r="G770">
        <v>4</v>
      </c>
      <c r="H770">
        <v>368.47</v>
      </c>
      <c r="I770">
        <v>0.15</v>
      </c>
      <c r="J770">
        <v>1252.8</v>
      </c>
      <c r="K770" t="s">
        <v>19</v>
      </c>
      <c r="L770" t="s">
        <v>20</v>
      </c>
      <c r="M770" t="s">
        <v>30</v>
      </c>
      <c r="N770" t="s">
        <v>22</v>
      </c>
    </row>
    <row r="771" spans="1:14" x14ac:dyDescent="0.3">
      <c r="A771" t="s">
        <v>832</v>
      </c>
      <c r="B771" s="1">
        <v>45715</v>
      </c>
      <c r="C771" t="s">
        <v>15</v>
      </c>
      <c r="D771" t="s">
        <v>16</v>
      </c>
      <c r="E771" t="s">
        <v>17</v>
      </c>
      <c r="F771" t="s">
        <v>18</v>
      </c>
      <c r="G771">
        <v>1</v>
      </c>
      <c r="H771">
        <v>3124.78</v>
      </c>
      <c r="I771">
        <v>0.1</v>
      </c>
      <c r="J771">
        <v>2812.3</v>
      </c>
      <c r="K771" t="s">
        <v>41</v>
      </c>
      <c r="L771" t="s">
        <v>34</v>
      </c>
      <c r="M771" t="s">
        <v>21</v>
      </c>
      <c r="N771" t="s">
        <v>22</v>
      </c>
    </row>
    <row r="772" spans="1:14" x14ac:dyDescent="0.3">
      <c r="A772" t="s">
        <v>833</v>
      </c>
      <c r="B772" s="1">
        <v>45760</v>
      </c>
      <c r="C772" t="s">
        <v>36</v>
      </c>
      <c r="D772" t="s">
        <v>25</v>
      </c>
      <c r="E772" t="s">
        <v>49</v>
      </c>
      <c r="F772" t="s">
        <v>50</v>
      </c>
      <c r="G772">
        <v>3</v>
      </c>
      <c r="H772">
        <v>3289.51</v>
      </c>
      <c r="I772">
        <v>0.17</v>
      </c>
      <c r="J772">
        <v>8190.88</v>
      </c>
      <c r="K772" t="s">
        <v>33</v>
      </c>
      <c r="L772" t="s">
        <v>20</v>
      </c>
      <c r="M772" t="s">
        <v>54</v>
      </c>
      <c r="N772" t="s">
        <v>22</v>
      </c>
    </row>
    <row r="773" spans="1:14" x14ac:dyDescent="0.3">
      <c r="A773" t="s">
        <v>834</v>
      </c>
      <c r="B773" s="1">
        <v>45788</v>
      </c>
      <c r="C773" t="s">
        <v>24</v>
      </c>
      <c r="D773" t="s">
        <v>43</v>
      </c>
      <c r="E773" t="s">
        <v>27</v>
      </c>
      <c r="F773" t="s">
        <v>68</v>
      </c>
      <c r="G773">
        <v>5</v>
      </c>
      <c r="H773">
        <v>3595.17</v>
      </c>
      <c r="I773">
        <v>0.15</v>
      </c>
      <c r="J773">
        <v>15279.47</v>
      </c>
      <c r="K773" t="s">
        <v>58</v>
      </c>
      <c r="L773" t="s">
        <v>20</v>
      </c>
      <c r="M773" t="s">
        <v>54</v>
      </c>
      <c r="N773" t="s">
        <v>22</v>
      </c>
    </row>
    <row r="774" spans="1:14" x14ac:dyDescent="0.3">
      <c r="A774" t="s">
        <v>835</v>
      </c>
      <c r="B774" s="1">
        <v>45782</v>
      </c>
      <c r="C774" t="s">
        <v>48</v>
      </c>
      <c r="D774" t="s">
        <v>16</v>
      </c>
      <c r="E774" t="s">
        <v>99</v>
      </c>
      <c r="F774" t="s">
        <v>111</v>
      </c>
      <c r="G774">
        <v>5</v>
      </c>
      <c r="H774">
        <v>2278.66</v>
      </c>
      <c r="I774">
        <v>0.06</v>
      </c>
      <c r="J774">
        <v>10709.7</v>
      </c>
      <c r="K774" t="s">
        <v>41</v>
      </c>
      <c r="L774" t="s">
        <v>29</v>
      </c>
      <c r="M774" t="s">
        <v>54</v>
      </c>
      <c r="N774" t="s">
        <v>22</v>
      </c>
    </row>
    <row r="775" spans="1:14" x14ac:dyDescent="0.3">
      <c r="A775" t="s">
        <v>836</v>
      </c>
      <c r="B775" s="1">
        <v>45780</v>
      </c>
      <c r="C775" t="s">
        <v>36</v>
      </c>
      <c r="D775" t="s">
        <v>25</v>
      </c>
      <c r="E775" t="s">
        <v>27</v>
      </c>
      <c r="F775" t="s">
        <v>87</v>
      </c>
      <c r="G775">
        <v>5</v>
      </c>
      <c r="H775">
        <v>4437.59</v>
      </c>
      <c r="I775">
        <v>0.19</v>
      </c>
      <c r="J775">
        <v>17972.240000000002</v>
      </c>
      <c r="K775" t="s">
        <v>46</v>
      </c>
      <c r="L775" t="s">
        <v>34</v>
      </c>
      <c r="M775" t="s">
        <v>54</v>
      </c>
      <c r="N775" t="s">
        <v>22</v>
      </c>
    </row>
    <row r="776" spans="1:14" x14ac:dyDescent="0.3">
      <c r="A776" t="s">
        <v>837</v>
      </c>
      <c r="B776" s="1">
        <v>45725</v>
      </c>
      <c r="C776" t="s">
        <v>15</v>
      </c>
      <c r="D776" t="s">
        <v>16</v>
      </c>
      <c r="E776" t="s">
        <v>99</v>
      </c>
      <c r="F776" t="s">
        <v>111</v>
      </c>
      <c r="G776">
        <v>5</v>
      </c>
      <c r="H776">
        <v>3322.62</v>
      </c>
      <c r="I776">
        <v>0.04</v>
      </c>
      <c r="J776">
        <v>15948.58</v>
      </c>
      <c r="K776" t="s">
        <v>58</v>
      </c>
      <c r="L776" t="s">
        <v>29</v>
      </c>
      <c r="M776" t="s">
        <v>54</v>
      </c>
      <c r="N776" t="s">
        <v>22</v>
      </c>
    </row>
    <row r="777" spans="1:14" x14ac:dyDescent="0.3">
      <c r="A777" t="s">
        <v>838</v>
      </c>
      <c r="B777" s="1">
        <v>45678</v>
      </c>
      <c r="C777" t="s">
        <v>52</v>
      </c>
      <c r="D777" t="s">
        <v>39</v>
      </c>
      <c r="E777" t="s">
        <v>61</v>
      </c>
      <c r="F777" t="s">
        <v>75</v>
      </c>
      <c r="G777">
        <v>2</v>
      </c>
      <c r="H777">
        <v>3372.51</v>
      </c>
      <c r="I777">
        <v>0.17</v>
      </c>
      <c r="J777">
        <v>5598.37</v>
      </c>
      <c r="K777" t="s">
        <v>58</v>
      </c>
      <c r="L777" t="s">
        <v>34</v>
      </c>
      <c r="M777" t="s">
        <v>30</v>
      </c>
      <c r="N777" t="s">
        <v>37</v>
      </c>
    </row>
    <row r="778" spans="1:14" x14ac:dyDescent="0.3">
      <c r="A778" t="s">
        <v>839</v>
      </c>
      <c r="B778" s="1">
        <v>45818</v>
      </c>
      <c r="C778" t="s">
        <v>36</v>
      </c>
      <c r="D778" t="s">
        <v>25</v>
      </c>
      <c r="E778" t="s">
        <v>27</v>
      </c>
      <c r="F778" t="s">
        <v>28</v>
      </c>
      <c r="G778">
        <v>3</v>
      </c>
      <c r="H778">
        <v>895.17</v>
      </c>
      <c r="I778">
        <v>0.11</v>
      </c>
      <c r="J778">
        <v>2390.1</v>
      </c>
      <c r="K778" t="s">
        <v>46</v>
      </c>
      <c r="L778" t="s">
        <v>34</v>
      </c>
      <c r="M778" t="s">
        <v>54</v>
      </c>
      <c r="N778" t="s">
        <v>22</v>
      </c>
    </row>
    <row r="779" spans="1:14" x14ac:dyDescent="0.3">
      <c r="A779" t="s">
        <v>840</v>
      </c>
      <c r="B779" s="1">
        <v>45805</v>
      </c>
      <c r="C779" t="s">
        <v>52</v>
      </c>
      <c r="D779" t="s">
        <v>25</v>
      </c>
      <c r="E779" t="s">
        <v>17</v>
      </c>
      <c r="F779" t="s">
        <v>44</v>
      </c>
      <c r="G779">
        <v>2</v>
      </c>
      <c r="H779">
        <v>1271.19</v>
      </c>
      <c r="I779">
        <v>0.18</v>
      </c>
      <c r="J779">
        <v>2084.75</v>
      </c>
      <c r="K779" t="s">
        <v>41</v>
      </c>
      <c r="L779" t="s">
        <v>29</v>
      </c>
      <c r="M779" t="s">
        <v>30</v>
      </c>
      <c r="N779" t="s">
        <v>22</v>
      </c>
    </row>
    <row r="780" spans="1:14" x14ac:dyDescent="0.3">
      <c r="A780" t="s">
        <v>841</v>
      </c>
      <c r="B780" s="1">
        <v>45705</v>
      </c>
      <c r="C780" t="s">
        <v>15</v>
      </c>
      <c r="D780" t="s">
        <v>25</v>
      </c>
      <c r="E780" t="s">
        <v>61</v>
      </c>
      <c r="F780" t="s">
        <v>62</v>
      </c>
      <c r="G780">
        <v>3</v>
      </c>
      <c r="H780">
        <v>247.09</v>
      </c>
      <c r="I780">
        <v>0.03</v>
      </c>
      <c r="J780">
        <v>719.03</v>
      </c>
      <c r="K780" t="s">
        <v>58</v>
      </c>
      <c r="L780" t="s">
        <v>20</v>
      </c>
      <c r="M780" t="s">
        <v>30</v>
      </c>
      <c r="N780" t="s">
        <v>22</v>
      </c>
    </row>
    <row r="781" spans="1:14" x14ac:dyDescent="0.3">
      <c r="A781" t="s">
        <v>842</v>
      </c>
      <c r="B781" s="1">
        <v>45790</v>
      </c>
      <c r="C781" t="s">
        <v>24</v>
      </c>
      <c r="D781" t="s">
        <v>43</v>
      </c>
      <c r="E781" t="s">
        <v>27</v>
      </c>
      <c r="F781" t="s">
        <v>28</v>
      </c>
      <c r="G781">
        <v>2</v>
      </c>
      <c r="H781">
        <v>1492.09</v>
      </c>
      <c r="I781">
        <v>0.05</v>
      </c>
      <c r="J781">
        <v>2834.97</v>
      </c>
      <c r="K781" t="s">
        <v>58</v>
      </c>
      <c r="L781" t="s">
        <v>20</v>
      </c>
      <c r="M781" t="s">
        <v>30</v>
      </c>
      <c r="N781" t="s">
        <v>22</v>
      </c>
    </row>
    <row r="782" spans="1:14" x14ac:dyDescent="0.3">
      <c r="A782" t="s">
        <v>843</v>
      </c>
      <c r="B782" s="1">
        <v>45720</v>
      </c>
      <c r="C782" t="s">
        <v>52</v>
      </c>
      <c r="D782" t="s">
        <v>43</v>
      </c>
      <c r="E782" t="s">
        <v>27</v>
      </c>
      <c r="F782" t="s">
        <v>68</v>
      </c>
      <c r="G782">
        <v>2</v>
      </c>
      <c r="H782">
        <v>4230.12</v>
      </c>
      <c r="I782">
        <v>0.23</v>
      </c>
      <c r="J782">
        <v>6514.38</v>
      </c>
      <c r="K782" t="s">
        <v>19</v>
      </c>
      <c r="L782" t="s">
        <v>20</v>
      </c>
      <c r="M782" t="s">
        <v>54</v>
      </c>
      <c r="N782" t="s">
        <v>22</v>
      </c>
    </row>
    <row r="783" spans="1:14" x14ac:dyDescent="0.3">
      <c r="A783" t="s">
        <v>844</v>
      </c>
      <c r="B783" s="1">
        <v>45703</v>
      </c>
      <c r="C783" t="s">
        <v>52</v>
      </c>
      <c r="D783" t="s">
        <v>25</v>
      </c>
      <c r="E783" t="s">
        <v>17</v>
      </c>
      <c r="F783" t="s">
        <v>32</v>
      </c>
      <c r="G783">
        <v>2</v>
      </c>
      <c r="H783">
        <v>1911.24</v>
      </c>
      <c r="I783">
        <v>0.09</v>
      </c>
      <c r="J783">
        <v>3478.46</v>
      </c>
      <c r="K783" t="s">
        <v>46</v>
      </c>
      <c r="L783" t="s">
        <v>34</v>
      </c>
      <c r="M783" t="s">
        <v>54</v>
      </c>
      <c r="N783" t="s">
        <v>37</v>
      </c>
    </row>
    <row r="784" spans="1:14" x14ac:dyDescent="0.3">
      <c r="A784" t="s">
        <v>845</v>
      </c>
      <c r="B784" s="1">
        <v>45816</v>
      </c>
      <c r="C784" t="s">
        <v>52</v>
      </c>
      <c r="D784" t="s">
        <v>25</v>
      </c>
      <c r="E784" t="s">
        <v>17</v>
      </c>
      <c r="F784" t="s">
        <v>18</v>
      </c>
      <c r="G784">
        <v>2</v>
      </c>
      <c r="H784">
        <v>2709.52</v>
      </c>
      <c r="I784">
        <v>0.17</v>
      </c>
      <c r="J784">
        <v>4497.8</v>
      </c>
      <c r="K784" t="s">
        <v>19</v>
      </c>
      <c r="L784" t="s">
        <v>20</v>
      </c>
      <c r="M784" t="s">
        <v>30</v>
      </c>
      <c r="N784" t="s">
        <v>59</v>
      </c>
    </row>
    <row r="785" spans="1:14" x14ac:dyDescent="0.3">
      <c r="A785" t="s">
        <v>846</v>
      </c>
      <c r="B785" s="1">
        <v>45698</v>
      </c>
      <c r="C785" t="s">
        <v>36</v>
      </c>
      <c r="D785" t="s">
        <v>16</v>
      </c>
      <c r="E785" t="s">
        <v>61</v>
      </c>
      <c r="F785" t="s">
        <v>62</v>
      </c>
      <c r="G785">
        <v>5</v>
      </c>
      <c r="H785">
        <v>1541.5</v>
      </c>
      <c r="I785">
        <v>0.04</v>
      </c>
      <c r="J785">
        <v>7399.2</v>
      </c>
      <c r="K785" t="s">
        <v>33</v>
      </c>
      <c r="L785" t="s">
        <v>20</v>
      </c>
      <c r="M785" t="s">
        <v>54</v>
      </c>
      <c r="N785" t="s">
        <v>22</v>
      </c>
    </row>
    <row r="786" spans="1:14" x14ac:dyDescent="0.3">
      <c r="A786" t="s">
        <v>847</v>
      </c>
      <c r="B786" s="1">
        <v>45688</v>
      </c>
      <c r="C786" t="s">
        <v>36</v>
      </c>
      <c r="D786" t="s">
        <v>16</v>
      </c>
      <c r="E786" t="s">
        <v>99</v>
      </c>
      <c r="F786" t="s">
        <v>100</v>
      </c>
      <c r="G786">
        <v>2</v>
      </c>
      <c r="H786">
        <v>3663.76</v>
      </c>
      <c r="I786">
        <v>0.2</v>
      </c>
      <c r="J786">
        <v>5862.02</v>
      </c>
      <c r="K786" t="s">
        <v>33</v>
      </c>
      <c r="L786" t="s">
        <v>34</v>
      </c>
      <c r="M786" t="s">
        <v>21</v>
      </c>
      <c r="N786" t="s">
        <v>22</v>
      </c>
    </row>
    <row r="787" spans="1:14" x14ac:dyDescent="0.3">
      <c r="A787" t="s">
        <v>848</v>
      </c>
      <c r="B787" s="1">
        <v>45664</v>
      </c>
      <c r="C787" t="s">
        <v>48</v>
      </c>
      <c r="D787" t="s">
        <v>25</v>
      </c>
      <c r="E787" t="s">
        <v>49</v>
      </c>
      <c r="F787" t="s">
        <v>53</v>
      </c>
      <c r="G787">
        <v>2</v>
      </c>
      <c r="H787">
        <v>1676.93</v>
      </c>
      <c r="I787">
        <v>0.09</v>
      </c>
      <c r="J787">
        <v>3052.01</v>
      </c>
      <c r="K787" t="s">
        <v>33</v>
      </c>
      <c r="L787" t="s">
        <v>34</v>
      </c>
      <c r="M787" t="s">
        <v>21</v>
      </c>
      <c r="N787" t="s">
        <v>22</v>
      </c>
    </row>
    <row r="788" spans="1:14" x14ac:dyDescent="0.3">
      <c r="A788" t="s">
        <v>849</v>
      </c>
      <c r="B788" s="1">
        <v>45668</v>
      </c>
      <c r="C788" t="s">
        <v>15</v>
      </c>
      <c r="D788" t="s">
        <v>25</v>
      </c>
      <c r="E788" t="s">
        <v>49</v>
      </c>
      <c r="F788" t="s">
        <v>50</v>
      </c>
      <c r="G788">
        <v>5</v>
      </c>
      <c r="H788">
        <v>3283.71</v>
      </c>
      <c r="I788">
        <v>0.05</v>
      </c>
      <c r="J788">
        <v>15597.62</v>
      </c>
      <c r="K788" t="s">
        <v>33</v>
      </c>
      <c r="L788" t="s">
        <v>34</v>
      </c>
      <c r="M788" t="s">
        <v>54</v>
      </c>
      <c r="N788" t="s">
        <v>37</v>
      </c>
    </row>
    <row r="789" spans="1:14" x14ac:dyDescent="0.3">
      <c r="A789" t="s">
        <v>850</v>
      </c>
      <c r="B789" s="1">
        <v>45707</v>
      </c>
      <c r="C789" t="s">
        <v>15</v>
      </c>
      <c r="D789" t="s">
        <v>16</v>
      </c>
      <c r="E789" t="s">
        <v>49</v>
      </c>
      <c r="F789" t="s">
        <v>73</v>
      </c>
      <c r="G789">
        <v>5</v>
      </c>
      <c r="H789">
        <v>870.33</v>
      </c>
      <c r="I789">
        <v>0.21</v>
      </c>
      <c r="J789">
        <v>3437.8</v>
      </c>
      <c r="K789" t="s">
        <v>41</v>
      </c>
      <c r="L789" t="s">
        <v>34</v>
      </c>
      <c r="M789" t="s">
        <v>30</v>
      </c>
      <c r="N789" t="s">
        <v>22</v>
      </c>
    </row>
    <row r="790" spans="1:14" x14ac:dyDescent="0.3">
      <c r="A790" t="s">
        <v>851</v>
      </c>
      <c r="B790" s="1">
        <v>45752</v>
      </c>
      <c r="C790" t="s">
        <v>48</v>
      </c>
      <c r="D790" t="s">
        <v>39</v>
      </c>
      <c r="E790" t="s">
        <v>17</v>
      </c>
      <c r="F790" t="s">
        <v>32</v>
      </c>
      <c r="G790">
        <v>2</v>
      </c>
      <c r="H790">
        <v>2961.41</v>
      </c>
      <c r="I790">
        <v>0.12</v>
      </c>
      <c r="J790">
        <v>5212.08</v>
      </c>
      <c r="K790" t="s">
        <v>33</v>
      </c>
      <c r="L790" t="s">
        <v>34</v>
      </c>
      <c r="M790" t="s">
        <v>21</v>
      </c>
      <c r="N790" t="s">
        <v>22</v>
      </c>
    </row>
    <row r="791" spans="1:14" x14ac:dyDescent="0.3">
      <c r="A791" t="s">
        <v>852</v>
      </c>
      <c r="B791" s="1">
        <v>45778</v>
      </c>
      <c r="C791" t="s">
        <v>48</v>
      </c>
      <c r="D791" t="s">
        <v>43</v>
      </c>
      <c r="E791" t="s">
        <v>49</v>
      </c>
      <c r="F791" t="s">
        <v>50</v>
      </c>
      <c r="G791">
        <v>3</v>
      </c>
      <c r="H791">
        <v>1437.8</v>
      </c>
      <c r="I791">
        <v>0.01</v>
      </c>
      <c r="J791">
        <v>4270.2700000000004</v>
      </c>
      <c r="K791" t="s">
        <v>46</v>
      </c>
      <c r="L791" t="s">
        <v>34</v>
      </c>
      <c r="M791" t="s">
        <v>30</v>
      </c>
      <c r="N791" t="s">
        <v>22</v>
      </c>
    </row>
    <row r="792" spans="1:14" x14ac:dyDescent="0.3">
      <c r="A792" t="s">
        <v>853</v>
      </c>
      <c r="B792" s="1">
        <v>45825</v>
      </c>
      <c r="C792" t="s">
        <v>24</v>
      </c>
      <c r="D792" t="s">
        <v>43</v>
      </c>
      <c r="E792" t="s">
        <v>17</v>
      </c>
      <c r="F792" t="s">
        <v>32</v>
      </c>
      <c r="G792">
        <v>5</v>
      </c>
      <c r="H792">
        <v>2778.59</v>
      </c>
      <c r="I792">
        <v>0.02</v>
      </c>
      <c r="J792">
        <v>13615.09</v>
      </c>
      <c r="K792" t="s">
        <v>46</v>
      </c>
      <c r="L792" t="s">
        <v>29</v>
      </c>
      <c r="M792" t="s">
        <v>30</v>
      </c>
      <c r="N792" t="s">
        <v>22</v>
      </c>
    </row>
    <row r="793" spans="1:14" x14ac:dyDescent="0.3">
      <c r="A793" t="s">
        <v>854</v>
      </c>
      <c r="B793" s="1">
        <v>45809</v>
      </c>
      <c r="C793" t="s">
        <v>24</v>
      </c>
      <c r="D793" t="s">
        <v>39</v>
      </c>
      <c r="E793" t="s">
        <v>17</v>
      </c>
      <c r="F793" t="s">
        <v>32</v>
      </c>
      <c r="G793">
        <v>3</v>
      </c>
      <c r="H793">
        <v>1063.57</v>
      </c>
      <c r="I793">
        <v>0.08</v>
      </c>
      <c r="J793">
        <v>2935.45</v>
      </c>
      <c r="K793" t="s">
        <v>33</v>
      </c>
      <c r="L793" t="s">
        <v>20</v>
      </c>
      <c r="M793" t="s">
        <v>30</v>
      </c>
      <c r="N793" t="s">
        <v>22</v>
      </c>
    </row>
    <row r="794" spans="1:14" x14ac:dyDescent="0.3">
      <c r="A794" t="s">
        <v>855</v>
      </c>
      <c r="B794" s="1">
        <v>45674</v>
      </c>
      <c r="C794" t="s">
        <v>36</v>
      </c>
      <c r="D794" t="s">
        <v>25</v>
      </c>
      <c r="E794" t="s">
        <v>27</v>
      </c>
      <c r="F794" t="s">
        <v>68</v>
      </c>
      <c r="G794">
        <v>3</v>
      </c>
      <c r="H794">
        <v>1481.04</v>
      </c>
      <c r="I794">
        <v>0.09</v>
      </c>
      <c r="J794">
        <v>4043.24</v>
      </c>
      <c r="K794" t="s">
        <v>46</v>
      </c>
      <c r="L794" t="s">
        <v>20</v>
      </c>
      <c r="M794" t="s">
        <v>30</v>
      </c>
      <c r="N794" t="s">
        <v>88</v>
      </c>
    </row>
    <row r="795" spans="1:14" x14ac:dyDescent="0.3">
      <c r="A795" t="s">
        <v>856</v>
      </c>
      <c r="B795" s="1">
        <v>45748</v>
      </c>
      <c r="C795" t="s">
        <v>36</v>
      </c>
      <c r="D795" t="s">
        <v>43</v>
      </c>
      <c r="E795" t="s">
        <v>17</v>
      </c>
      <c r="F795" t="s">
        <v>40</v>
      </c>
      <c r="G795">
        <v>2</v>
      </c>
      <c r="H795">
        <v>1211.94</v>
      </c>
      <c r="I795">
        <v>0.19</v>
      </c>
      <c r="J795">
        <v>1963.34</v>
      </c>
      <c r="K795" t="s">
        <v>19</v>
      </c>
      <c r="L795" t="s">
        <v>34</v>
      </c>
      <c r="M795" t="s">
        <v>30</v>
      </c>
      <c r="N795" t="s">
        <v>22</v>
      </c>
    </row>
    <row r="796" spans="1:14" x14ac:dyDescent="0.3">
      <c r="A796" t="s">
        <v>857</v>
      </c>
      <c r="B796" s="1">
        <v>45740</v>
      </c>
      <c r="C796" t="s">
        <v>48</v>
      </c>
      <c r="D796" t="s">
        <v>25</v>
      </c>
      <c r="E796" t="s">
        <v>27</v>
      </c>
      <c r="F796" t="s">
        <v>87</v>
      </c>
      <c r="G796">
        <v>3</v>
      </c>
      <c r="H796">
        <v>4244.43</v>
      </c>
      <c r="I796">
        <v>0.11</v>
      </c>
      <c r="J796">
        <v>11332.63</v>
      </c>
      <c r="K796" t="s">
        <v>46</v>
      </c>
      <c r="L796" t="s">
        <v>20</v>
      </c>
      <c r="M796" t="s">
        <v>21</v>
      </c>
      <c r="N796" t="s">
        <v>22</v>
      </c>
    </row>
    <row r="797" spans="1:14" x14ac:dyDescent="0.3">
      <c r="A797" t="s">
        <v>858</v>
      </c>
      <c r="B797" s="1">
        <v>45832</v>
      </c>
      <c r="C797" t="s">
        <v>15</v>
      </c>
      <c r="D797" t="s">
        <v>39</v>
      </c>
      <c r="E797" t="s">
        <v>49</v>
      </c>
      <c r="F797" t="s">
        <v>56</v>
      </c>
      <c r="G797">
        <v>2</v>
      </c>
      <c r="H797">
        <v>1597.3</v>
      </c>
      <c r="I797">
        <v>0.18</v>
      </c>
      <c r="J797">
        <v>2619.5700000000002</v>
      </c>
      <c r="K797" t="s">
        <v>19</v>
      </c>
      <c r="L797" t="s">
        <v>29</v>
      </c>
      <c r="M797" t="s">
        <v>30</v>
      </c>
      <c r="N797" t="s">
        <v>22</v>
      </c>
    </row>
    <row r="798" spans="1:14" x14ac:dyDescent="0.3">
      <c r="A798" t="s">
        <v>859</v>
      </c>
      <c r="B798" s="1">
        <v>45782</v>
      </c>
      <c r="C798" t="s">
        <v>48</v>
      </c>
      <c r="D798" t="s">
        <v>43</v>
      </c>
      <c r="E798" t="s">
        <v>49</v>
      </c>
      <c r="F798" t="s">
        <v>50</v>
      </c>
      <c r="G798">
        <v>3</v>
      </c>
      <c r="H798">
        <v>2976.08</v>
      </c>
      <c r="I798">
        <v>0.14000000000000001</v>
      </c>
      <c r="J798">
        <v>7678.29</v>
      </c>
      <c r="K798" t="s">
        <v>33</v>
      </c>
      <c r="L798" t="s">
        <v>34</v>
      </c>
      <c r="M798" t="s">
        <v>54</v>
      </c>
      <c r="N798" t="s">
        <v>22</v>
      </c>
    </row>
    <row r="799" spans="1:14" x14ac:dyDescent="0.3">
      <c r="A799" t="s">
        <v>860</v>
      </c>
      <c r="B799" s="1">
        <v>45771</v>
      </c>
      <c r="C799" t="s">
        <v>48</v>
      </c>
      <c r="D799" t="s">
        <v>39</v>
      </c>
      <c r="E799" t="s">
        <v>99</v>
      </c>
      <c r="F799" t="s">
        <v>115</v>
      </c>
      <c r="G799">
        <v>1</v>
      </c>
      <c r="H799">
        <v>2719</v>
      </c>
      <c r="I799">
        <v>0.05</v>
      </c>
      <c r="J799">
        <v>2583.0500000000002</v>
      </c>
      <c r="K799" t="s">
        <v>19</v>
      </c>
      <c r="L799" t="s">
        <v>34</v>
      </c>
      <c r="M799" t="s">
        <v>54</v>
      </c>
      <c r="N799" t="s">
        <v>22</v>
      </c>
    </row>
    <row r="800" spans="1:14" x14ac:dyDescent="0.3">
      <c r="A800" t="s">
        <v>861</v>
      </c>
      <c r="B800" s="1">
        <v>45697</v>
      </c>
      <c r="C800" t="s">
        <v>24</v>
      </c>
      <c r="D800" t="s">
        <v>25</v>
      </c>
      <c r="E800" t="s">
        <v>49</v>
      </c>
      <c r="F800" t="s">
        <v>53</v>
      </c>
      <c r="G800">
        <v>5</v>
      </c>
      <c r="H800">
        <v>970.42</v>
      </c>
      <c r="I800">
        <v>0.21</v>
      </c>
      <c r="J800">
        <v>3833.16</v>
      </c>
      <c r="K800" t="s">
        <v>19</v>
      </c>
      <c r="L800" t="s">
        <v>20</v>
      </c>
      <c r="M800" t="s">
        <v>21</v>
      </c>
      <c r="N800" t="s">
        <v>22</v>
      </c>
    </row>
    <row r="801" spans="1:14" x14ac:dyDescent="0.3">
      <c r="A801" t="s">
        <v>862</v>
      </c>
      <c r="B801" s="1">
        <v>45799</v>
      </c>
      <c r="C801" t="s">
        <v>48</v>
      </c>
      <c r="D801" t="s">
        <v>16</v>
      </c>
      <c r="E801" t="s">
        <v>61</v>
      </c>
      <c r="F801" t="s">
        <v>62</v>
      </c>
      <c r="G801">
        <v>2</v>
      </c>
      <c r="H801">
        <v>1526.42</v>
      </c>
      <c r="I801">
        <v>0.13</v>
      </c>
      <c r="J801">
        <v>2655.97</v>
      </c>
      <c r="K801" t="s">
        <v>46</v>
      </c>
      <c r="L801" t="s">
        <v>20</v>
      </c>
      <c r="M801" t="s">
        <v>30</v>
      </c>
      <c r="N801" t="s">
        <v>22</v>
      </c>
    </row>
    <row r="802" spans="1:14" x14ac:dyDescent="0.3">
      <c r="A802" t="s">
        <v>863</v>
      </c>
      <c r="B802" s="1">
        <v>45795</v>
      </c>
      <c r="C802" t="s">
        <v>15</v>
      </c>
      <c r="D802" t="s">
        <v>25</v>
      </c>
      <c r="E802" t="s">
        <v>17</v>
      </c>
      <c r="F802" t="s">
        <v>44</v>
      </c>
      <c r="G802">
        <v>2</v>
      </c>
      <c r="H802">
        <v>4949.0200000000004</v>
      </c>
      <c r="I802">
        <v>0.03</v>
      </c>
      <c r="J802">
        <v>9601.1</v>
      </c>
      <c r="K802" t="s">
        <v>41</v>
      </c>
      <c r="L802" t="s">
        <v>34</v>
      </c>
      <c r="M802" t="s">
        <v>30</v>
      </c>
      <c r="N802" t="s">
        <v>22</v>
      </c>
    </row>
    <row r="803" spans="1:14" x14ac:dyDescent="0.3">
      <c r="A803" t="s">
        <v>864</v>
      </c>
      <c r="B803" s="1">
        <v>45734</v>
      </c>
      <c r="C803" t="s">
        <v>52</v>
      </c>
      <c r="D803" t="s">
        <v>39</v>
      </c>
      <c r="E803" t="s">
        <v>49</v>
      </c>
      <c r="F803" t="s">
        <v>73</v>
      </c>
      <c r="G803">
        <v>4</v>
      </c>
      <c r="H803">
        <v>4107.6899999999996</v>
      </c>
      <c r="I803">
        <v>0.17</v>
      </c>
      <c r="J803">
        <v>13637.53</v>
      </c>
      <c r="K803" t="s">
        <v>19</v>
      </c>
      <c r="L803" t="s">
        <v>34</v>
      </c>
      <c r="M803" t="s">
        <v>54</v>
      </c>
      <c r="N803" t="s">
        <v>22</v>
      </c>
    </row>
    <row r="804" spans="1:14" x14ac:dyDescent="0.3">
      <c r="A804" t="s">
        <v>865</v>
      </c>
      <c r="B804" s="1">
        <v>45755</v>
      </c>
      <c r="C804" t="s">
        <v>15</v>
      </c>
      <c r="D804" t="s">
        <v>43</v>
      </c>
      <c r="E804" t="s">
        <v>27</v>
      </c>
      <c r="F804" t="s">
        <v>87</v>
      </c>
      <c r="G804">
        <v>2</v>
      </c>
      <c r="H804">
        <v>2284.08</v>
      </c>
      <c r="I804">
        <v>0.21</v>
      </c>
      <c r="J804">
        <v>3608.85</v>
      </c>
      <c r="K804" t="s">
        <v>19</v>
      </c>
      <c r="L804" t="s">
        <v>20</v>
      </c>
      <c r="M804" t="s">
        <v>21</v>
      </c>
      <c r="N804" t="s">
        <v>22</v>
      </c>
    </row>
    <row r="805" spans="1:14" x14ac:dyDescent="0.3">
      <c r="A805" t="s">
        <v>866</v>
      </c>
      <c r="B805" s="1">
        <v>45737</v>
      </c>
      <c r="C805" t="s">
        <v>48</v>
      </c>
      <c r="D805" t="s">
        <v>39</v>
      </c>
      <c r="E805" t="s">
        <v>27</v>
      </c>
      <c r="F805" t="s">
        <v>87</v>
      </c>
      <c r="G805">
        <v>1</v>
      </c>
      <c r="H805">
        <v>3712.72</v>
      </c>
      <c r="I805">
        <v>7.0000000000000007E-2</v>
      </c>
      <c r="J805">
        <v>3452.83</v>
      </c>
      <c r="K805" t="s">
        <v>41</v>
      </c>
      <c r="L805" t="s">
        <v>29</v>
      </c>
      <c r="M805" t="s">
        <v>30</v>
      </c>
      <c r="N805" t="s">
        <v>22</v>
      </c>
    </row>
    <row r="806" spans="1:14" x14ac:dyDescent="0.3">
      <c r="A806" t="s">
        <v>867</v>
      </c>
      <c r="B806" s="1">
        <v>45707</v>
      </c>
      <c r="C806" t="s">
        <v>36</v>
      </c>
      <c r="D806" t="s">
        <v>25</v>
      </c>
      <c r="E806" t="s">
        <v>99</v>
      </c>
      <c r="F806" t="s">
        <v>115</v>
      </c>
      <c r="G806">
        <v>2</v>
      </c>
      <c r="H806">
        <v>979.93</v>
      </c>
      <c r="I806">
        <v>0.15</v>
      </c>
      <c r="J806">
        <v>1665.88</v>
      </c>
      <c r="K806" t="s">
        <v>19</v>
      </c>
      <c r="L806" t="s">
        <v>34</v>
      </c>
      <c r="M806" t="s">
        <v>30</v>
      </c>
      <c r="N806" t="s">
        <v>22</v>
      </c>
    </row>
    <row r="807" spans="1:14" x14ac:dyDescent="0.3">
      <c r="A807" t="s">
        <v>868</v>
      </c>
      <c r="B807" s="1">
        <v>45688</v>
      </c>
      <c r="C807" t="s">
        <v>48</v>
      </c>
      <c r="D807" t="s">
        <v>16</v>
      </c>
      <c r="E807" t="s">
        <v>61</v>
      </c>
      <c r="F807" t="s">
        <v>62</v>
      </c>
      <c r="G807">
        <v>2</v>
      </c>
      <c r="H807">
        <v>1441.5</v>
      </c>
      <c r="I807">
        <v>0.16</v>
      </c>
      <c r="J807">
        <v>2421.7199999999998</v>
      </c>
      <c r="K807" t="s">
        <v>58</v>
      </c>
      <c r="L807" t="s">
        <v>20</v>
      </c>
      <c r="M807" t="s">
        <v>30</v>
      </c>
      <c r="N807" t="s">
        <v>22</v>
      </c>
    </row>
    <row r="808" spans="1:14" x14ac:dyDescent="0.3">
      <c r="A808" t="s">
        <v>869</v>
      </c>
      <c r="B808" s="1">
        <v>45787</v>
      </c>
      <c r="C808" t="s">
        <v>48</v>
      </c>
      <c r="D808" t="s">
        <v>25</v>
      </c>
      <c r="E808" t="s">
        <v>61</v>
      </c>
      <c r="F808" t="s">
        <v>92</v>
      </c>
      <c r="G808">
        <v>3</v>
      </c>
      <c r="H808">
        <v>475.01</v>
      </c>
      <c r="I808">
        <v>0.03</v>
      </c>
      <c r="J808">
        <v>1382.28</v>
      </c>
      <c r="K808" t="s">
        <v>33</v>
      </c>
      <c r="L808" t="s">
        <v>20</v>
      </c>
      <c r="M808" t="s">
        <v>30</v>
      </c>
      <c r="N808" t="s">
        <v>22</v>
      </c>
    </row>
    <row r="809" spans="1:14" x14ac:dyDescent="0.3">
      <c r="A809" t="s">
        <v>870</v>
      </c>
      <c r="B809" s="1">
        <v>45793</v>
      </c>
      <c r="C809" t="s">
        <v>36</v>
      </c>
      <c r="D809" t="s">
        <v>25</v>
      </c>
      <c r="E809" t="s">
        <v>99</v>
      </c>
      <c r="F809" t="s">
        <v>100</v>
      </c>
      <c r="G809">
        <v>1</v>
      </c>
      <c r="H809">
        <v>458.66</v>
      </c>
      <c r="I809">
        <v>0.17</v>
      </c>
      <c r="J809">
        <v>380.69</v>
      </c>
      <c r="K809" t="s">
        <v>58</v>
      </c>
      <c r="L809" t="s">
        <v>34</v>
      </c>
      <c r="M809" t="s">
        <v>21</v>
      </c>
      <c r="N809" t="s">
        <v>22</v>
      </c>
    </row>
    <row r="810" spans="1:14" x14ac:dyDescent="0.3">
      <c r="A810" t="s">
        <v>871</v>
      </c>
      <c r="B810" s="1">
        <v>45661</v>
      </c>
      <c r="C810" t="s">
        <v>48</v>
      </c>
      <c r="D810" t="s">
        <v>25</v>
      </c>
      <c r="E810" t="s">
        <v>49</v>
      </c>
      <c r="F810" t="s">
        <v>73</v>
      </c>
      <c r="G810">
        <v>3</v>
      </c>
      <c r="H810">
        <v>661.95</v>
      </c>
      <c r="I810">
        <v>0.23</v>
      </c>
      <c r="J810">
        <v>1529.1</v>
      </c>
      <c r="K810" t="s">
        <v>58</v>
      </c>
      <c r="L810" t="s">
        <v>20</v>
      </c>
      <c r="M810" t="s">
        <v>30</v>
      </c>
      <c r="N810" t="s">
        <v>22</v>
      </c>
    </row>
    <row r="811" spans="1:14" x14ac:dyDescent="0.3">
      <c r="A811" t="s">
        <v>872</v>
      </c>
      <c r="B811" s="1">
        <v>45833</v>
      </c>
      <c r="C811" t="s">
        <v>36</v>
      </c>
      <c r="D811" t="s">
        <v>43</v>
      </c>
      <c r="E811" t="s">
        <v>17</v>
      </c>
      <c r="F811" t="s">
        <v>18</v>
      </c>
      <c r="G811">
        <v>4</v>
      </c>
      <c r="H811">
        <v>787.25</v>
      </c>
      <c r="I811">
        <v>0.21</v>
      </c>
      <c r="J811">
        <v>2487.71</v>
      </c>
      <c r="K811" t="s">
        <v>19</v>
      </c>
      <c r="L811" t="s">
        <v>29</v>
      </c>
      <c r="M811" t="s">
        <v>54</v>
      </c>
      <c r="N811" t="s">
        <v>88</v>
      </c>
    </row>
    <row r="812" spans="1:14" x14ac:dyDescent="0.3">
      <c r="A812" t="s">
        <v>873</v>
      </c>
      <c r="B812" s="1">
        <v>45805</v>
      </c>
      <c r="C812" t="s">
        <v>52</v>
      </c>
      <c r="D812" t="s">
        <v>16</v>
      </c>
      <c r="E812" t="s">
        <v>27</v>
      </c>
      <c r="F812" t="s">
        <v>79</v>
      </c>
      <c r="G812">
        <v>5</v>
      </c>
      <c r="H812">
        <v>3733.09</v>
      </c>
      <c r="I812">
        <v>0.04</v>
      </c>
      <c r="J812">
        <v>17918.830000000002</v>
      </c>
      <c r="K812" t="s">
        <v>46</v>
      </c>
      <c r="L812" t="s">
        <v>20</v>
      </c>
      <c r="M812" t="s">
        <v>21</v>
      </c>
      <c r="N812" t="s">
        <v>22</v>
      </c>
    </row>
    <row r="813" spans="1:14" x14ac:dyDescent="0.3">
      <c r="A813" t="s">
        <v>874</v>
      </c>
      <c r="B813" s="1">
        <v>45827</v>
      </c>
      <c r="C813" t="s">
        <v>15</v>
      </c>
      <c r="D813" t="s">
        <v>16</v>
      </c>
      <c r="E813" t="s">
        <v>61</v>
      </c>
      <c r="F813" t="s">
        <v>92</v>
      </c>
      <c r="G813">
        <v>1</v>
      </c>
      <c r="H813">
        <v>4474.17</v>
      </c>
      <c r="I813">
        <v>0.13</v>
      </c>
      <c r="J813">
        <v>3892.53</v>
      </c>
      <c r="K813" t="s">
        <v>19</v>
      </c>
      <c r="L813" t="s">
        <v>20</v>
      </c>
      <c r="M813" t="s">
        <v>30</v>
      </c>
      <c r="N813" t="s">
        <v>88</v>
      </c>
    </row>
    <row r="814" spans="1:14" x14ac:dyDescent="0.3">
      <c r="A814" t="s">
        <v>875</v>
      </c>
      <c r="B814" s="1">
        <v>45809</v>
      </c>
      <c r="C814" t="s">
        <v>48</v>
      </c>
      <c r="D814" t="s">
        <v>43</v>
      </c>
      <c r="E814" t="s">
        <v>27</v>
      </c>
      <c r="F814" t="s">
        <v>79</v>
      </c>
      <c r="G814">
        <v>1</v>
      </c>
      <c r="H814">
        <v>3031.21</v>
      </c>
      <c r="I814">
        <v>0.01</v>
      </c>
      <c r="J814">
        <v>3000.9</v>
      </c>
      <c r="K814" t="s">
        <v>46</v>
      </c>
      <c r="L814" t="s">
        <v>34</v>
      </c>
      <c r="M814" t="s">
        <v>30</v>
      </c>
      <c r="N814" t="s">
        <v>37</v>
      </c>
    </row>
    <row r="815" spans="1:14" x14ac:dyDescent="0.3">
      <c r="A815" t="s">
        <v>876</v>
      </c>
      <c r="B815" s="1">
        <v>45831</v>
      </c>
      <c r="C815" t="s">
        <v>52</v>
      </c>
      <c r="D815" t="s">
        <v>16</v>
      </c>
      <c r="E815" t="s">
        <v>99</v>
      </c>
      <c r="F815" t="s">
        <v>100</v>
      </c>
      <c r="G815">
        <v>4</v>
      </c>
      <c r="H815">
        <v>236.93</v>
      </c>
      <c r="I815">
        <v>0</v>
      </c>
      <c r="J815">
        <v>947.72</v>
      </c>
      <c r="K815" t="s">
        <v>58</v>
      </c>
      <c r="L815" t="s">
        <v>20</v>
      </c>
      <c r="M815" t="s">
        <v>54</v>
      </c>
      <c r="N815" t="s">
        <v>22</v>
      </c>
    </row>
    <row r="816" spans="1:14" x14ac:dyDescent="0.3">
      <c r="A816" t="s">
        <v>877</v>
      </c>
      <c r="B816" s="1">
        <v>45680</v>
      </c>
      <c r="C816" t="s">
        <v>52</v>
      </c>
      <c r="D816" t="s">
        <v>43</v>
      </c>
      <c r="E816" t="s">
        <v>17</v>
      </c>
      <c r="F816" t="s">
        <v>44</v>
      </c>
      <c r="G816">
        <v>5</v>
      </c>
      <c r="H816">
        <v>627.65</v>
      </c>
      <c r="I816">
        <v>0.08</v>
      </c>
      <c r="J816">
        <v>2887.19</v>
      </c>
      <c r="K816" t="s">
        <v>58</v>
      </c>
      <c r="L816" t="s">
        <v>34</v>
      </c>
      <c r="M816" t="s">
        <v>21</v>
      </c>
      <c r="N816" t="s">
        <v>22</v>
      </c>
    </row>
    <row r="817" spans="1:14" x14ac:dyDescent="0.3">
      <c r="A817" t="s">
        <v>878</v>
      </c>
      <c r="B817" s="1">
        <v>45811</v>
      </c>
      <c r="C817" t="s">
        <v>48</v>
      </c>
      <c r="D817" t="s">
        <v>25</v>
      </c>
      <c r="E817" t="s">
        <v>27</v>
      </c>
      <c r="F817" t="s">
        <v>87</v>
      </c>
      <c r="G817">
        <v>2</v>
      </c>
      <c r="H817">
        <v>618.84</v>
      </c>
      <c r="I817">
        <v>0.08</v>
      </c>
      <c r="J817">
        <v>1138.67</v>
      </c>
      <c r="K817" t="s">
        <v>58</v>
      </c>
      <c r="L817" t="s">
        <v>20</v>
      </c>
      <c r="M817" t="s">
        <v>54</v>
      </c>
      <c r="N817" t="s">
        <v>22</v>
      </c>
    </row>
    <row r="818" spans="1:14" x14ac:dyDescent="0.3">
      <c r="A818" t="s">
        <v>879</v>
      </c>
      <c r="B818" s="1">
        <v>45742</v>
      </c>
      <c r="C818" t="s">
        <v>52</v>
      </c>
      <c r="D818" t="s">
        <v>39</v>
      </c>
      <c r="E818" t="s">
        <v>17</v>
      </c>
      <c r="F818" t="s">
        <v>40</v>
      </c>
      <c r="G818">
        <v>1</v>
      </c>
      <c r="H818">
        <v>3324.01</v>
      </c>
      <c r="I818">
        <v>7.0000000000000007E-2</v>
      </c>
      <c r="J818">
        <v>3091.33</v>
      </c>
      <c r="K818" t="s">
        <v>41</v>
      </c>
      <c r="L818" t="s">
        <v>20</v>
      </c>
      <c r="M818" t="s">
        <v>21</v>
      </c>
      <c r="N818" t="s">
        <v>22</v>
      </c>
    </row>
    <row r="819" spans="1:14" x14ac:dyDescent="0.3">
      <c r="A819" t="s">
        <v>880</v>
      </c>
      <c r="B819" s="1">
        <v>45702</v>
      </c>
      <c r="C819" t="s">
        <v>15</v>
      </c>
      <c r="D819" t="s">
        <v>43</v>
      </c>
      <c r="E819" t="s">
        <v>61</v>
      </c>
      <c r="F819" t="s">
        <v>92</v>
      </c>
      <c r="G819">
        <v>1</v>
      </c>
      <c r="H819">
        <v>3591.4</v>
      </c>
      <c r="I819">
        <v>0.2</v>
      </c>
      <c r="J819">
        <v>2873.12</v>
      </c>
      <c r="K819" t="s">
        <v>33</v>
      </c>
      <c r="L819" t="s">
        <v>34</v>
      </c>
      <c r="M819" t="s">
        <v>21</v>
      </c>
      <c r="N819" t="s">
        <v>22</v>
      </c>
    </row>
    <row r="820" spans="1:14" x14ac:dyDescent="0.3">
      <c r="A820" t="s">
        <v>881</v>
      </c>
      <c r="B820" s="1">
        <v>45694</v>
      </c>
      <c r="C820" t="s">
        <v>48</v>
      </c>
      <c r="D820" t="s">
        <v>25</v>
      </c>
      <c r="E820" t="s">
        <v>17</v>
      </c>
      <c r="F820" t="s">
        <v>32</v>
      </c>
      <c r="G820">
        <v>2</v>
      </c>
      <c r="H820">
        <v>3213.23</v>
      </c>
      <c r="I820">
        <v>0.22</v>
      </c>
      <c r="J820">
        <v>5012.6400000000003</v>
      </c>
      <c r="K820" t="s">
        <v>19</v>
      </c>
      <c r="L820" t="s">
        <v>34</v>
      </c>
      <c r="M820" t="s">
        <v>30</v>
      </c>
      <c r="N820" t="s">
        <v>22</v>
      </c>
    </row>
    <row r="821" spans="1:14" x14ac:dyDescent="0.3">
      <c r="A821" t="s">
        <v>882</v>
      </c>
      <c r="B821" s="1">
        <v>45816</v>
      </c>
      <c r="C821" t="s">
        <v>48</v>
      </c>
      <c r="D821" t="s">
        <v>43</v>
      </c>
      <c r="E821" t="s">
        <v>17</v>
      </c>
      <c r="F821" t="s">
        <v>40</v>
      </c>
      <c r="G821">
        <v>2</v>
      </c>
      <c r="H821">
        <v>2566.7600000000002</v>
      </c>
      <c r="I821">
        <v>0.18</v>
      </c>
      <c r="J821">
        <v>4209.49</v>
      </c>
      <c r="K821" t="s">
        <v>33</v>
      </c>
      <c r="L821" t="s">
        <v>29</v>
      </c>
      <c r="M821" t="s">
        <v>54</v>
      </c>
      <c r="N821" t="s">
        <v>22</v>
      </c>
    </row>
    <row r="822" spans="1:14" x14ac:dyDescent="0.3">
      <c r="A822" t="s">
        <v>883</v>
      </c>
      <c r="B822" s="1">
        <v>45795</v>
      </c>
      <c r="C822" t="s">
        <v>52</v>
      </c>
      <c r="D822" t="s">
        <v>39</v>
      </c>
      <c r="E822" t="s">
        <v>17</v>
      </c>
      <c r="F822" t="s">
        <v>32</v>
      </c>
      <c r="G822">
        <v>5</v>
      </c>
      <c r="H822">
        <v>489.01</v>
      </c>
      <c r="I822">
        <v>0.03</v>
      </c>
      <c r="J822">
        <v>2371.6999999999998</v>
      </c>
      <c r="K822" t="s">
        <v>41</v>
      </c>
      <c r="L822" t="s">
        <v>20</v>
      </c>
      <c r="M822" t="s">
        <v>30</v>
      </c>
      <c r="N822" t="s">
        <v>22</v>
      </c>
    </row>
    <row r="823" spans="1:14" x14ac:dyDescent="0.3">
      <c r="A823" t="s">
        <v>884</v>
      </c>
      <c r="B823" s="1">
        <v>45760</v>
      </c>
      <c r="C823" t="s">
        <v>24</v>
      </c>
      <c r="D823" t="s">
        <v>43</v>
      </c>
      <c r="E823" t="s">
        <v>49</v>
      </c>
      <c r="F823" t="s">
        <v>73</v>
      </c>
      <c r="G823">
        <v>5</v>
      </c>
      <c r="H823">
        <v>4943.8999999999996</v>
      </c>
      <c r="I823">
        <v>0.11</v>
      </c>
      <c r="J823">
        <v>22000.35</v>
      </c>
      <c r="K823" t="s">
        <v>19</v>
      </c>
      <c r="L823" t="s">
        <v>29</v>
      </c>
      <c r="M823" t="s">
        <v>30</v>
      </c>
      <c r="N823" t="s">
        <v>22</v>
      </c>
    </row>
    <row r="824" spans="1:14" x14ac:dyDescent="0.3">
      <c r="A824" t="s">
        <v>885</v>
      </c>
      <c r="B824" s="1">
        <v>45750</v>
      </c>
      <c r="C824" t="s">
        <v>15</v>
      </c>
      <c r="D824" t="s">
        <v>43</v>
      </c>
      <c r="E824" t="s">
        <v>17</v>
      </c>
      <c r="F824" t="s">
        <v>40</v>
      </c>
      <c r="G824">
        <v>3</v>
      </c>
      <c r="H824">
        <v>1779.37</v>
      </c>
      <c r="I824">
        <v>0.05</v>
      </c>
      <c r="J824">
        <v>5071.2</v>
      </c>
      <c r="K824" t="s">
        <v>58</v>
      </c>
      <c r="L824" t="s">
        <v>20</v>
      </c>
      <c r="M824" t="s">
        <v>54</v>
      </c>
      <c r="N824" t="s">
        <v>88</v>
      </c>
    </row>
    <row r="825" spans="1:14" x14ac:dyDescent="0.3">
      <c r="A825" t="s">
        <v>886</v>
      </c>
      <c r="B825" s="1">
        <v>45669</v>
      </c>
      <c r="C825" t="s">
        <v>36</v>
      </c>
      <c r="D825" t="s">
        <v>16</v>
      </c>
      <c r="E825" t="s">
        <v>61</v>
      </c>
      <c r="F825" t="s">
        <v>92</v>
      </c>
      <c r="G825">
        <v>4</v>
      </c>
      <c r="H825">
        <v>3185.93</v>
      </c>
      <c r="I825">
        <v>0.02</v>
      </c>
      <c r="J825">
        <v>12488.85</v>
      </c>
      <c r="K825" t="s">
        <v>46</v>
      </c>
      <c r="L825" t="s">
        <v>20</v>
      </c>
      <c r="M825" t="s">
        <v>30</v>
      </c>
      <c r="N825" t="s">
        <v>59</v>
      </c>
    </row>
    <row r="826" spans="1:14" x14ac:dyDescent="0.3">
      <c r="A826" t="s">
        <v>887</v>
      </c>
      <c r="B826" s="1">
        <v>45768</v>
      </c>
      <c r="C826" t="s">
        <v>52</v>
      </c>
      <c r="D826" t="s">
        <v>43</v>
      </c>
      <c r="E826" t="s">
        <v>17</v>
      </c>
      <c r="F826" t="s">
        <v>44</v>
      </c>
      <c r="G826">
        <v>2</v>
      </c>
      <c r="H826">
        <v>3003.89</v>
      </c>
      <c r="I826">
        <v>0.21</v>
      </c>
      <c r="J826">
        <v>4746.1499999999996</v>
      </c>
      <c r="K826" t="s">
        <v>19</v>
      </c>
      <c r="L826" t="s">
        <v>20</v>
      </c>
      <c r="M826" t="s">
        <v>54</v>
      </c>
      <c r="N826" t="s">
        <v>22</v>
      </c>
    </row>
    <row r="827" spans="1:14" x14ac:dyDescent="0.3">
      <c r="A827" t="s">
        <v>888</v>
      </c>
      <c r="B827" s="1">
        <v>45708</v>
      </c>
      <c r="C827" t="s">
        <v>15</v>
      </c>
      <c r="D827" t="s">
        <v>39</v>
      </c>
      <c r="E827" t="s">
        <v>49</v>
      </c>
      <c r="F827" t="s">
        <v>50</v>
      </c>
      <c r="G827">
        <v>2</v>
      </c>
      <c r="H827">
        <v>1300.1300000000001</v>
      </c>
      <c r="I827">
        <v>0.04</v>
      </c>
      <c r="J827">
        <v>2496.25</v>
      </c>
      <c r="K827" t="s">
        <v>19</v>
      </c>
      <c r="L827" t="s">
        <v>29</v>
      </c>
      <c r="M827" t="s">
        <v>54</v>
      </c>
      <c r="N827" t="s">
        <v>22</v>
      </c>
    </row>
    <row r="828" spans="1:14" x14ac:dyDescent="0.3">
      <c r="A828" t="s">
        <v>889</v>
      </c>
      <c r="B828" s="1">
        <v>45838</v>
      </c>
      <c r="C828" t="s">
        <v>15</v>
      </c>
      <c r="D828" t="s">
        <v>25</v>
      </c>
      <c r="E828" t="s">
        <v>49</v>
      </c>
      <c r="F828" t="s">
        <v>73</v>
      </c>
      <c r="G828">
        <v>3</v>
      </c>
      <c r="H828">
        <v>2051.4</v>
      </c>
      <c r="I828">
        <v>0.04</v>
      </c>
      <c r="J828">
        <v>5908.03</v>
      </c>
      <c r="K828" t="s">
        <v>41</v>
      </c>
      <c r="L828" t="s">
        <v>20</v>
      </c>
      <c r="M828" t="s">
        <v>30</v>
      </c>
      <c r="N828" t="s">
        <v>22</v>
      </c>
    </row>
    <row r="829" spans="1:14" x14ac:dyDescent="0.3">
      <c r="A829" t="s">
        <v>890</v>
      </c>
      <c r="B829" s="1">
        <v>45824</v>
      </c>
      <c r="C829" t="s">
        <v>48</v>
      </c>
      <c r="D829" t="s">
        <v>43</v>
      </c>
      <c r="E829" t="s">
        <v>49</v>
      </c>
      <c r="F829" t="s">
        <v>73</v>
      </c>
      <c r="G829">
        <v>4</v>
      </c>
      <c r="H829">
        <v>4284.8100000000004</v>
      </c>
      <c r="I829">
        <v>0.19</v>
      </c>
      <c r="J829">
        <v>13882.78</v>
      </c>
      <c r="K829" t="s">
        <v>58</v>
      </c>
      <c r="L829" t="s">
        <v>34</v>
      </c>
      <c r="M829" t="s">
        <v>30</v>
      </c>
      <c r="N829" t="s">
        <v>22</v>
      </c>
    </row>
    <row r="830" spans="1:14" x14ac:dyDescent="0.3">
      <c r="A830" t="s">
        <v>891</v>
      </c>
      <c r="B830" s="1">
        <v>45683</v>
      </c>
      <c r="C830" t="s">
        <v>48</v>
      </c>
      <c r="D830" t="s">
        <v>16</v>
      </c>
      <c r="E830" t="s">
        <v>61</v>
      </c>
      <c r="F830" t="s">
        <v>66</v>
      </c>
      <c r="G830">
        <v>4</v>
      </c>
      <c r="H830">
        <v>1487.81</v>
      </c>
      <c r="I830">
        <v>0.14000000000000001</v>
      </c>
      <c r="J830">
        <v>5118.07</v>
      </c>
      <c r="K830" t="s">
        <v>41</v>
      </c>
      <c r="L830" t="s">
        <v>34</v>
      </c>
      <c r="M830" t="s">
        <v>30</v>
      </c>
      <c r="N830" t="s">
        <v>22</v>
      </c>
    </row>
    <row r="831" spans="1:14" x14ac:dyDescent="0.3">
      <c r="A831" t="s">
        <v>892</v>
      </c>
      <c r="B831" s="1">
        <v>45748</v>
      </c>
      <c r="C831" t="s">
        <v>52</v>
      </c>
      <c r="D831" t="s">
        <v>25</v>
      </c>
      <c r="E831" t="s">
        <v>49</v>
      </c>
      <c r="F831" t="s">
        <v>73</v>
      </c>
      <c r="G831">
        <v>1</v>
      </c>
      <c r="H831">
        <v>4322.1099999999997</v>
      </c>
      <c r="I831">
        <v>0.18</v>
      </c>
      <c r="J831">
        <v>3544.13</v>
      </c>
      <c r="K831" t="s">
        <v>19</v>
      </c>
      <c r="L831" t="s">
        <v>20</v>
      </c>
      <c r="M831" t="s">
        <v>30</v>
      </c>
      <c r="N831" t="s">
        <v>22</v>
      </c>
    </row>
    <row r="832" spans="1:14" x14ac:dyDescent="0.3">
      <c r="A832" t="s">
        <v>893</v>
      </c>
      <c r="B832" s="1">
        <v>45685</v>
      </c>
      <c r="C832" t="s">
        <v>15</v>
      </c>
      <c r="D832" t="s">
        <v>16</v>
      </c>
      <c r="E832" t="s">
        <v>49</v>
      </c>
      <c r="F832" t="s">
        <v>50</v>
      </c>
      <c r="G832">
        <v>3</v>
      </c>
      <c r="H832">
        <v>3241.14</v>
      </c>
      <c r="I832">
        <v>0.15</v>
      </c>
      <c r="J832">
        <v>8264.91</v>
      </c>
      <c r="K832" t="s">
        <v>41</v>
      </c>
      <c r="L832" t="s">
        <v>34</v>
      </c>
      <c r="M832" t="s">
        <v>30</v>
      </c>
      <c r="N832" t="s">
        <v>59</v>
      </c>
    </row>
    <row r="833" spans="1:14" x14ac:dyDescent="0.3">
      <c r="A833" t="s">
        <v>894</v>
      </c>
      <c r="B833" s="1">
        <v>45815</v>
      </c>
      <c r="C833" t="s">
        <v>36</v>
      </c>
      <c r="D833" t="s">
        <v>39</v>
      </c>
      <c r="E833" t="s">
        <v>17</v>
      </c>
      <c r="F833" t="s">
        <v>40</v>
      </c>
      <c r="G833">
        <v>4</v>
      </c>
      <c r="H833">
        <v>4789.7700000000004</v>
      </c>
      <c r="I833">
        <v>0.19</v>
      </c>
      <c r="J833">
        <v>15518.85</v>
      </c>
      <c r="K833" t="s">
        <v>19</v>
      </c>
      <c r="L833" t="s">
        <v>20</v>
      </c>
      <c r="M833" t="s">
        <v>21</v>
      </c>
      <c r="N833" t="s">
        <v>22</v>
      </c>
    </row>
    <row r="834" spans="1:14" x14ac:dyDescent="0.3">
      <c r="A834" t="s">
        <v>895</v>
      </c>
      <c r="B834" s="1">
        <v>45750</v>
      </c>
      <c r="C834" t="s">
        <v>24</v>
      </c>
      <c r="D834" t="s">
        <v>16</v>
      </c>
      <c r="E834" t="s">
        <v>49</v>
      </c>
      <c r="F834" t="s">
        <v>53</v>
      </c>
      <c r="G834">
        <v>2</v>
      </c>
      <c r="H834">
        <v>1287.53</v>
      </c>
      <c r="I834">
        <v>0.01</v>
      </c>
      <c r="J834">
        <v>2549.31</v>
      </c>
      <c r="K834" t="s">
        <v>41</v>
      </c>
      <c r="L834" t="s">
        <v>34</v>
      </c>
      <c r="M834" t="s">
        <v>30</v>
      </c>
      <c r="N834" t="s">
        <v>22</v>
      </c>
    </row>
    <row r="835" spans="1:14" x14ac:dyDescent="0.3">
      <c r="A835" t="s">
        <v>896</v>
      </c>
      <c r="B835" s="1">
        <v>45789</v>
      </c>
      <c r="C835" t="s">
        <v>36</v>
      </c>
      <c r="D835" t="s">
        <v>43</v>
      </c>
      <c r="E835" t="s">
        <v>61</v>
      </c>
      <c r="F835" t="s">
        <v>66</v>
      </c>
      <c r="G835">
        <v>2</v>
      </c>
      <c r="H835">
        <v>1346.01</v>
      </c>
      <c r="I835">
        <v>0.15</v>
      </c>
      <c r="J835">
        <v>2288.2199999999998</v>
      </c>
      <c r="K835" t="s">
        <v>41</v>
      </c>
      <c r="L835" t="s">
        <v>29</v>
      </c>
      <c r="M835" t="s">
        <v>21</v>
      </c>
      <c r="N835" t="s">
        <v>22</v>
      </c>
    </row>
    <row r="836" spans="1:14" x14ac:dyDescent="0.3">
      <c r="A836" t="s">
        <v>897</v>
      </c>
      <c r="B836" s="1">
        <v>45763</v>
      </c>
      <c r="C836" t="s">
        <v>48</v>
      </c>
      <c r="D836" t="s">
        <v>25</v>
      </c>
      <c r="E836" t="s">
        <v>17</v>
      </c>
      <c r="F836" t="s">
        <v>40</v>
      </c>
      <c r="G836">
        <v>5</v>
      </c>
      <c r="H836">
        <v>4558.75</v>
      </c>
      <c r="I836">
        <v>0.22</v>
      </c>
      <c r="J836">
        <v>17779.12</v>
      </c>
      <c r="K836" t="s">
        <v>33</v>
      </c>
      <c r="L836" t="s">
        <v>20</v>
      </c>
      <c r="M836" t="s">
        <v>54</v>
      </c>
      <c r="N836" t="s">
        <v>22</v>
      </c>
    </row>
    <row r="837" spans="1:14" x14ac:dyDescent="0.3">
      <c r="A837" t="s">
        <v>898</v>
      </c>
      <c r="B837" s="1">
        <v>45768</v>
      </c>
      <c r="C837" t="s">
        <v>36</v>
      </c>
      <c r="D837" t="s">
        <v>16</v>
      </c>
      <c r="E837" t="s">
        <v>99</v>
      </c>
      <c r="F837" t="s">
        <v>115</v>
      </c>
      <c r="G837">
        <v>4</v>
      </c>
      <c r="H837">
        <v>3787.07</v>
      </c>
      <c r="I837">
        <v>0.23</v>
      </c>
      <c r="J837">
        <v>11664.18</v>
      </c>
      <c r="K837" t="s">
        <v>46</v>
      </c>
      <c r="L837" t="s">
        <v>29</v>
      </c>
      <c r="M837" t="s">
        <v>54</v>
      </c>
      <c r="N837" t="s">
        <v>22</v>
      </c>
    </row>
    <row r="838" spans="1:14" x14ac:dyDescent="0.3">
      <c r="A838" t="s">
        <v>899</v>
      </c>
      <c r="B838" s="1">
        <v>45775</v>
      </c>
      <c r="C838" t="s">
        <v>15</v>
      </c>
      <c r="D838" t="s">
        <v>25</v>
      </c>
      <c r="E838" t="s">
        <v>99</v>
      </c>
      <c r="F838" t="s">
        <v>100</v>
      </c>
      <c r="G838">
        <v>4</v>
      </c>
      <c r="H838">
        <v>3525.14</v>
      </c>
      <c r="I838">
        <v>0</v>
      </c>
      <c r="J838">
        <v>14100.56</v>
      </c>
      <c r="K838" t="s">
        <v>19</v>
      </c>
      <c r="L838" t="s">
        <v>29</v>
      </c>
      <c r="M838" t="s">
        <v>54</v>
      </c>
      <c r="N838" t="s">
        <v>22</v>
      </c>
    </row>
    <row r="839" spans="1:14" x14ac:dyDescent="0.3">
      <c r="A839" t="s">
        <v>900</v>
      </c>
      <c r="B839" s="1">
        <v>45721</v>
      </c>
      <c r="C839" t="s">
        <v>36</v>
      </c>
      <c r="D839" t="s">
        <v>43</v>
      </c>
      <c r="E839" t="s">
        <v>17</v>
      </c>
      <c r="F839" t="s">
        <v>40</v>
      </c>
      <c r="G839">
        <v>3</v>
      </c>
      <c r="H839">
        <v>3691.91</v>
      </c>
      <c r="I839">
        <v>0.04</v>
      </c>
      <c r="J839">
        <v>10632.7</v>
      </c>
      <c r="K839" t="s">
        <v>41</v>
      </c>
      <c r="L839" t="s">
        <v>29</v>
      </c>
      <c r="M839" t="s">
        <v>30</v>
      </c>
      <c r="N839" t="s">
        <v>22</v>
      </c>
    </row>
    <row r="840" spans="1:14" x14ac:dyDescent="0.3">
      <c r="A840" t="s">
        <v>901</v>
      </c>
      <c r="B840" s="1">
        <v>45806</v>
      </c>
      <c r="C840" t="s">
        <v>52</v>
      </c>
      <c r="D840" t="s">
        <v>16</v>
      </c>
      <c r="E840" t="s">
        <v>61</v>
      </c>
      <c r="F840" t="s">
        <v>92</v>
      </c>
      <c r="G840">
        <v>4</v>
      </c>
      <c r="H840">
        <v>2878.75</v>
      </c>
      <c r="I840">
        <v>0.05</v>
      </c>
      <c r="J840">
        <v>10939.25</v>
      </c>
      <c r="K840" t="s">
        <v>33</v>
      </c>
      <c r="L840" t="s">
        <v>20</v>
      </c>
      <c r="M840" t="s">
        <v>54</v>
      </c>
      <c r="N840" t="s">
        <v>22</v>
      </c>
    </row>
    <row r="841" spans="1:14" x14ac:dyDescent="0.3">
      <c r="A841" t="s">
        <v>902</v>
      </c>
      <c r="B841" s="1">
        <v>45833</v>
      </c>
      <c r="C841" t="s">
        <v>48</v>
      </c>
      <c r="D841" t="s">
        <v>39</v>
      </c>
      <c r="E841" t="s">
        <v>61</v>
      </c>
      <c r="F841" t="s">
        <v>66</v>
      </c>
      <c r="G841">
        <v>5</v>
      </c>
      <c r="H841">
        <v>635.05999999999995</v>
      </c>
      <c r="I841">
        <v>0.16</v>
      </c>
      <c r="J841">
        <v>2667.25</v>
      </c>
      <c r="K841" t="s">
        <v>41</v>
      </c>
      <c r="L841" t="s">
        <v>29</v>
      </c>
      <c r="M841" t="s">
        <v>54</v>
      </c>
      <c r="N841" t="s">
        <v>22</v>
      </c>
    </row>
    <row r="842" spans="1:14" x14ac:dyDescent="0.3">
      <c r="A842" t="s">
        <v>903</v>
      </c>
      <c r="B842" s="1">
        <v>45745</v>
      </c>
      <c r="C842" t="s">
        <v>24</v>
      </c>
      <c r="D842" t="s">
        <v>16</v>
      </c>
      <c r="E842" t="s">
        <v>17</v>
      </c>
      <c r="F842" t="s">
        <v>32</v>
      </c>
      <c r="G842">
        <v>5</v>
      </c>
      <c r="H842">
        <v>1250.42</v>
      </c>
      <c r="I842">
        <v>0.12</v>
      </c>
      <c r="J842">
        <v>5501.85</v>
      </c>
      <c r="K842" t="s">
        <v>46</v>
      </c>
      <c r="L842" t="s">
        <v>20</v>
      </c>
      <c r="M842" t="s">
        <v>54</v>
      </c>
      <c r="N842" t="s">
        <v>22</v>
      </c>
    </row>
    <row r="843" spans="1:14" x14ac:dyDescent="0.3">
      <c r="A843" t="s">
        <v>904</v>
      </c>
      <c r="B843" s="1">
        <v>45778</v>
      </c>
      <c r="C843" t="s">
        <v>24</v>
      </c>
      <c r="D843" t="s">
        <v>25</v>
      </c>
      <c r="E843" t="s">
        <v>17</v>
      </c>
      <c r="F843" t="s">
        <v>18</v>
      </c>
      <c r="G843">
        <v>1</v>
      </c>
      <c r="H843">
        <v>1940.76</v>
      </c>
      <c r="I843">
        <v>0.13</v>
      </c>
      <c r="J843">
        <v>1688.46</v>
      </c>
      <c r="K843" t="s">
        <v>19</v>
      </c>
      <c r="L843" t="s">
        <v>29</v>
      </c>
      <c r="M843" t="s">
        <v>30</v>
      </c>
      <c r="N843" t="s">
        <v>22</v>
      </c>
    </row>
    <row r="844" spans="1:14" x14ac:dyDescent="0.3">
      <c r="A844" t="s">
        <v>905</v>
      </c>
      <c r="B844" s="1">
        <v>45818</v>
      </c>
      <c r="C844" t="s">
        <v>15</v>
      </c>
      <c r="D844" t="s">
        <v>25</v>
      </c>
      <c r="E844" t="s">
        <v>99</v>
      </c>
      <c r="F844" t="s">
        <v>115</v>
      </c>
      <c r="G844">
        <v>3</v>
      </c>
      <c r="H844">
        <v>4997.28</v>
      </c>
      <c r="I844">
        <v>0.2</v>
      </c>
      <c r="J844">
        <v>11993.47</v>
      </c>
      <c r="K844" t="s">
        <v>46</v>
      </c>
      <c r="L844" t="s">
        <v>29</v>
      </c>
      <c r="M844" t="s">
        <v>30</v>
      </c>
      <c r="N844" t="s">
        <v>22</v>
      </c>
    </row>
    <row r="845" spans="1:14" x14ac:dyDescent="0.3">
      <c r="A845" t="s">
        <v>906</v>
      </c>
      <c r="B845" s="1">
        <v>45799</v>
      </c>
      <c r="C845" t="s">
        <v>15</v>
      </c>
      <c r="D845" t="s">
        <v>16</v>
      </c>
      <c r="E845" t="s">
        <v>17</v>
      </c>
      <c r="F845" t="s">
        <v>32</v>
      </c>
      <c r="G845">
        <v>4</v>
      </c>
      <c r="H845">
        <v>4365.6499999999996</v>
      </c>
      <c r="I845">
        <v>0.1</v>
      </c>
      <c r="J845">
        <v>15716.34</v>
      </c>
      <c r="K845" t="s">
        <v>58</v>
      </c>
      <c r="L845" t="s">
        <v>20</v>
      </c>
      <c r="M845" t="s">
        <v>54</v>
      </c>
      <c r="N845" t="s">
        <v>22</v>
      </c>
    </row>
    <row r="846" spans="1:14" x14ac:dyDescent="0.3">
      <c r="A846" t="s">
        <v>907</v>
      </c>
      <c r="B846" s="1">
        <v>45833</v>
      </c>
      <c r="C846" t="s">
        <v>52</v>
      </c>
      <c r="D846" t="s">
        <v>25</v>
      </c>
      <c r="E846" t="s">
        <v>27</v>
      </c>
      <c r="F846" t="s">
        <v>28</v>
      </c>
      <c r="G846">
        <v>5</v>
      </c>
      <c r="H846">
        <v>3462.31</v>
      </c>
      <c r="I846">
        <v>0.22</v>
      </c>
      <c r="J846">
        <v>13503.01</v>
      </c>
      <c r="K846" t="s">
        <v>46</v>
      </c>
      <c r="L846" t="s">
        <v>34</v>
      </c>
      <c r="M846" t="s">
        <v>21</v>
      </c>
      <c r="N846" t="s">
        <v>22</v>
      </c>
    </row>
    <row r="847" spans="1:14" x14ac:dyDescent="0.3">
      <c r="A847" t="s">
        <v>908</v>
      </c>
      <c r="B847" s="1">
        <v>45758</v>
      </c>
      <c r="C847" t="s">
        <v>24</v>
      </c>
      <c r="D847" t="s">
        <v>25</v>
      </c>
      <c r="E847" t="s">
        <v>17</v>
      </c>
      <c r="F847" t="s">
        <v>32</v>
      </c>
      <c r="G847">
        <v>3</v>
      </c>
      <c r="H847">
        <v>3421.85</v>
      </c>
      <c r="I847">
        <v>0.06</v>
      </c>
      <c r="J847">
        <v>9649.6200000000008</v>
      </c>
      <c r="K847" t="s">
        <v>46</v>
      </c>
      <c r="L847" t="s">
        <v>20</v>
      </c>
      <c r="M847" t="s">
        <v>30</v>
      </c>
      <c r="N847" t="s">
        <v>22</v>
      </c>
    </row>
    <row r="848" spans="1:14" x14ac:dyDescent="0.3">
      <c r="A848" t="s">
        <v>909</v>
      </c>
      <c r="B848" s="1">
        <v>45742</v>
      </c>
      <c r="C848" t="s">
        <v>48</v>
      </c>
      <c r="D848" t="s">
        <v>43</v>
      </c>
      <c r="E848" t="s">
        <v>17</v>
      </c>
      <c r="F848" t="s">
        <v>32</v>
      </c>
      <c r="G848">
        <v>1</v>
      </c>
      <c r="H848">
        <v>3697.96</v>
      </c>
      <c r="I848">
        <v>7.0000000000000007E-2</v>
      </c>
      <c r="J848">
        <v>3439.1</v>
      </c>
      <c r="K848" t="s">
        <v>41</v>
      </c>
      <c r="L848" t="s">
        <v>29</v>
      </c>
      <c r="M848" t="s">
        <v>54</v>
      </c>
      <c r="N848" t="s">
        <v>37</v>
      </c>
    </row>
    <row r="849" spans="1:14" x14ac:dyDescent="0.3">
      <c r="A849" t="s">
        <v>910</v>
      </c>
      <c r="B849" s="1">
        <v>45821</v>
      </c>
      <c r="C849" t="s">
        <v>52</v>
      </c>
      <c r="D849" t="s">
        <v>43</v>
      </c>
      <c r="E849" t="s">
        <v>27</v>
      </c>
      <c r="F849" t="s">
        <v>79</v>
      </c>
      <c r="G849">
        <v>3</v>
      </c>
      <c r="H849">
        <v>4178.54</v>
      </c>
      <c r="I849">
        <v>0.25</v>
      </c>
      <c r="J849">
        <v>9401.7199999999993</v>
      </c>
      <c r="K849" t="s">
        <v>41</v>
      </c>
      <c r="L849" t="s">
        <v>20</v>
      </c>
      <c r="M849" t="s">
        <v>30</v>
      </c>
      <c r="N849" t="s">
        <v>37</v>
      </c>
    </row>
    <row r="850" spans="1:14" x14ac:dyDescent="0.3">
      <c r="A850" t="s">
        <v>911</v>
      </c>
      <c r="B850" s="1">
        <v>45836</v>
      </c>
      <c r="C850" t="s">
        <v>36</v>
      </c>
      <c r="D850" t="s">
        <v>16</v>
      </c>
      <c r="E850" t="s">
        <v>17</v>
      </c>
      <c r="F850" t="s">
        <v>40</v>
      </c>
      <c r="G850">
        <v>2</v>
      </c>
      <c r="H850">
        <v>935.12</v>
      </c>
      <c r="I850">
        <v>0.24</v>
      </c>
      <c r="J850">
        <v>1421.38</v>
      </c>
      <c r="K850" t="s">
        <v>19</v>
      </c>
      <c r="L850" t="s">
        <v>20</v>
      </c>
      <c r="M850" t="s">
        <v>21</v>
      </c>
      <c r="N850" t="s">
        <v>22</v>
      </c>
    </row>
    <row r="851" spans="1:14" x14ac:dyDescent="0.3">
      <c r="A851" t="s">
        <v>912</v>
      </c>
      <c r="B851" s="1">
        <v>45766</v>
      </c>
      <c r="C851" t="s">
        <v>15</v>
      </c>
      <c r="D851" t="s">
        <v>16</v>
      </c>
      <c r="E851" t="s">
        <v>17</v>
      </c>
      <c r="F851" t="s">
        <v>44</v>
      </c>
      <c r="G851">
        <v>2</v>
      </c>
      <c r="H851">
        <v>3623.96</v>
      </c>
      <c r="I851">
        <v>0.17</v>
      </c>
      <c r="J851">
        <v>6015.77</v>
      </c>
      <c r="K851" t="s">
        <v>41</v>
      </c>
      <c r="L851" t="s">
        <v>34</v>
      </c>
      <c r="M851" t="s">
        <v>21</v>
      </c>
      <c r="N851" t="s">
        <v>22</v>
      </c>
    </row>
    <row r="852" spans="1:14" x14ac:dyDescent="0.3">
      <c r="A852" t="s">
        <v>913</v>
      </c>
      <c r="B852" s="1">
        <v>45746</v>
      </c>
      <c r="C852" t="s">
        <v>24</v>
      </c>
      <c r="D852" t="s">
        <v>39</v>
      </c>
      <c r="E852" t="s">
        <v>27</v>
      </c>
      <c r="F852" t="s">
        <v>87</v>
      </c>
      <c r="G852">
        <v>5</v>
      </c>
      <c r="H852">
        <v>3855.05</v>
      </c>
      <c r="I852">
        <v>0.15</v>
      </c>
      <c r="J852">
        <v>16383.96</v>
      </c>
      <c r="K852" t="s">
        <v>46</v>
      </c>
      <c r="L852" t="s">
        <v>20</v>
      </c>
      <c r="M852" t="s">
        <v>21</v>
      </c>
      <c r="N852" t="s">
        <v>22</v>
      </c>
    </row>
    <row r="853" spans="1:14" x14ac:dyDescent="0.3">
      <c r="A853" t="s">
        <v>914</v>
      </c>
      <c r="B853" s="1">
        <v>45834</v>
      </c>
      <c r="C853" t="s">
        <v>52</v>
      </c>
      <c r="D853" t="s">
        <v>43</v>
      </c>
      <c r="E853" t="s">
        <v>49</v>
      </c>
      <c r="F853" t="s">
        <v>50</v>
      </c>
      <c r="G853">
        <v>1</v>
      </c>
      <c r="H853">
        <v>1525.78</v>
      </c>
      <c r="I853">
        <v>0.03</v>
      </c>
      <c r="J853">
        <v>1480.01</v>
      </c>
      <c r="K853" t="s">
        <v>19</v>
      </c>
      <c r="L853" t="s">
        <v>34</v>
      </c>
      <c r="M853" t="s">
        <v>30</v>
      </c>
      <c r="N853" t="s">
        <v>22</v>
      </c>
    </row>
    <row r="854" spans="1:14" x14ac:dyDescent="0.3">
      <c r="A854" t="s">
        <v>915</v>
      </c>
      <c r="B854" s="1">
        <v>45690</v>
      </c>
      <c r="C854" t="s">
        <v>52</v>
      </c>
      <c r="D854" t="s">
        <v>43</v>
      </c>
      <c r="E854" t="s">
        <v>17</v>
      </c>
      <c r="F854" t="s">
        <v>32</v>
      </c>
      <c r="G854">
        <v>5</v>
      </c>
      <c r="H854">
        <v>3710.9</v>
      </c>
      <c r="I854">
        <v>0.08</v>
      </c>
      <c r="J854">
        <v>17070.14</v>
      </c>
      <c r="K854" t="s">
        <v>46</v>
      </c>
      <c r="L854" t="s">
        <v>34</v>
      </c>
      <c r="M854" t="s">
        <v>21</v>
      </c>
      <c r="N854" t="s">
        <v>88</v>
      </c>
    </row>
    <row r="855" spans="1:14" x14ac:dyDescent="0.3">
      <c r="A855" t="s">
        <v>916</v>
      </c>
      <c r="B855" s="1">
        <v>45804</v>
      </c>
      <c r="C855" t="s">
        <v>15</v>
      </c>
      <c r="D855" t="s">
        <v>25</v>
      </c>
      <c r="E855" t="s">
        <v>49</v>
      </c>
      <c r="F855" t="s">
        <v>53</v>
      </c>
      <c r="G855">
        <v>5</v>
      </c>
      <c r="H855">
        <v>2994.8</v>
      </c>
      <c r="I855">
        <v>0.03</v>
      </c>
      <c r="J855">
        <v>14524.78</v>
      </c>
      <c r="K855" t="s">
        <v>19</v>
      </c>
      <c r="L855" t="s">
        <v>29</v>
      </c>
      <c r="M855" t="s">
        <v>54</v>
      </c>
      <c r="N855" t="s">
        <v>22</v>
      </c>
    </row>
    <row r="856" spans="1:14" x14ac:dyDescent="0.3">
      <c r="A856" t="s">
        <v>917</v>
      </c>
      <c r="B856" s="1">
        <v>45827</v>
      </c>
      <c r="C856" t="s">
        <v>48</v>
      </c>
      <c r="D856" t="s">
        <v>16</v>
      </c>
      <c r="E856" t="s">
        <v>99</v>
      </c>
      <c r="F856" t="s">
        <v>100</v>
      </c>
      <c r="G856">
        <v>5</v>
      </c>
      <c r="H856">
        <v>1488.62</v>
      </c>
      <c r="I856">
        <v>0.19</v>
      </c>
      <c r="J856">
        <v>6028.91</v>
      </c>
      <c r="K856" t="s">
        <v>41</v>
      </c>
      <c r="L856" t="s">
        <v>20</v>
      </c>
      <c r="M856" t="s">
        <v>21</v>
      </c>
      <c r="N856" t="s">
        <v>22</v>
      </c>
    </row>
    <row r="857" spans="1:14" x14ac:dyDescent="0.3">
      <c r="A857" t="s">
        <v>918</v>
      </c>
      <c r="B857" s="1">
        <v>45752</v>
      </c>
      <c r="C857" t="s">
        <v>15</v>
      </c>
      <c r="D857" t="s">
        <v>16</v>
      </c>
      <c r="E857" t="s">
        <v>99</v>
      </c>
      <c r="F857" t="s">
        <v>120</v>
      </c>
      <c r="G857">
        <v>2</v>
      </c>
      <c r="H857">
        <v>2525.63</v>
      </c>
      <c r="I857">
        <v>0.18</v>
      </c>
      <c r="J857">
        <v>4142.03</v>
      </c>
      <c r="K857" t="s">
        <v>33</v>
      </c>
      <c r="L857" t="s">
        <v>34</v>
      </c>
      <c r="M857" t="s">
        <v>30</v>
      </c>
      <c r="N857" t="s">
        <v>59</v>
      </c>
    </row>
    <row r="858" spans="1:14" x14ac:dyDescent="0.3">
      <c r="A858" t="s">
        <v>919</v>
      </c>
      <c r="B858" s="1">
        <v>45747</v>
      </c>
      <c r="C858" t="s">
        <v>52</v>
      </c>
      <c r="D858" t="s">
        <v>25</v>
      </c>
      <c r="E858" t="s">
        <v>99</v>
      </c>
      <c r="F858" t="s">
        <v>100</v>
      </c>
      <c r="G858">
        <v>1</v>
      </c>
      <c r="H858">
        <v>4623.47</v>
      </c>
      <c r="I858">
        <v>0.19</v>
      </c>
      <c r="J858">
        <v>3745.01</v>
      </c>
      <c r="K858" t="s">
        <v>19</v>
      </c>
      <c r="L858" t="s">
        <v>29</v>
      </c>
      <c r="M858" t="s">
        <v>30</v>
      </c>
      <c r="N858" t="s">
        <v>22</v>
      </c>
    </row>
    <row r="859" spans="1:14" x14ac:dyDescent="0.3">
      <c r="A859" t="s">
        <v>920</v>
      </c>
      <c r="B859" s="1">
        <v>45710</v>
      </c>
      <c r="C859" t="s">
        <v>36</v>
      </c>
      <c r="D859" t="s">
        <v>25</v>
      </c>
      <c r="E859" t="s">
        <v>61</v>
      </c>
      <c r="F859" t="s">
        <v>62</v>
      </c>
      <c r="G859">
        <v>4</v>
      </c>
      <c r="H859">
        <v>3421.7</v>
      </c>
      <c r="I859">
        <v>0.25</v>
      </c>
      <c r="J859">
        <v>10265.1</v>
      </c>
      <c r="K859" t="s">
        <v>41</v>
      </c>
      <c r="L859" t="s">
        <v>34</v>
      </c>
      <c r="M859" t="s">
        <v>30</v>
      </c>
      <c r="N859" t="s">
        <v>22</v>
      </c>
    </row>
    <row r="860" spans="1:14" x14ac:dyDescent="0.3">
      <c r="A860" t="s">
        <v>921</v>
      </c>
      <c r="B860" s="1">
        <v>45805</v>
      </c>
      <c r="C860" t="s">
        <v>52</v>
      </c>
      <c r="D860" t="s">
        <v>16</v>
      </c>
      <c r="E860" t="s">
        <v>99</v>
      </c>
      <c r="F860" t="s">
        <v>111</v>
      </c>
      <c r="G860">
        <v>1</v>
      </c>
      <c r="H860">
        <v>741.41</v>
      </c>
      <c r="I860">
        <v>0.19</v>
      </c>
      <c r="J860">
        <v>600.54</v>
      </c>
      <c r="K860" t="s">
        <v>33</v>
      </c>
      <c r="L860" t="s">
        <v>34</v>
      </c>
      <c r="M860" t="s">
        <v>21</v>
      </c>
      <c r="N860" t="s">
        <v>88</v>
      </c>
    </row>
    <row r="861" spans="1:14" x14ac:dyDescent="0.3">
      <c r="A861" t="s">
        <v>922</v>
      </c>
      <c r="B861" s="1">
        <v>45708</v>
      </c>
      <c r="C861" t="s">
        <v>52</v>
      </c>
      <c r="D861" t="s">
        <v>43</v>
      </c>
      <c r="E861" t="s">
        <v>99</v>
      </c>
      <c r="F861" t="s">
        <v>115</v>
      </c>
      <c r="G861">
        <v>4</v>
      </c>
      <c r="H861">
        <v>3510.18</v>
      </c>
      <c r="I861">
        <v>7.0000000000000007E-2</v>
      </c>
      <c r="J861">
        <v>13057.87</v>
      </c>
      <c r="K861" t="s">
        <v>33</v>
      </c>
      <c r="L861" t="s">
        <v>20</v>
      </c>
      <c r="M861" t="s">
        <v>54</v>
      </c>
      <c r="N861" t="s">
        <v>22</v>
      </c>
    </row>
    <row r="862" spans="1:14" x14ac:dyDescent="0.3">
      <c r="A862" t="s">
        <v>923</v>
      </c>
      <c r="B862" s="1">
        <v>45823</v>
      </c>
      <c r="C862" t="s">
        <v>15</v>
      </c>
      <c r="D862" t="s">
        <v>43</v>
      </c>
      <c r="E862" t="s">
        <v>61</v>
      </c>
      <c r="F862" t="s">
        <v>62</v>
      </c>
      <c r="G862">
        <v>2</v>
      </c>
      <c r="H862">
        <v>1945.12</v>
      </c>
      <c r="I862">
        <v>0.25</v>
      </c>
      <c r="J862">
        <v>2917.68</v>
      </c>
      <c r="K862" t="s">
        <v>33</v>
      </c>
      <c r="L862" t="s">
        <v>20</v>
      </c>
      <c r="M862" t="s">
        <v>21</v>
      </c>
      <c r="N862" t="s">
        <v>37</v>
      </c>
    </row>
    <row r="863" spans="1:14" x14ac:dyDescent="0.3">
      <c r="A863" t="s">
        <v>924</v>
      </c>
      <c r="B863" s="1">
        <v>45783</v>
      </c>
      <c r="C863" t="s">
        <v>48</v>
      </c>
      <c r="D863" t="s">
        <v>25</v>
      </c>
      <c r="E863" t="s">
        <v>17</v>
      </c>
      <c r="F863" t="s">
        <v>32</v>
      </c>
      <c r="G863">
        <v>1</v>
      </c>
      <c r="H863">
        <v>4903.3599999999997</v>
      </c>
      <c r="I863">
        <v>0.16</v>
      </c>
      <c r="J863">
        <v>4118.82</v>
      </c>
      <c r="K863" t="s">
        <v>19</v>
      </c>
      <c r="L863" t="s">
        <v>20</v>
      </c>
      <c r="M863" t="s">
        <v>21</v>
      </c>
      <c r="N863" t="s">
        <v>59</v>
      </c>
    </row>
    <row r="864" spans="1:14" x14ac:dyDescent="0.3">
      <c r="A864" t="s">
        <v>925</v>
      </c>
      <c r="B864" s="1">
        <v>45713</v>
      </c>
      <c r="C864" t="s">
        <v>24</v>
      </c>
      <c r="D864" t="s">
        <v>25</v>
      </c>
      <c r="E864" t="s">
        <v>49</v>
      </c>
      <c r="F864" t="s">
        <v>73</v>
      </c>
      <c r="G864">
        <v>4</v>
      </c>
      <c r="H864">
        <v>2494.27</v>
      </c>
      <c r="I864">
        <v>0.17</v>
      </c>
      <c r="J864">
        <v>8280.98</v>
      </c>
      <c r="K864" t="s">
        <v>58</v>
      </c>
      <c r="L864" t="s">
        <v>20</v>
      </c>
      <c r="M864" t="s">
        <v>54</v>
      </c>
      <c r="N864" t="s">
        <v>88</v>
      </c>
    </row>
    <row r="865" spans="1:14" x14ac:dyDescent="0.3">
      <c r="A865" t="s">
        <v>926</v>
      </c>
      <c r="B865" s="1">
        <v>45808</v>
      </c>
      <c r="C865" t="s">
        <v>48</v>
      </c>
      <c r="D865" t="s">
        <v>16</v>
      </c>
      <c r="E865" t="s">
        <v>17</v>
      </c>
      <c r="F865" t="s">
        <v>40</v>
      </c>
      <c r="G865">
        <v>4</v>
      </c>
      <c r="H865">
        <v>1899.88</v>
      </c>
      <c r="I865">
        <v>0.03</v>
      </c>
      <c r="J865">
        <v>7371.53</v>
      </c>
      <c r="K865" t="s">
        <v>46</v>
      </c>
      <c r="L865" t="s">
        <v>29</v>
      </c>
      <c r="M865" t="s">
        <v>54</v>
      </c>
      <c r="N865" t="s">
        <v>22</v>
      </c>
    </row>
    <row r="866" spans="1:14" x14ac:dyDescent="0.3">
      <c r="A866" t="s">
        <v>927</v>
      </c>
      <c r="B866" s="1">
        <v>45811</v>
      </c>
      <c r="C866" t="s">
        <v>24</v>
      </c>
      <c r="D866" t="s">
        <v>43</v>
      </c>
      <c r="E866" t="s">
        <v>27</v>
      </c>
      <c r="F866" t="s">
        <v>68</v>
      </c>
      <c r="G866">
        <v>5</v>
      </c>
      <c r="H866">
        <v>2449.54</v>
      </c>
      <c r="I866">
        <v>0.17</v>
      </c>
      <c r="J866">
        <v>10165.59</v>
      </c>
      <c r="K866" t="s">
        <v>33</v>
      </c>
      <c r="L866" t="s">
        <v>29</v>
      </c>
      <c r="M866" t="s">
        <v>54</v>
      </c>
      <c r="N866" t="s">
        <v>22</v>
      </c>
    </row>
    <row r="867" spans="1:14" x14ac:dyDescent="0.3">
      <c r="A867" t="s">
        <v>928</v>
      </c>
      <c r="B867" s="1">
        <v>45761</v>
      </c>
      <c r="C867" t="s">
        <v>36</v>
      </c>
      <c r="D867" t="s">
        <v>43</v>
      </c>
      <c r="E867" t="s">
        <v>49</v>
      </c>
      <c r="F867" t="s">
        <v>53</v>
      </c>
      <c r="G867">
        <v>3</v>
      </c>
      <c r="H867">
        <v>411.14</v>
      </c>
      <c r="I867">
        <v>0.23</v>
      </c>
      <c r="J867">
        <v>949.73</v>
      </c>
      <c r="K867" t="s">
        <v>19</v>
      </c>
      <c r="L867" t="s">
        <v>20</v>
      </c>
      <c r="M867" t="s">
        <v>21</v>
      </c>
      <c r="N867" t="s">
        <v>22</v>
      </c>
    </row>
    <row r="868" spans="1:14" x14ac:dyDescent="0.3">
      <c r="A868" t="s">
        <v>929</v>
      </c>
      <c r="B868" s="1">
        <v>45754</v>
      </c>
      <c r="C868" t="s">
        <v>36</v>
      </c>
      <c r="D868" t="s">
        <v>16</v>
      </c>
      <c r="E868" t="s">
        <v>17</v>
      </c>
      <c r="F868" t="s">
        <v>40</v>
      </c>
      <c r="G868">
        <v>4</v>
      </c>
      <c r="H868">
        <v>413.27</v>
      </c>
      <c r="I868">
        <v>0.21</v>
      </c>
      <c r="J868">
        <v>1305.93</v>
      </c>
      <c r="K868" t="s">
        <v>33</v>
      </c>
      <c r="L868" t="s">
        <v>29</v>
      </c>
      <c r="M868" t="s">
        <v>21</v>
      </c>
      <c r="N868" t="s">
        <v>88</v>
      </c>
    </row>
    <row r="869" spans="1:14" x14ac:dyDescent="0.3">
      <c r="A869" t="s">
        <v>930</v>
      </c>
      <c r="B869" s="1">
        <v>45781</v>
      </c>
      <c r="C869" t="s">
        <v>52</v>
      </c>
      <c r="D869" t="s">
        <v>16</v>
      </c>
      <c r="E869" t="s">
        <v>61</v>
      </c>
      <c r="F869" t="s">
        <v>62</v>
      </c>
      <c r="G869">
        <v>2</v>
      </c>
      <c r="H869">
        <v>126.09</v>
      </c>
      <c r="I869">
        <v>0.11</v>
      </c>
      <c r="J869">
        <v>224.44</v>
      </c>
      <c r="K869" t="s">
        <v>33</v>
      </c>
      <c r="L869" t="s">
        <v>29</v>
      </c>
      <c r="M869" t="s">
        <v>30</v>
      </c>
      <c r="N869" t="s">
        <v>22</v>
      </c>
    </row>
    <row r="870" spans="1:14" x14ac:dyDescent="0.3">
      <c r="A870" t="s">
        <v>931</v>
      </c>
      <c r="B870" s="1">
        <v>45706</v>
      </c>
      <c r="C870" t="s">
        <v>52</v>
      </c>
      <c r="D870" t="s">
        <v>39</v>
      </c>
      <c r="E870" t="s">
        <v>27</v>
      </c>
      <c r="F870" t="s">
        <v>68</v>
      </c>
      <c r="G870">
        <v>3</v>
      </c>
      <c r="H870">
        <v>4272.1099999999997</v>
      </c>
      <c r="I870">
        <v>0.01</v>
      </c>
      <c r="J870">
        <v>12688.17</v>
      </c>
      <c r="K870" t="s">
        <v>58</v>
      </c>
      <c r="L870" t="s">
        <v>29</v>
      </c>
      <c r="M870" t="s">
        <v>54</v>
      </c>
      <c r="N870" t="s">
        <v>22</v>
      </c>
    </row>
    <row r="871" spans="1:14" x14ac:dyDescent="0.3">
      <c r="A871" t="s">
        <v>932</v>
      </c>
      <c r="B871" s="1">
        <v>45713</v>
      </c>
      <c r="C871" t="s">
        <v>48</v>
      </c>
      <c r="D871" t="s">
        <v>25</v>
      </c>
      <c r="E871" t="s">
        <v>27</v>
      </c>
      <c r="F871" t="s">
        <v>68</v>
      </c>
      <c r="G871">
        <v>3</v>
      </c>
      <c r="H871">
        <v>326.20999999999998</v>
      </c>
      <c r="I871">
        <v>0.24</v>
      </c>
      <c r="J871">
        <v>743.76</v>
      </c>
      <c r="K871" t="s">
        <v>58</v>
      </c>
      <c r="L871" t="s">
        <v>20</v>
      </c>
      <c r="M871" t="s">
        <v>30</v>
      </c>
      <c r="N871" t="s">
        <v>22</v>
      </c>
    </row>
    <row r="872" spans="1:14" x14ac:dyDescent="0.3">
      <c r="A872" t="s">
        <v>933</v>
      </c>
      <c r="B872" s="1">
        <v>45745</v>
      </c>
      <c r="C872" t="s">
        <v>36</v>
      </c>
      <c r="D872" t="s">
        <v>16</v>
      </c>
      <c r="E872" t="s">
        <v>49</v>
      </c>
      <c r="F872" t="s">
        <v>53</v>
      </c>
      <c r="G872">
        <v>5</v>
      </c>
      <c r="H872">
        <v>2601.89</v>
      </c>
      <c r="I872">
        <v>0.17</v>
      </c>
      <c r="J872">
        <v>10797.84</v>
      </c>
      <c r="K872" t="s">
        <v>46</v>
      </c>
      <c r="L872" t="s">
        <v>29</v>
      </c>
      <c r="M872" t="s">
        <v>21</v>
      </c>
      <c r="N872" t="s">
        <v>22</v>
      </c>
    </row>
    <row r="873" spans="1:14" x14ac:dyDescent="0.3">
      <c r="A873" t="s">
        <v>934</v>
      </c>
      <c r="B873" s="1">
        <v>45675</v>
      </c>
      <c r="C873" t="s">
        <v>15</v>
      </c>
      <c r="D873" t="s">
        <v>43</v>
      </c>
      <c r="E873" t="s">
        <v>61</v>
      </c>
      <c r="F873" t="s">
        <v>75</v>
      </c>
      <c r="G873">
        <v>5</v>
      </c>
      <c r="H873">
        <v>2805.15</v>
      </c>
      <c r="I873">
        <v>0.15</v>
      </c>
      <c r="J873">
        <v>11921.89</v>
      </c>
      <c r="K873" t="s">
        <v>19</v>
      </c>
      <c r="L873" t="s">
        <v>20</v>
      </c>
      <c r="M873" t="s">
        <v>30</v>
      </c>
      <c r="N873" t="s">
        <v>22</v>
      </c>
    </row>
    <row r="874" spans="1:14" x14ac:dyDescent="0.3">
      <c r="A874" t="s">
        <v>935</v>
      </c>
      <c r="B874" s="1">
        <v>45798</v>
      </c>
      <c r="C874" t="s">
        <v>36</v>
      </c>
      <c r="D874" t="s">
        <v>16</v>
      </c>
      <c r="E874" t="s">
        <v>49</v>
      </c>
      <c r="F874" t="s">
        <v>56</v>
      </c>
      <c r="G874">
        <v>4</v>
      </c>
      <c r="H874">
        <v>3283.87</v>
      </c>
      <c r="I874">
        <v>0.04</v>
      </c>
      <c r="J874">
        <v>12610.06</v>
      </c>
      <c r="K874" t="s">
        <v>46</v>
      </c>
      <c r="L874" t="s">
        <v>34</v>
      </c>
      <c r="M874" t="s">
        <v>30</v>
      </c>
      <c r="N874" t="s">
        <v>37</v>
      </c>
    </row>
    <row r="875" spans="1:14" x14ac:dyDescent="0.3">
      <c r="A875" t="s">
        <v>936</v>
      </c>
      <c r="B875" s="1">
        <v>45715</v>
      </c>
      <c r="C875" t="s">
        <v>36</v>
      </c>
      <c r="D875" t="s">
        <v>39</v>
      </c>
      <c r="E875" t="s">
        <v>49</v>
      </c>
      <c r="F875" t="s">
        <v>73</v>
      </c>
      <c r="G875">
        <v>3</v>
      </c>
      <c r="H875">
        <v>4977.26</v>
      </c>
      <c r="I875">
        <v>0.17</v>
      </c>
      <c r="J875">
        <v>12393.38</v>
      </c>
      <c r="K875" t="s">
        <v>19</v>
      </c>
      <c r="L875" t="s">
        <v>20</v>
      </c>
      <c r="M875" t="s">
        <v>54</v>
      </c>
      <c r="N875" t="s">
        <v>22</v>
      </c>
    </row>
    <row r="876" spans="1:14" x14ac:dyDescent="0.3">
      <c r="A876" t="s">
        <v>937</v>
      </c>
      <c r="B876" s="1">
        <v>45705</v>
      </c>
      <c r="C876" t="s">
        <v>48</v>
      </c>
      <c r="D876" t="s">
        <v>16</v>
      </c>
      <c r="E876" t="s">
        <v>27</v>
      </c>
      <c r="F876" t="s">
        <v>68</v>
      </c>
      <c r="G876">
        <v>4</v>
      </c>
      <c r="H876">
        <v>1956.82</v>
      </c>
      <c r="I876">
        <v>0.24</v>
      </c>
      <c r="J876">
        <v>5948.73</v>
      </c>
      <c r="K876" t="s">
        <v>19</v>
      </c>
      <c r="L876" t="s">
        <v>34</v>
      </c>
      <c r="M876" t="s">
        <v>54</v>
      </c>
      <c r="N876" t="s">
        <v>22</v>
      </c>
    </row>
    <row r="877" spans="1:14" x14ac:dyDescent="0.3">
      <c r="A877" t="s">
        <v>938</v>
      </c>
      <c r="B877" s="1">
        <v>45712</v>
      </c>
      <c r="C877" t="s">
        <v>36</v>
      </c>
      <c r="D877" t="s">
        <v>39</v>
      </c>
      <c r="E877" t="s">
        <v>27</v>
      </c>
      <c r="F877" t="s">
        <v>79</v>
      </c>
      <c r="G877">
        <v>3</v>
      </c>
      <c r="H877">
        <v>3236.87</v>
      </c>
      <c r="I877">
        <v>0.09</v>
      </c>
      <c r="J877">
        <v>8836.66</v>
      </c>
      <c r="K877" t="s">
        <v>41</v>
      </c>
      <c r="L877" t="s">
        <v>20</v>
      </c>
      <c r="M877" t="s">
        <v>30</v>
      </c>
      <c r="N877" t="s">
        <v>22</v>
      </c>
    </row>
    <row r="878" spans="1:14" x14ac:dyDescent="0.3">
      <c r="A878" t="s">
        <v>939</v>
      </c>
      <c r="B878" s="1">
        <v>45725</v>
      </c>
      <c r="C878" t="s">
        <v>24</v>
      </c>
      <c r="D878" t="s">
        <v>43</v>
      </c>
      <c r="E878" t="s">
        <v>61</v>
      </c>
      <c r="F878" t="s">
        <v>66</v>
      </c>
      <c r="G878">
        <v>2</v>
      </c>
      <c r="H878">
        <v>1955.3</v>
      </c>
      <c r="I878">
        <v>0.03</v>
      </c>
      <c r="J878">
        <v>3793.28</v>
      </c>
      <c r="K878" t="s">
        <v>58</v>
      </c>
      <c r="L878" t="s">
        <v>34</v>
      </c>
      <c r="M878" t="s">
        <v>54</v>
      </c>
      <c r="N878" t="s">
        <v>22</v>
      </c>
    </row>
    <row r="879" spans="1:14" x14ac:dyDescent="0.3">
      <c r="A879" t="s">
        <v>940</v>
      </c>
      <c r="B879" s="1">
        <v>45722</v>
      </c>
      <c r="C879" t="s">
        <v>24</v>
      </c>
      <c r="D879" t="s">
        <v>16</v>
      </c>
      <c r="E879" t="s">
        <v>99</v>
      </c>
      <c r="F879" t="s">
        <v>115</v>
      </c>
      <c r="G879">
        <v>5</v>
      </c>
      <c r="H879">
        <v>4340.45</v>
      </c>
      <c r="I879">
        <v>0.14000000000000001</v>
      </c>
      <c r="J879">
        <v>18663.939999999999</v>
      </c>
      <c r="K879" t="s">
        <v>33</v>
      </c>
      <c r="L879" t="s">
        <v>34</v>
      </c>
      <c r="M879" t="s">
        <v>21</v>
      </c>
      <c r="N879" t="s">
        <v>37</v>
      </c>
    </row>
    <row r="880" spans="1:14" x14ac:dyDescent="0.3">
      <c r="A880" t="s">
        <v>941</v>
      </c>
      <c r="B880" s="1">
        <v>45833</v>
      </c>
      <c r="C880" t="s">
        <v>48</v>
      </c>
      <c r="D880" t="s">
        <v>25</v>
      </c>
      <c r="E880" t="s">
        <v>61</v>
      </c>
      <c r="F880" t="s">
        <v>66</v>
      </c>
      <c r="G880">
        <v>5</v>
      </c>
      <c r="H880">
        <v>2803.19</v>
      </c>
      <c r="I880">
        <v>0.22</v>
      </c>
      <c r="J880">
        <v>10932.44</v>
      </c>
      <c r="K880" t="s">
        <v>19</v>
      </c>
      <c r="L880" t="s">
        <v>34</v>
      </c>
      <c r="M880" t="s">
        <v>30</v>
      </c>
      <c r="N880" t="s">
        <v>22</v>
      </c>
    </row>
    <row r="881" spans="1:14" x14ac:dyDescent="0.3">
      <c r="A881" t="s">
        <v>942</v>
      </c>
      <c r="B881" s="1">
        <v>45764</v>
      </c>
      <c r="C881" t="s">
        <v>36</v>
      </c>
      <c r="D881" t="s">
        <v>16</v>
      </c>
      <c r="E881" t="s">
        <v>99</v>
      </c>
      <c r="F881" t="s">
        <v>120</v>
      </c>
      <c r="G881">
        <v>2</v>
      </c>
      <c r="H881">
        <v>799.08</v>
      </c>
      <c r="I881">
        <v>0.14000000000000001</v>
      </c>
      <c r="J881">
        <v>1374.42</v>
      </c>
      <c r="K881" t="s">
        <v>19</v>
      </c>
      <c r="L881" t="s">
        <v>29</v>
      </c>
      <c r="M881" t="s">
        <v>30</v>
      </c>
      <c r="N881" t="s">
        <v>37</v>
      </c>
    </row>
    <row r="882" spans="1:14" x14ac:dyDescent="0.3">
      <c r="A882" t="s">
        <v>943</v>
      </c>
      <c r="B882" s="1">
        <v>45675</v>
      </c>
      <c r="C882" t="s">
        <v>36</v>
      </c>
      <c r="D882" t="s">
        <v>39</v>
      </c>
      <c r="E882" t="s">
        <v>99</v>
      </c>
      <c r="F882" t="s">
        <v>100</v>
      </c>
      <c r="G882">
        <v>4</v>
      </c>
      <c r="H882">
        <v>997.21</v>
      </c>
      <c r="I882">
        <v>0.25</v>
      </c>
      <c r="J882">
        <v>2991.63</v>
      </c>
      <c r="K882" t="s">
        <v>41</v>
      </c>
      <c r="L882" t="s">
        <v>29</v>
      </c>
      <c r="M882" t="s">
        <v>30</v>
      </c>
      <c r="N882" t="s">
        <v>22</v>
      </c>
    </row>
    <row r="883" spans="1:14" x14ac:dyDescent="0.3">
      <c r="A883" t="s">
        <v>944</v>
      </c>
      <c r="B883" s="1">
        <v>45686</v>
      </c>
      <c r="C883" t="s">
        <v>15</v>
      </c>
      <c r="D883" t="s">
        <v>16</v>
      </c>
      <c r="E883" t="s">
        <v>49</v>
      </c>
      <c r="F883" t="s">
        <v>73</v>
      </c>
      <c r="G883">
        <v>4</v>
      </c>
      <c r="H883">
        <v>3875.83</v>
      </c>
      <c r="I883">
        <v>0.21</v>
      </c>
      <c r="J883">
        <v>12247.62</v>
      </c>
      <c r="K883" t="s">
        <v>58</v>
      </c>
      <c r="L883" t="s">
        <v>34</v>
      </c>
      <c r="M883" t="s">
        <v>21</v>
      </c>
      <c r="N883" t="s">
        <v>22</v>
      </c>
    </row>
    <row r="884" spans="1:14" x14ac:dyDescent="0.3">
      <c r="A884" t="s">
        <v>945</v>
      </c>
      <c r="B884" s="1">
        <v>45689</v>
      </c>
      <c r="C884" t="s">
        <v>52</v>
      </c>
      <c r="D884" t="s">
        <v>16</v>
      </c>
      <c r="E884" t="s">
        <v>61</v>
      </c>
      <c r="F884" t="s">
        <v>62</v>
      </c>
      <c r="G884">
        <v>1</v>
      </c>
      <c r="H884">
        <v>3742.71</v>
      </c>
      <c r="I884">
        <v>0.14000000000000001</v>
      </c>
      <c r="J884">
        <v>3218.73</v>
      </c>
      <c r="K884" t="s">
        <v>33</v>
      </c>
      <c r="L884" t="s">
        <v>20</v>
      </c>
      <c r="M884" t="s">
        <v>30</v>
      </c>
      <c r="N884" t="s">
        <v>59</v>
      </c>
    </row>
    <row r="885" spans="1:14" x14ac:dyDescent="0.3">
      <c r="A885" t="s">
        <v>946</v>
      </c>
      <c r="B885" s="1">
        <v>45704</v>
      </c>
      <c r="C885" t="s">
        <v>48</v>
      </c>
      <c r="D885" t="s">
        <v>43</v>
      </c>
      <c r="E885" t="s">
        <v>49</v>
      </c>
      <c r="F885" t="s">
        <v>73</v>
      </c>
      <c r="G885">
        <v>5</v>
      </c>
      <c r="H885">
        <v>3519.62</v>
      </c>
      <c r="I885">
        <v>0.1</v>
      </c>
      <c r="J885">
        <v>15838.29</v>
      </c>
      <c r="K885" t="s">
        <v>41</v>
      </c>
      <c r="L885" t="s">
        <v>29</v>
      </c>
      <c r="M885" t="s">
        <v>21</v>
      </c>
      <c r="N885" t="s">
        <v>37</v>
      </c>
    </row>
    <row r="886" spans="1:14" x14ac:dyDescent="0.3">
      <c r="A886" t="s">
        <v>947</v>
      </c>
      <c r="B886" s="1">
        <v>45734</v>
      </c>
      <c r="C886" t="s">
        <v>36</v>
      </c>
      <c r="D886" t="s">
        <v>43</v>
      </c>
      <c r="E886" t="s">
        <v>17</v>
      </c>
      <c r="F886" t="s">
        <v>40</v>
      </c>
      <c r="G886">
        <v>5</v>
      </c>
      <c r="H886">
        <v>3451.98</v>
      </c>
      <c r="I886">
        <v>0.01</v>
      </c>
      <c r="J886">
        <v>17087.3</v>
      </c>
      <c r="K886" t="s">
        <v>46</v>
      </c>
      <c r="L886" t="s">
        <v>20</v>
      </c>
      <c r="M886" t="s">
        <v>30</v>
      </c>
      <c r="N886" t="s">
        <v>22</v>
      </c>
    </row>
    <row r="887" spans="1:14" x14ac:dyDescent="0.3">
      <c r="A887" t="s">
        <v>948</v>
      </c>
      <c r="B887" s="1">
        <v>45794</v>
      </c>
      <c r="C887" t="s">
        <v>52</v>
      </c>
      <c r="D887" t="s">
        <v>25</v>
      </c>
      <c r="E887" t="s">
        <v>27</v>
      </c>
      <c r="F887" t="s">
        <v>68</v>
      </c>
      <c r="G887">
        <v>2</v>
      </c>
      <c r="H887">
        <v>2617.0500000000002</v>
      </c>
      <c r="I887">
        <v>0.24</v>
      </c>
      <c r="J887">
        <v>3977.92</v>
      </c>
      <c r="K887" t="s">
        <v>58</v>
      </c>
      <c r="L887" t="s">
        <v>34</v>
      </c>
      <c r="M887" t="s">
        <v>30</v>
      </c>
      <c r="N887" t="s">
        <v>22</v>
      </c>
    </row>
    <row r="888" spans="1:14" x14ac:dyDescent="0.3">
      <c r="A888" t="s">
        <v>949</v>
      </c>
      <c r="B888" s="1">
        <v>45689</v>
      </c>
      <c r="C888" t="s">
        <v>15</v>
      </c>
      <c r="D888" t="s">
        <v>43</v>
      </c>
      <c r="E888" t="s">
        <v>99</v>
      </c>
      <c r="F888" t="s">
        <v>120</v>
      </c>
      <c r="G888">
        <v>1</v>
      </c>
      <c r="H888">
        <v>1521.32</v>
      </c>
      <c r="I888">
        <v>0.12</v>
      </c>
      <c r="J888">
        <v>1338.76</v>
      </c>
      <c r="K888" t="s">
        <v>19</v>
      </c>
      <c r="L888" t="s">
        <v>29</v>
      </c>
      <c r="M888" t="s">
        <v>30</v>
      </c>
      <c r="N888" t="s">
        <v>22</v>
      </c>
    </row>
    <row r="889" spans="1:14" x14ac:dyDescent="0.3">
      <c r="A889" t="s">
        <v>950</v>
      </c>
      <c r="B889" s="1">
        <v>45797</v>
      </c>
      <c r="C889" t="s">
        <v>52</v>
      </c>
      <c r="D889" t="s">
        <v>25</v>
      </c>
      <c r="E889" t="s">
        <v>27</v>
      </c>
      <c r="F889" t="s">
        <v>87</v>
      </c>
      <c r="G889">
        <v>5</v>
      </c>
      <c r="H889">
        <v>4146.0600000000004</v>
      </c>
      <c r="I889">
        <v>0.01</v>
      </c>
      <c r="J889">
        <v>20523</v>
      </c>
      <c r="K889" t="s">
        <v>46</v>
      </c>
      <c r="L889" t="s">
        <v>29</v>
      </c>
      <c r="M889" t="s">
        <v>30</v>
      </c>
      <c r="N889" t="s">
        <v>22</v>
      </c>
    </row>
    <row r="890" spans="1:14" x14ac:dyDescent="0.3">
      <c r="A890" t="s">
        <v>951</v>
      </c>
      <c r="B890" s="1">
        <v>45701</v>
      </c>
      <c r="C890" t="s">
        <v>15</v>
      </c>
      <c r="D890" t="s">
        <v>25</v>
      </c>
      <c r="E890" t="s">
        <v>17</v>
      </c>
      <c r="F890" t="s">
        <v>40</v>
      </c>
      <c r="G890">
        <v>1</v>
      </c>
      <c r="H890">
        <v>125.26</v>
      </c>
      <c r="I890">
        <v>0.22</v>
      </c>
      <c r="J890">
        <v>97.7</v>
      </c>
      <c r="K890" t="s">
        <v>46</v>
      </c>
      <c r="L890" t="s">
        <v>34</v>
      </c>
      <c r="M890" t="s">
        <v>54</v>
      </c>
      <c r="N890" t="s">
        <v>22</v>
      </c>
    </row>
    <row r="891" spans="1:14" x14ac:dyDescent="0.3">
      <c r="A891" t="s">
        <v>952</v>
      </c>
      <c r="B891" s="1">
        <v>45672</v>
      </c>
      <c r="C891" t="s">
        <v>48</v>
      </c>
      <c r="D891" t="s">
        <v>25</v>
      </c>
      <c r="E891" t="s">
        <v>17</v>
      </c>
      <c r="F891" t="s">
        <v>40</v>
      </c>
      <c r="G891">
        <v>5</v>
      </c>
      <c r="H891">
        <v>2620.16</v>
      </c>
      <c r="I891">
        <v>0.04</v>
      </c>
      <c r="J891">
        <v>12576.77</v>
      </c>
      <c r="K891" t="s">
        <v>19</v>
      </c>
      <c r="L891" t="s">
        <v>20</v>
      </c>
      <c r="M891" t="s">
        <v>54</v>
      </c>
      <c r="N891" t="s">
        <v>22</v>
      </c>
    </row>
    <row r="892" spans="1:14" x14ac:dyDescent="0.3">
      <c r="A892" t="s">
        <v>953</v>
      </c>
      <c r="B892" s="1">
        <v>45740</v>
      </c>
      <c r="C892" t="s">
        <v>48</v>
      </c>
      <c r="D892" t="s">
        <v>39</v>
      </c>
      <c r="E892" t="s">
        <v>99</v>
      </c>
      <c r="F892" t="s">
        <v>100</v>
      </c>
      <c r="G892">
        <v>3</v>
      </c>
      <c r="H892">
        <v>1886.03</v>
      </c>
      <c r="I892">
        <v>0.22</v>
      </c>
      <c r="J892">
        <v>4413.3100000000004</v>
      </c>
      <c r="K892" t="s">
        <v>41</v>
      </c>
      <c r="L892" t="s">
        <v>34</v>
      </c>
      <c r="M892" t="s">
        <v>21</v>
      </c>
      <c r="N892" t="s">
        <v>22</v>
      </c>
    </row>
    <row r="893" spans="1:14" x14ac:dyDescent="0.3">
      <c r="A893" t="s">
        <v>954</v>
      </c>
      <c r="B893" s="1">
        <v>45739</v>
      </c>
      <c r="C893" t="s">
        <v>52</v>
      </c>
      <c r="D893" t="s">
        <v>43</v>
      </c>
      <c r="E893" t="s">
        <v>49</v>
      </c>
      <c r="F893" t="s">
        <v>50</v>
      </c>
      <c r="G893">
        <v>4</v>
      </c>
      <c r="H893">
        <v>128.47</v>
      </c>
      <c r="I893">
        <v>0.22</v>
      </c>
      <c r="J893">
        <v>400.83</v>
      </c>
      <c r="K893" t="s">
        <v>19</v>
      </c>
      <c r="L893" t="s">
        <v>34</v>
      </c>
      <c r="M893" t="s">
        <v>21</v>
      </c>
      <c r="N893" t="s">
        <v>22</v>
      </c>
    </row>
    <row r="894" spans="1:14" x14ac:dyDescent="0.3">
      <c r="A894" t="s">
        <v>955</v>
      </c>
      <c r="B894" s="1">
        <v>45724</v>
      </c>
      <c r="C894" t="s">
        <v>52</v>
      </c>
      <c r="D894" t="s">
        <v>25</v>
      </c>
      <c r="E894" t="s">
        <v>99</v>
      </c>
      <c r="F894" t="s">
        <v>120</v>
      </c>
      <c r="G894">
        <v>3</v>
      </c>
      <c r="H894">
        <v>4514.8900000000003</v>
      </c>
      <c r="I894">
        <v>0.04</v>
      </c>
      <c r="J894">
        <v>13002.88</v>
      </c>
      <c r="K894" t="s">
        <v>41</v>
      </c>
      <c r="L894" t="s">
        <v>34</v>
      </c>
      <c r="M894" t="s">
        <v>54</v>
      </c>
      <c r="N894" t="s">
        <v>59</v>
      </c>
    </row>
    <row r="895" spans="1:14" x14ac:dyDescent="0.3">
      <c r="A895" t="s">
        <v>956</v>
      </c>
      <c r="B895" s="1">
        <v>45765</v>
      </c>
      <c r="C895" t="s">
        <v>48</v>
      </c>
      <c r="D895" t="s">
        <v>25</v>
      </c>
      <c r="E895" t="s">
        <v>99</v>
      </c>
      <c r="F895" t="s">
        <v>120</v>
      </c>
      <c r="G895">
        <v>4</v>
      </c>
      <c r="H895">
        <v>4019.12</v>
      </c>
      <c r="I895">
        <v>0.18</v>
      </c>
      <c r="J895">
        <v>13182.71</v>
      </c>
      <c r="K895" t="s">
        <v>41</v>
      </c>
      <c r="L895" t="s">
        <v>29</v>
      </c>
      <c r="M895" t="s">
        <v>30</v>
      </c>
      <c r="N895" t="s">
        <v>22</v>
      </c>
    </row>
    <row r="896" spans="1:14" x14ac:dyDescent="0.3">
      <c r="A896" t="s">
        <v>957</v>
      </c>
      <c r="B896" s="1">
        <v>45750</v>
      </c>
      <c r="C896" t="s">
        <v>24</v>
      </c>
      <c r="D896" t="s">
        <v>43</v>
      </c>
      <c r="E896" t="s">
        <v>49</v>
      </c>
      <c r="F896" t="s">
        <v>73</v>
      </c>
      <c r="G896">
        <v>2</v>
      </c>
      <c r="H896">
        <v>862.16</v>
      </c>
      <c r="I896">
        <v>0.13</v>
      </c>
      <c r="J896">
        <v>1500.16</v>
      </c>
      <c r="K896" t="s">
        <v>58</v>
      </c>
      <c r="L896" t="s">
        <v>20</v>
      </c>
      <c r="M896" t="s">
        <v>21</v>
      </c>
      <c r="N896" t="s">
        <v>22</v>
      </c>
    </row>
    <row r="897" spans="1:14" x14ac:dyDescent="0.3">
      <c r="A897" t="s">
        <v>958</v>
      </c>
      <c r="B897" s="1">
        <v>45740</v>
      </c>
      <c r="C897" t="s">
        <v>36</v>
      </c>
      <c r="D897" t="s">
        <v>43</v>
      </c>
      <c r="E897" t="s">
        <v>99</v>
      </c>
      <c r="F897" t="s">
        <v>115</v>
      </c>
      <c r="G897">
        <v>4</v>
      </c>
      <c r="H897">
        <v>1518.39</v>
      </c>
      <c r="I897">
        <v>0.12</v>
      </c>
      <c r="J897">
        <v>5344.73</v>
      </c>
      <c r="K897" t="s">
        <v>58</v>
      </c>
      <c r="L897" t="s">
        <v>34</v>
      </c>
      <c r="M897" t="s">
        <v>30</v>
      </c>
      <c r="N897" t="s">
        <v>22</v>
      </c>
    </row>
    <row r="898" spans="1:14" x14ac:dyDescent="0.3">
      <c r="A898" t="s">
        <v>959</v>
      </c>
      <c r="B898" s="1">
        <v>45672</v>
      </c>
      <c r="C898" t="s">
        <v>52</v>
      </c>
      <c r="D898" t="s">
        <v>43</v>
      </c>
      <c r="E898" t="s">
        <v>27</v>
      </c>
      <c r="F898" t="s">
        <v>68</v>
      </c>
      <c r="G898">
        <v>3</v>
      </c>
      <c r="H898">
        <v>4971.8599999999997</v>
      </c>
      <c r="I898">
        <v>0.06</v>
      </c>
      <c r="J898">
        <v>14020.65</v>
      </c>
      <c r="K898" t="s">
        <v>46</v>
      </c>
      <c r="L898" t="s">
        <v>20</v>
      </c>
      <c r="M898" t="s">
        <v>30</v>
      </c>
      <c r="N898" t="s">
        <v>22</v>
      </c>
    </row>
    <row r="899" spans="1:14" x14ac:dyDescent="0.3">
      <c r="A899" t="s">
        <v>960</v>
      </c>
      <c r="B899" s="1">
        <v>45700</v>
      </c>
      <c r="C899" t="s">
        <v>52</v>
      </c>
      <c r="D899" t="s">
        <v>39</v>
      </c>
      <c r="E899" t="s">
        <v>17</v>
      </c>
      <c r="F899" t="s">
        <v>44</v>
      </c>
      <c r="G899">
        <v>2</v>
      </c>
      <c r="H899">
        <v>1223.98</v>
      </c>
      <c r="I899">
        <v>0.03</v>
      </c>
      <c r="J899">
        <v>2374.52</v>
      </c>
      <c r="K899" t="s">
        <v>33</v>
      </c>
      <c r="L899" t="s">
        <v>29</v>
      </c>
      <c r="M899" t="s">
        <v>54</v>
      </c>
      <c r="N899" t="s">
        <v>59</v>
      </c>
    </row>
    <row r="900" spans="1:14" x14ac:dyDescent="0.3">
      <c r="A900" t="s">
        <v>961</v>
      </c>
      <c r="B900" s="1">
        <v>45821</v>
      </c>
      <c r="C900" t="s">
        <v>24</v>
      </c>
      <c r="D900" t="s">
        <v>39</v>
      </c>
      <c r="E900" t="s">
        <v>61</v>
      </c>
      <c r="F900" t="s">
        <v>92</v>
      </c>
      <c r="G900">
        <v>1</v>
      </c>
      <c r="H900">
        <v>4335.32</v>
      </c>
      <c r="I900">
        <v>0.1</v>
      </c>
      <c r="J900">
        <v>3901.79</v>
      </c>
      <c r="K900" t="s">
        <v>33</v>
      </c>
      <c r="L900" t="s">
        <v>20</v>
      </c>
      <c r="M900" t="s">
        <v>21</v>
      </c>
      <c r="N900" t="s">
        <v>22</v>
      </c>
    </row>
    <row r="901" spans="1:14" x14ac:dyDescent="0.3">
      <c r="A901" t="s">
        <v>962</v>
      </c>
      <c r="B901" s="1">
        <v>45741</v>
      </c>
      <c r="C901" t="s">
        <v>15</v>
      </c>
      <c r="D901" t="s">
        <v>16</v>
      </c>
      <c r="E901" t="s">
        <v>61</v>
      </c>
      <c r="F901" t="s">
        <v>75</v>
      </c>
      <c r="G901">
        <v>1</v>
      </c>
      <c r="H901">
        <v>2598.33</v>
      </c>
      <c r="I901">
        <v>0.16</v>
      </c>
      <c r="J901">
        <v>2182.6</v>
      </c>
      <c r="K901" t="s">
        <v>41</v>
      </c>
      <c r="L901" t="s">
        <v>34</v>
      </c>
      <c r="M901" t="s">
        <v>30</v>
      </c>
      <c r="N901" t="s">
        <v>22</v>
      </c>
    </row>
    <row r="902" spans="1:14" x14ac:dyDescent="0.3">
      <c r="A902" t="s">
        <v>963</v>
      </c>
      <c r="B902" s="1">
        <v>45735</v>
      </c>
      <c r="C902" t="s">
        <v>48</v>
      </c>
      <c r="D902" t="s">
        <v>39</v>
      </c>
      <c r="E902" t="s">
        <v>99</v>
      </c>
      <c r="F902" t="s">
        <v>111</v>
      </c>
      <c r="G902">
        <v>1</v>
      </c>
      <c r="H902">
        <v>990.58</v>
      </c>
      <c r="I902">
        <v>0</v>
      </c>
      <c r="J902">
        <v>990.58</v>
      </c>
      <c r="K902" t="s">
        <v>19</v>
      </c>
      <c r="L902" t="s">
        <v>34</v>
      </c>
      <c r="M902" t="s">
        <v>21</v>
      </c>
      <c r="N902" t="s">
        <v>22</v>
      </c>
    </row>
    <row r="903" spans="1:14" x14ac:dyDescent="0.3">
      <c r="A903" t="s">
        <v>964</v>
      </c>
      <c r="B903" s="1">
        <v>45835</v>
      </c>
      <c r="C903" t="s">
        <v>36</v>
      </c>
      <c r="D903" t="s">
        <v>39</v>
      </c>
      <c r="E903" t="s">
        <v>49</v>
      </c>
      <c r="F903" t="s">
        <v>53</v>
      </c>
      <c r="G903">
        <v>2</v>
      </c>
      <c r="H903">
        <v>1336.09</v>
      </c>
      <c r="I903">
        <v>0.12</v>
      </c>
      <c r="J903">
        <v>2351.52</v>
      </c>
      <c r="K903" t="s">
        <v>58</v>
      </c>
      <c r="L903" t="s">
        <v>34</v>
      </c>
      <c r="M903" t="s">
        <v>30</v>
      </c>
      <c r="N903" t="s">
        <v>22</v>
      </c>
    </row>
    <row r="904" spans="1:14" x14ac:dyDescent="0.3">
      <c r="A904" t="s">
        <v>965</v>
      </c>
      <c r="B904" s="1">
        <v>45809</v>
      </c>
      <c r="C904" t="s">
        <v>15</v>
      </c>
      <c r="D904" t="s">
        <v>39</v>
      </c>
      <c r="E904" t="s">
        <v>17</v>
      </c>
      <c r="F904" t="s">
        <v>44</v>
      </c>
      <c r="G904">
        <v>3</v>
      </c>
      <c r="H904">
        <v>3740.37</v>
      </c>
      <c r="I904">
        <v>0.15</v>
      </c>
      <c r="J904">
        <v>9537.94</v>
      </c>
      <c r="K904" t="s">
        <v>46</v>
      </c>
      <c r="L904" t="s">
        <v>29</v>
      </c>
      <c r="M904" t="s">
        <v>21</v>
      </c>
      <c r="N904" t="s">
        <v>22</v>
      </c>
    </row>
    <row r="905" spans="1:14" x14ac:dyDescent="0.3">
      <c r="A905" t="s">
        <v>966</v>
      </c>
      <c r="B905" s="1">
        <v>45773</v>
      </c>
      <c r="C905" t="s">
        <v>36</v>
      </c>
      <c r="D905" t="s">
        <v>16</v>
      </c>
      <c r="E905" t="s">
        <v>99</v>
      </c>
      <c r="F905" t="s">
        <v>100</v>
      </c>
      <c r="G905">
        <v>1</v>
      </c>
      <c r="H905">
        <v>739.38</v>
      </c>
      <c r="I905">
        <v>0.19</v>
      </c>
      <c r="J905">
        <v>598.9</v>
      </c>
      <c r="K905" t="s">
        <v>41</v>
      </c>
      <c r="L905" t="s">
        <v>20</v>
      </c>
      <c r="M905" t="s">
        <v>54</v>
      </c>
      <c r="N905" t="s">
        <v>22</v>
      </c>
    </row>
    <row r="906" spans="1:14" x14ac:dyDescent="0.3">
      <c r="A906" t="s">
        <v>967</v>
      </c>
      <c r="B906" s="1">
        <v>45795</v>
      </c>
      <c r="C906" t="s">
        <v>48</v>
      </c>
      <c r="D906" t="s">
        <v>43</v>
      </c>
      <c r="E906" t="s">
        <v>61</v>
      </c>
      <c r="F906" t="s">
        <v>75</v>
      </c>
      <c r="G906">
        <v>5</v>
      </c>
      <c r="H906">
        <v>3133.15</v>
      </c>
      <c r="I906">
        <v>0.08</v>
      </c>
      <c r="J906">
        <v>14412.49</v>
      </c>
      <c r="K906" t="s">
        <v>58</v>
      </c>
      <c r="L906" t="s">
        <v>20</v>
      </c>
      <c r="M906" t="s">
        <v>30</v>
      </c>
      <c r="N906" t="s">
        <v>22</v>
      </c>
    </row>
    <row r="907" spans="1:14" x14ac:dyDescent="0.3">
      <c r="A907" t="s">
        <v>968</v>
      </c>
      <c r="B907" s="1">
        <v>45663</v>
      </c>
      <c r="C907" t="s">
        <v>52</v>
      </c>
      <c r="D907" t="s">
        <v>39</v>
      </c>
      <c r="E907" t="s">
        <v>61</v>
      </c>
      <c r="F907" t="s">
        <v>62</v>
      </c>
      <c r="G907">
        <v>5</v>
      </c>
      <c r="H907">
        <v>3586.86</v>
      </c>
      <c r="I907">
        <v>0.22</v>
      </c>
      <c r="J907">
        <v>13988.75</v>
      </c>
      <c r="K907" t="s">
        <v>19</v>
      </c>
      <c r="L907" t="s">
        <v>34</v>
      </c>
      <c r="M907" t="s">
        <v>21</v>
      </c>
      <c r="N907" t="s">
        <v>37</v>
      </c>
    </row>
    <row r="908" spans="1:14" x14ac:dyDescent="0.3">
      <c r="A908" t="s">
        <v>969</v>
      </c>
      <c r="B908" s="1">
        <v>45826</v>
      </c>
      <c r="C908" t="s">
        <v>48</v>
      </c>
      <c r="D908" t="s">
        <v>43</v>
      </c>
      <c r="E908" t="s">
        <v>49</v>
      </c>
      <c r="F908" t="s">
        <v>56</v>
      </c>
      <c r="G908">
        <v>4</v>
      </c>
      <c r="H908">
        <v>2666.44</v>
      </c>
      <c r="I908">
        <v>0.24</v>
      </c>
      <c r="J908">
        <v>8105.98</v>
      </c>
      <c r="K908" t="s">
        <v>58</v>
      </c>
      <c r="L908" t="s">
        <v>34</v>
      </c>
      <c r="M908" t="s">
        <v>54</v>
      </c>
      <c r="N908" t="s">
        <v>22</v>
      </c>
    </row>
    <row r="909" spans="1:14" x14ac:dyDescent="0.3">
      <c r="A909" t="s">
        <v>970</v>
      </c>
      <c r="B909" s="1">
        <v>45831</v>
      </c>
      <c r="C909" t="s">
        <v>24</v>
      </c>
      <c r="D909" t="s">
        <v>16</v>
      </c>
      <c r="E909" t="s">
        <v>61</v>
      </c>
      <c r="F909" t="s">
        <v>66</v>
      </c>
      <c r="G909">
        <v>2</v>
      </c>
      <c r="H909">
        <v>3729.5</v>
      </c>
      <c r="I909">
        <v>0.1</v>
      </c>
      <c r="J909">
        <v>6713.1</v>
      </c>
      <c r="K909" t="s">
        <v>33</v>
      </c>
      <c r="L909" t="s">
        <v>20</v>
      </c>
      <c r="M909" t="s">
        <v>21</v>
      </c>
      <c r="N909" t="s">
        <v>22</v>
      </c>
    </row>
    <row r="910" spans="1:14" x14ac:dyDescent="0.3">
      <c r="A910" t="s">
        <v>971</v>
      </c>
      <c r="B910" s="1">
        <v>45808</v>
      </c>
      <c r="C910" t="s">
        <v>36</v>
      </c>
      <c r="D910" t="s">
        <v>43</v>
      </c>
      <c r="E910" t="s">
        <v>27</v>
      </c>
      <c r="F910" t="s">
        <v>87</v>
      </c>
      <c r="G910">
        <v>5</v>
      </c>
      <c r="H910">
        <v>1430.32</v>
      </c>
      <c r="I910">
        <v>0.05</v>
      </c>
      <c r="J910">
        <v>6794.02</v>
      </c>
      <c r="K910" t="s">
        <v>41</v>
      </c>
      <c r="L910" t="s">
        <v>34</v>
      </c>
      <c r="M910" t="s">
        <v>54</v>
      </c>
      <c r="N910" t="s">
        <v>22</v>
      </c>
    </row>
    <row r="911" spans="1:14" x14ac:dyDescent="0.3">
      <c r="A911" t="s">
        <v>972</v>
      </c>
      <c r="B911" s="1">
        <v>45771</v>
      </c>
      <c r="C911" t="s">
        <v>36</v>
      </c>
      <c r="D911" t="s">
        <v>16</v>
      </c>
      <c r="E911" t="s">
        <v>17</v>
      </c>
      <c r="F911" t="s">
        <v>40</v>
      </c>
      <c r="G911">
        <v>3</v>
      </c>
      <c r="H911">
        <v>4277.13</v>
      </c>
      <c r="I911">
        <v>7.0000000000000007E-2</v>
      </c>
      <c r="J911">
        <v>11933.19</v>
      </c>
      <c r="K911" t="s">
        <v>33</v>
      </c>
      <c r="L911" t="s">
        <v>34</v>
      </c>
      <c r="M911" t="s">
        <v>30</v>
      </c>
      <c r="N911" t="s">
        <v>22</v>
      </c>
    </row>
    <row r="912" spans="1:14" x14ac:dyDescent="0.3">
      <c r="A912" t="s">
        <v>973</v>
      </c>
      <c r="B912" s="1">
        <v>45733</v>
      </c>
      <c r="C912" t="s">
        <v>15</v>
      </c>
      <c r="D912" t="s">
        <v>39</v>
      </c>
      <c r="E912" t="s">
        <v>17</v>
      </c>
      <c r="F912" t="s">
        <v>44</v>
      </c>
      <c r="G912">
        <v>2</v>
      </c>
      <c r="H912">
        <v>4716.03</v>
      </c>
      <c r="I912">
        <v>7.0000000000000007E-2</v>
      </c>
      <c r="J912">
        <v>8771.82</v>
      </c>
      <c r="K912" t="s">
        <v>58</v>
      </c>
      <c r="L912" t="s">
        <v>29</v>
      </c>
      <c r="M912" t="s">
        <v>54</v>
      </c>
      <c r="N912" t="s">
        <v>37</v>
      </c>
    </row>
    <row r="913" spans="1:14" x14ac:dyDescent="0.3">
      <c r="A913" t="s">
        <v>974</v>
      </c>
      <c r="B913" s="1">
        <v>45752</v>
      </c>
      <c r="C913" t="s">
        <v>52</v>
      </c>
      <c r="D913" t="s">
        <v>39</v>
      </c>
      <c r="E913" t="s">
        <v>17</v>
      </c>
      <c r="F913" t="s">
        <v>44</v>
      </c>
      <c r="G913">
        <v>1</v>
      </c>
      <c r="H913">
        <v>3278.36</v>
      </c>
      <c r="I913">
        <v>0.16</v>
      </c>
      <c r="J913">
        <v>2753.82</v>
      </c>
      <c r="K913" t="s">
        <v>33</v>
      </c>
      <c r="L913" t="s">
        <v>20</v>
      </c>
      <c r="M913" t="s">
        <v>30</v>
      </c>
      <c r="N913" t="s">
        <v>22</v>
      </c>
    </row>
    <row r="914" spans="1:14" x14ac:dyDescent="0.3">
      <c r="A914" t="s">
        <v>975</v>
      </c>
      <c r="B914" s="1">
        <v>45661</v>
      </c>
      <c r="C914" t="s">
        <v>52</v>
      </c>
      <c r="D914" t="s">
        <v>39</v>
      </c>
      <c r="E914" t="s">
        <v>27</v>
      </c>
      <c r="F914" t="s">
        <v>28</v>
      </c>
      <c r="G914">
        <v>3</v>
      </c>
      <c r="H914">
        <v>1690.71</v>
      </c>
      <c r="I914">
        <v>0.01</v>
      </c>
      <c r="J914">
        <v>5021.41</v>
      </c>
      <c r="K914" t="s">
        <v>41</v>
      </c>
      <c r="L914" t="s">
        <v>29</v>
      </c>
      <c r="M914" t="s">
        <v>54</v>
      </c>
      <c r="N914" t="s">
        <v>22</v>
      </c>
    </row>
    <row r="915" spans="1:14" x14ac:dyDescent="0.3">
      <c r="A915" t="s">
        <v>976</v>
      </c>
      <c r="B915" s="1">
        <v>45728</v>
      </c>
      <c r="C915" t="s">
        <v>15</v>
      </c>
      <c r="D915" t="s">
        <v>39</v>
      </c>
      <c r="E915" t="s">
        <v>99</v>
      </c>
      <c r="F915" t="s">
        <v>100</v>
      </c>
      <c r="G915">
        <v>5</v>
      </c>
      <c r="H915">
        <v>621.57000000000005</v>
      </c>
      <c r="I915">
        <v>0.19</v>
      </c>
      <c r="J915">
        <v>2517.36</v>
      </c>
      <c r="K915" t="s">
        <v>58</v>
      </c>
      <c r="L915" t="s">
        <v>29</v>
      </c>
      <c r="M915" t="s">
        <v>30</v>
      </c>
      <c r="N915" t="s">
        <v>37</v>
      </c>
    </row>
    <row r="916" spans="1:14" x14ac:dyDescent="0.3">
      <c r="A916" t="s">
        <v>977</v>
      </c>
      <c r="B916" s="1">
        <v>45717</v>
      </c>
      <c r="C916" t="s">
        <v>48</v>
      </c>
      <c r="D916" t="s">
        <v>43</v>
      </c>
      <c r="E916" t="s">
        <v>27</v>
      </c>
      <c r="F916" t="s">
        <v>68</v>
      </c>
      <c r="G916">
        <v>3</v>
      </c>
      <c r="H916">
        <v>1099.2</v>
      </c>
      <c r="I916">
        <v>0.16</v>
      </c>
      <c r="J916">
        <v>2769.98</v>
      </c>
      <c r="K916" t="s">
        <v>19</v>
      </c>
      <c r="L916" t="s">
        <v>34</v>
      </c>
      <c r="M916" t="s">
        <v>30</v>
      </c>
      <c r="N916" t="s">
        <v>22</v>
      </c>
    </row>
    <row r="917" spans="1:14" x14ac:dyDescent="0.3">
      <c r="A917" t="s">
        <v>978</v>
      </c>
      <c r="B917" s="1">
        <v>45806</v>
      </c>
      <c r="C917" t="s">
        <v>52</v>
      </c>
      <c r="D917" t="s">
        <v>43</v>
      </c>
      <c r="E917" t="s">
        <v>49</v>
      </c>
      <c r="F917" t="s">
        <v>53</v>
      </c>
      <c r="G917">
        <v>4</v>
      </c>
      <c r="H917">
        <v>989.42</v>
      </c>
      <c r="I917">
        <v>0.05</v>
      </c>
      <c r="J917">
        <v>3759.8</v>
      </c>
      <c r="K917" t="s">
        <v>41</v>
      </c>
      <c r="L917" t="s">
        <v>20</v>
      </c>
      <c r="M917" t="s">
        <v>54</v>
      </c>
      <c r="N917" t="s">
        <v>22</v>
      </c>
    </row>
    <row r="918" spans="1:14" x14ac:dyDescent="0.3">
      <c r="A918" t="s">
        <v>979</v>
      </c>
      <c r="B918" s="1">
        <v>45735</v>
      </c>
      <c r="C918" t="s">
        <v>24</v>
      </c>
      <c r="D918" t="s">
        <v>16</v>
      </c>
      <c r="E918" t="s">
        <v>61</v>
      </c>
      <c r="F918" t="s">
        <v>66</v>
      </c>
      <c r="G918">
        <v>2</v>
      </c>
      <c r="H918">
        <v>4105.75</v>
      </c>
      <c r="I918">
        <v>0.17</v>
      </c>
      <c r="J918">
        <v>6815.55</v>
      </c>
      <c r="K918" t="s">
        <v>46</v>
      </c>
      <c r="L918" t="s">
        <v>20</v>
      </c>
      <c r="M918" t="s">
        <v>54</v>
      </c>
      <c r="N918" t="s">
        <v>22</v>
      </c>
    </row>
    <row r="919" spans="1:14" x14ac:dyDescent="0.3">
      <c r="A919" t="s">
        <v>980</v>
      </c>
      <c r="B919" s="1">
        <v>45825</v>
      </c>
      <c r="C919" t="s">
        <v>48</v>
      </c>
      <c r="D919" t="s">
        <v>16</v>
      </c>
      <c r="E919" t="s">
        <v>49</v>
      </c>
      <c r="F919" t="s">
        <v>73</v>
      </c>
      <c r="G919">
        <v>5</v>
      </c>
      <c r="H919">
        <v>772.73</v>
      </c>
      <c r="I919">
        <v>0.19</v>
      </c>
      <c r="J919">
        <v>3129.56</v>
      </c>
      <c r="K919" t="s">
        <v>41</v>
      </c>
      <c r="L919" t="s">
        <v>20</v>
      </c>
      <c r="M919" t="s">
        <v>54</v>
      </c>
      <c r="N919" t="s">
        <v>22</v>
      </c>
    </row>
    <row r="920" spans="1:14" x14ac:dyDescent="0.3">
      <c r="A920" t="s">
        <v>981</v>
      </c>
      <c r="B920" s="1">
        <v>45833</v>
      </c>
      <c r="C920" t="s">
        <v>24</v>
      </c>
      <c r="D920" t="s">
        <v>16</v>
      </c>
      <c r="E920" t="s">
        <v>17</v>
      </c>
      <c r="F920" t="s">
        <v>18</v>
      </c>
      <c r="G920">
        <v>2</v>
      </c>
      <c r="H920">
        <v>3873.58</v>
      </c>
      <c r="I920">
        <v>7.0000000000000007E-2</v>
      </c>
      <c r="J920">
        <v>7204.86</v>
      </c>
      <c r="K920" t="s">
        <v>58</v>
      </c>
      <c r="L920" t="s">
        <v>20</v>
      </c>
      <c r="M920" t="s">
        <v>21</v>
      </c>
      <c r="N920" t="s">
        <v>88</v>
      </c>
    </row>
    <row r="921" spans="1:14" x14ac:dyDescent="0.3">
      <c r="A921" t="s">
        <v>982</v>
      </c>
      <c r="B921" s="1">
        <v>45822</v>
      </c>
      <c r="C921" t="s">
        <v>36</v>
      </c>
      <c r="D921" t="s">
        <v>25</v>
      </c>
      <c r="E921" t="s">
        <v>17</v>
      </c>
      <c r="F921" t="s">
        <v>18</v>
      </c>
      <c r="G921">
        <v>1</v>
      </c>
      <c r="H921">
        <v>1091.3800000000001</v>
      </c>
      <c r="I921">
        <v>0.12</v>
      </c>
      <c r="J921">
        <v>960.41</v>
      </c>
      <c r="K921" t="s">
        <v>46</v>
      </c>
      <c r="L921" t="s">
        <v>29</v>
      </c>
      <c r="M921" t="s">
        <v>21</v>
      </c>
      <c r="N921" t="s">
        <v>88</v>
      </c>
    </row>
    <row r="922" spans="1:14" x14ac:dyDescent="0.3">
      <c r="A922" t="s">
        <v>983</v>
      </c>
      <c r="B922" s="1">
        <v>45741</v>
      </c>
      <c r="C922" t="s">
        <v>48</v>
      </c>
      <c r="D922" t="s">
        <v>16</v>
      </c>
      <c r="E922" t="s">
        <v>99</v>
      </c>
      <c r="F922" t="s">
        <v>111</v>
      </c>
      <c r="G922">
        <v>1</v>
      </c>
      <c r="H922">
        <v>2763.28</v>
      </c>
      <c r="I922">
        <v>7.0000000000000007E-2</v>
      </c>
      <c r="J922">
        <v>2569.85</v>
      </c>
      <c r="K922" t="s">
        <v>19</v>
      </c>
      <c r="L922" t="s">
        <v>20</v>
      </c>
      <c r="M922" t="s">
        <v>21</v>
      </c>
      <c r="N922" t="s">
        <v>22</v>
      </c>
    </row>
    <row r="923" spans="1:14" x14ac:dyDescent="0.3">
      <c r="A923" t="s">
        <v>984</v>
      </c>
      <c r="B923" s="1">
        <v>45764</v>
      </c>
      <c r="C923" t="s">
        <v>36</v>
      </c>
      <c r="D923" t="s">
        <v>43</v>
      </c>
      <c r="E923" t="s">
        <v>17</v>
      </c>
      <c r="F923" t="s">
        <v>18</v>
      </c>
      <c r="G923">
        <v>5</v>
      </c>
      <c r="H923">
        <v>4443.6400000000003</v>
      </c>
      <c r="I923">
        <v>0.1</v>
      </c>
      <c r="J923">
        <v>19996.38</v>
      </c>
      <c r="K923" t="s">
        <v>46</v>
      </c>
      <c r="L923" t="s">
        <v>20</v>
      </c>
      <c r="M923" t="s">
        <v>54</v>
      </c>
      <c r="N923" t="s">
        <v>22</v>
      </c>
    </row>
    <row r="924" spans="1:14" x14ac:dyDescent="0.3">
      <c r="A924" t="s">
        <v>985</v>
      </c>
      <c r="B924" s="1">
        <v>45805</v>
      </c>
      <c r="C924" t="s">
        <v>52</v>
      </c>
      <c r="D924" t="s">
        <v>16</v>
      </c>
      <c r="E924" t="s">
        <v>49</v>
      </c>
      <c r="F924" t="s">
        <v>50</v>
      </c>
      <c r="G924">
        <v>3</v>
      </c>
      <c r="H924">
        <v>1206.83</v>
      </c>
      <c r="I924">
        <v>0.22</v>
      </c>
      <c r="J924">
        <v>2823.98</v>
      </c>
      <c r="K924" t="s">
        <v>46</v>
      </c>
      <c r="L924" t="s">
        <v>29</v>
      </c>
      <c r="M924" t="s">
        <v>30</v>
      </c>
      <c r="N924" t="s">
        <v>22</v>
      </c>
    </row>
    <row r="925" spans="1:14" x14ac:dyDescent="0.3">
      <c r="A925" t="s">
        <v>986</v>
      </c>
      <c r="B925" s="1">
        <v>45802</v>
      </c>
      <c r="C925" t="s">
        <v>24</v>
      </c>
      <c r="D925" t="s">
        <v>16</v>
      </c>
      <c r="E925" t="s">
        <v>17</v>
      </c>
      <c r="F925" t="s">
        <v>44</v>
      </c>
      <c r="G925">
        <v>1</v>
      </c>
      <c r="H925">
        <v>3116.91</v>
      </c>
      <c r="I925">
        <v>0.03</v>
      </c>
      <c r="J925">
        <v>3023.4</v>
      </c>
      <c r="K925" t="s">
        <v>46</v>
      </c>
      <c r="L925" t="s">
        <v>34</v>
      </c>
      <c r="M925" t="s">
        <v>54</v>
      </c>
      <c r="N925" t="s">
        <v>22</v>
      </c>
    </row>
    <row r="926" spans="1:14" x14ac:dyDescent="0.3">
      <c r="A926" t="s">
        <v>987</v>
      </c>
      <c r="B926" s="1">
        <v>45766</v>
      </c>
      <c r="C926" t="s">
        <v>36</v>
      </c>
      <c r="D926" t="s">
        <v>39</v>
      </c>
      <c r="E926" t="s">
        <v>61</v>
      </c>
      <c r="F926" t="s">
        <v>92</v>
      </c>
      <c r="G926">
        <v>2</v>
      </c>
      <c r="H926">
        <v>3429.22</v>
      </c>
      <c r="I926">
        <v>0.04</v>
      </c>
      <c r="J926">
        <v>6584.1</v>
      </c>
      <c r="K926" t="s">
        <v>46</v>
      </c>
      <c r="L926" t="s">
        <v>29</v>
      </c>
      <c r="M926" t="s">
        <v>21</v>
      </c>
      <c r="N926" t="s">
        <v>22</v>
      </c>
    </row>
    <row r="927" spans="1:14" x14ac:dyDescent="0.3">
      <c r="A927" t="s">
        <v>988</v>
      </c>
      <c r="B927" s="1">
        <v>45815</v>
      </c>
      <c r="C927" t="s">
        <v>24</v>
      </c>
      <c r="D927" t="s">
        <v>16</v>
      </c>
      <c r="E927" t="s">
        <v>99</v>
      </c>
      <c r="F927" t="s">
        <v>111</v>
      </c>
      <c r="G927">
        <v>3</v>
      </c>
      <c r="H927">
        <v>4671.12</v>
      </c>
      <c r="I927">
        <v>0.2</v>
      </c>
      <c r="J927">
        <v>11210.69</v>
      </c>
      <c r="K927" t="s">
        <v>46</v>
      </c>
      <c r="L927" t="s">
        <v>34</v>
      </c>
      <c r="M927" t="s">
        <v>21</v>
      </c>
      <c r="N927" t="s">
        <v>88</v>
      </c>
    </row>
    <row r="928" spans="1:14" x14ac:dyDescent="0.3">
      <c r="A928" t="s">
        <v>989</v>
      </c>
      <c r="B928" s="1">
        <v>45777</v>
      </c>
      <c r="C928" t="s">
        <v>15</v>
      </c>
      <c r="D928" t="s">
        <v>16</v>
      </c>
      <c r="E928" t="s">
        <v>61</v>
      </c>
      <c r="F928" t="s">
        <v>75</v>
      </c>
      <c r="G928">
        <v>4</v>
      </c>
      <c r="H928">
        <v>3634.58</v>
      </c>
      <c r="I928">
        <v>0.2</v>
      </c>
      <c r="J928">
        <v>11630.66</v>
      </c>
      <c r="K928" t="s">
        <v>19</v>
      </c>
      <c r="L928" t="s">
        <v>34</v>
      </c>
      <c r="M928" t="s">
        <v>30</v>
      </c>
      <c r="N928" t="s">
        <v>22</v>
      </c>
    </row>
    <row r="929" spans="1:14" x14ac:dyDescent="0.3">
      <c r="A929" t="s">
        <v>990</v>
      </c>
      <c r="B929" s="1">
        <v>45834</v>
      </c>
      <c r="C929" t="s">
        <v>52</v>
      </c>
      <c r="D929" t="s">
        <v>25</v>
      </c>
      <c r="E929" t="s">
        <v>49</v>
      </c>
      <c r="F929" t="s">
        <v>53</v>
      </c>
      <c r="G929">
        <v>2</v>
      </c>
      <c r="H929">
        <v>991.17</v>
      </c>
      <c r="I929">
        <v>0.1</v>
      </c>
      <c r="J929">
        <v>1784.11</v>
      </c>
      <c r="K929" t="s">
        <v>58</v>
      </c>
      <c r="L929" t="s">
        <v>34</v>
      </c>
      <c r="M929" t="s">
        <v>30</v>
      </c>
      <c r="N929" t="s">
        <v>22</v>
      </c>
    </row>
    <row r="930" spans="1:14" x14ac:dyDescent="0.3">
      <c r="A930" t="s">
        <v>991</v>
      </c>
      <c r="B930" s="1">
        <v>45702</v>
      </c>
      <c r="C930" t="s">
        <v>52</v>
      </c>
      <c r="D930" t="s">
        <v>43</v>
      </c>
      <c r="E930" t="s">
        <v>49</v>
      </c>
      <c r="F930" t="s">
        <v>53</v>
      </c>
      <c r="G930">
        <v>4</v>
      </c>
      <c r="H930">
        <v>2791.76</v>
      </c>
      <c r="I930">
        <v>0.13</v>
      </c>
      <c r="J930">
        <v>9715.32</v>
      </c>
      <c r="K930" t="s">
        <v>19</v>
      </c>
      <c r="L930" t="s">
        <v>34</v>
      </c>
      <c r="M930" t="s">
        <v>30</v>
      </c>
      <c r="N930" t="s">
        <v>22</v>
      </c>
    </row>
    <row r="931" spans="1:14" x14ac:dyDescent="0.3">
      <c r="A931" t="s">
        <v>992</v>
      </c>
      <c r="B931" s="1">
        <v>45754</v>
      </c>
      <c r="C931" t="s">
        <v>36</v>
      </c>
      <c r="D931" t="s">
        <v>43</v>
      </c>
      <c r="E931" t="s">
        <v>27</v>
      </c>
      <c r="F931" t="s">
        <v>87</v>
      </c>
      <c r="G931">
        <v>2</v>
      </c>
      <c r="H931">
        <v>3545.16</v>
      </c>
      <c r="I931">
        <v>0.06</v>
      </c>
      <c r="J931">
        <v>6664.9</v>
      </c>
      <c r="K931" t="s">
        <v>33</v>
      </c>
      <c r="L931" t="s">
        <v>29</v>
      </c>
      <c r="M931" t="s">
        <v>54</v>
      </c>
      <c r="N931" t="s">
        <v>59</v>
      </c>
    </row>
    <row r="932" spans="1:14" x14ac:dyDescent="0.3">
      <c r="A932" t="s">
        <v>993</v>
      </c>
      <c r="B932" s="1">
        <v>45702</v>
      </c>
      <c r="C932" t="s">
        <v>36</v>
      </c>
      <c r="D932" t="s">
        <v>39</v>
      </c>
      <c r="E932" t="s">
        <v>17</v>
      </c>
      <c r="F932" t="s">
        <v>32</v>
      </c>
      <c r="G932">
        <v>1</v>
      </c>
      <c r="H932">
        <v>391.93</v>
      </c>
      <c r="I932">
        <v>0.09</v>
      </c>
      <c r="J932">
        <v>356.66</v>
      </c>
      <c r="K932" t="s">
        <v>41</v>
      </c>
      <c r="L932" t="s">
        <v>20</v>
      </c>
      <c r="M932" t="s">
        <v>54</v>
      </c>
      <c r="N932" t="s">
        <v>22</v>
      </c>
    </row>
    <row r="933" spans="1:14" x14ac:dyDescent="0.3">
      <c r="A933" t="s">
        <v>994</v>
      </c>
      <c r="B933" s="1">
        <v>45712</v>
      </c>
      <c r="C933" t="s">
        <v>52</v>
      </c>
      <c r="D933" t="s">
        <v>43</v>
      </c>
      <c r="E933" t="s">
        <v>27</v>
      </c>
      <c r="F933" t="s">
        <v>87</v>
      </c>
      <c r="G933">
        <v>1</v>
      </c>
      <c r="H933">
        <v>3760.28</v>
      </c>
      <c r="I933">
        <v>0.03</v>
      </c>
      <c r="J933">
        <v>3647.47</v>
      </c>
      <c r="K933" t="s">
        <v>19</v>
      </c>
      <c r="L933" t="s">
        <v>20</v>
      </c>
      <c r="M933" t="s">
        <v>21</v>
      </c>
      <c r="N933" t="s">
        <v>22</v>
      </c>
    </row>
    <row r="934" spans="1:14" x14ac:dyDescent="0.3">
      <c r="A934" t="s">
        <v>995</v>
      </c>
      <c r="B934" s="1">
        <v>45744</v>
      </c>
      <c r="C934" t="s">
        <v>15</v>
      </c>
      <c r="D934" t="s">
        <v>43</v>
      </c>
      <c r="E934" t="s">
        <v>17</v>
      </c>
      <c r="F934" t="s">
        <v>40</v>
      </c>
      <c r="G934">
        <v>1</v>
      </c>
      <c r="H934">
        <v>3347.46</v>
      </c>
      <c r="I934">
        <v>0.02</v>
      </c>
      <c r="J934">
        <v>3280.51</v>
      </c>
      <c r="K934" t="s">
        <v>58</v>
      </c>
      <c r="L934" t="s">
        <v>29</v>
      </c>
      <c r="M934" t="s">
        <v>21</v>
      </c>
      <c r="N934" t="s">
        <v>22</v>
      </c>
    </row>
    <row r="935" spans="1:14" x14ac:dyDescent="0.3">
      <c r="A935" t="s">
        <v>996</v>
      </c>
      <c r="B935" s="1">
        <v>45754</v>
      </c>
      <c r="C935" t="s">
        <v>24</v>
      </c>
      <c r="D935" t="s">
        <v>43</v>
      </c>
      <c r="E935" t="s">
        <v>99</v>
      </c>
      <c r="F935" t="s">
        <v>100</v>
      </c>
      <c r="G935">
        <v>1</v>
      </c>
      <c r="H935">
        <v>2889</v>
      </c>
      <c r="I935">
        <v>0.2</v>
      </c>
      <c r="J935">
        <v>2311.1999999999998</v>
      </c>
      <c r="K935" t="s">
        <v>19</v>
      </c>
      <c r="L935" t="s">
        <v>20</v>
      </c>
      <c r="M935" t="s">
        <v>54</v>
      </c>
      <c r="N935" t="s">
        <v>22</v>
      </c>
    </row>
    <row r="936" spans="1:14" x14ac:dyDescent="0.3">
      <c r="A936" t="s">
        <v>997</v>
      </c>
      <c r="B936" s="1">
        <v>45665</v>
      </c>
      <c r="C936" t="s">
        <v>48</v>
      </c>
      <c r="D936" t="s">
        <v>39</v>
      </c>
      <c r="E936" t="s">
        <v>61</v>
      </c>
      <c r="F936" t="s">
        <v>66</v>
      </c>
      <c r="G936">
        <v>3</v>
      </c>
      <c r="H936">
        <v>2275.4699999999998</v>
      </c>
      <c r="I936">
        <v>0.16</v>
      </c>
      <c r="J936">
        <v>5734.18</v>
      </c>
      <c r="K936" t="s">
        <v>41</v>
      </c>
      <c r="L936" t="s">
        <v>29</v>
      </c>
      <c r="M936" t="s">
        <v>54</v>
      </c>
      <c r="N936" t="s">
        <v>22</v>
      </c>
    </row>
    <row r="937" spans="1:14" x14ac:dyDescent="0.3">
      <c r="A937" t="s">
        <v>998</v>
      </c>
      <c r="B937" s="1">
        <v>45735</v>
      </c>
      <c r="C937" t="s">
        <v>36</v>
      </c>
      <c r="D937" t="s">
        <v>25</v>
      </c>
      <c r="E937" t="s">
        <v>17</v>
      </c>
      <c r="F937" t="s">
        <v>18</v>
      </c>
      <c r="G937">
        <v>2</v>
      </c>
      <c r="H937">
        <v>153.25</v>
      </c>
      <c r="I937">
        <v>0.21</v>
      </c>
      <c r="J937">
        <v>242.14</v>
      </c>
      <c r="K937" t="s">
        <v>19</v>
      </c>
      <c r="L937" t="s">
        <v>29</v>
      </c>
      <c r="M937" t="s">
        <v>21</v>
      </c>
      <c r="N937" t="s">
        <v>22</v>
      </c>
    </row>
    <row r="938" spans="1:14" x14ac:dyDescent="0.3">
      <c r="A938" t="s">
        <v>999</v>
      </c>
      <c r="B938" s="1">
        <v>45725</v>
      </c>
      <c r="C938" t="s">
        <v>52</v>
      </c>
      <c r="D938" t="s">
        <v>43</v>
      </c>
      <c r="E938" t="s">
        <v>99</v>
      </c>
      <c r="F938" t="s">
        <v>111</v>
      </c>
      <c r="G938">
        <v>3</v>
      </c>
      <c r="H938">
        <v>4868.3</v>
      </c>
      <c r="I938">
        <v>0.13</v>
      </c>
      <c r="J938">
        <v>12706.26</v>
      </c>
      <c r="K938" t="s">
        <v>41</v>
      </c>
      <c r="L938" t="s">
        <v>20</v>
      </c>
      <c r="M938" t="s">
        <v>54</v>
      </c>
      <c r="N938" t="s">
        <v>22</v>
      </c>
    </row>
    <row r="939" spans="1:14" x14ac:dyDescent="0.3">
      <c r="A939" t="s">
        <v>1000</v>
      </c>
      <c r="B939" s="1">
        <v>45789</v>
      </c>
      <c r="C939" t="s">
        <v>48</v>
      </c>
      <c r="D939" t="s">
        <v>25</v>
      </c>
      <c r="E939" t="s">
        <v>17</v>
      </c>
      <c r="F939" t="s">
        <v>44</v>
      </c>
      <c r="G939">
        <v>5</v>
      </c>
      <c r="H939">
        <v>3064.91</v>
      </c>
      <c r="I939">
        <v>0.02</v>
      </c>
      <c r="J939">
        <v>15018.06</v>
      </c>
      <c r="K939" t="s">
        <v>19</v>
      </c>
      <c r="L939" t="s">
        <v>29</v>
      </c>
      <c r="M939" t="s">
        <v>21</v>
      </c>
      <c r="N939" t="s">
        <v>22</v>
      </c>
    </row>
    <row r="940" spans="1:14" x14ac:dyDescent="0.3">
      <c r="A940" t="s">
        <v>1001</v>
      </c>
      <c r="B940" s="1">
        <v>45791</v>
      </c>
      <c r="C940" t="s">
        <v>52</v>
      </c>
      <c r="D940" t="s">
        <v>39</v>
      </c>
      <c r="E940" t="s">
        <v>49</v>
      </c>
      <c r="F940" t="s">
        <v>50</v>
      </c>
      <c r="G940">
        <v>4</v>
      </c>
      <c r="H940">
        <v>1054.18</v>
      </c>
      <c r="I940">
        <v>0.03</v>
      </c>
      <c r="J940">
        <v>4090.22</v>
      </c>
      <c r="K940" t="s">
        <v>58</v>
      </c>
      <c r="L940" t="s">
        <v>34</v>
      </c>
      <c r="M940" t="s">
        <v>54</v>
      </c>
      <c r="N940" t="s">
        <v>22</v>
      </c>
    </row>
    <row r="941" spans="1:14" x14ac:dyDescent="0.3">
      <c r="A941" t="s">
        <v>1002</v>
      </c>
      <c r="B941" s="1">
        <v>45814</v>
      </c>
      <c r="C941" t="s">
        <v>52</v>
      </c>
      <c r="D941" t="s">
        <v>39</v>
      </c>
      <c r="E941" t="s">
        <v>99</v>
      </c>
      <c r="F941" t="s">
        <v>120</v>
      </c>
      <c r="G941">
        <v>5</v>
      </c>
      <c r="H941">
        <v>621.67999999999995</v>
      </c>
      <c r="I941">
        <v>0.05</v>
      </c>
      <c r="J941">
        <v>2952.98</v>
      </c>
      <c r="K941" t="s">
        <v>46</v>
      </c>
      <c r="L941" t="s">
        <v>20</v>
      </c>
      <c r="M941" t="s">
        <v>54</v>
      </c>
      <c r="N941" t="s">
        <v>22</v>
      </c>
    </row>
    <row r="942" spans="1:14" x14ac:dyDescent="0.3">
      <c r="A942" t="s">
        <v>1003</v>
      </c>
      <c r="B942" s="1">
        <v>45738</v>
      </c>
      <c r="C942" t="s">
        <v>52</v>
      </c>
      <c r="D942" t="s">
        <v>16</v>
      </c>
      <c r="E942" t="s">
        <v>61</v>
      </c>
      <c r="F942" t="s">
        <v>62</v>
      </c>
      <c r="G942">
        <v>5</v>
      </c>
      <c r="H942">
        <v>2867.5</v>
      </c>
      <c r="I942">
        <v>0.14000000000000001</v>
      </c>
      <c r="J942">
        <v>12330.25</v>
      </c>
      <c r="K942" t="s">
        <v>46</v>
      </c>
      <c r="L942" t="s">
        <v>20</v>
      </c>
      <c r="M942" t="s">
        <v>30</v>
      </c>
      <c r="N942" t="s">
        <v>22</v>
      </c>
    </row>
    <row r="943" spans="1:14" x14ac:dyDescent="0.3">
      <c r="A943" t="s">
        <v>1004</v>
      </c>
      <c r="B943" s="1">
        <v>45800</v>
      </c>
      <c r="C943" t="s">
        <v>24</v>
      </c>
      <c r="D943" t="s">
        <v>39</v>
      </c>
      <c r="E943" t="s">
        <v>17</v>
      </c>
      <c r="F943" t="s">
        <v>32</v>
      </c>
      <c r="G943">
        <v>4</v>
      </c>
      <c r="H943">
        <v>2551.06</v>
      </c>
      <c r="I943">
        <v>0.08</v>
      </c>
      <c r="J943">
        <v>9387.9</v>
      </c>
      <c r="K943" t="s">
        <v>46</v>
      </c>
      <c r="L943" t="s">
        <v>34</v>
      </c>
      <c r="M943" t="s">
        <v>30</v>
      </c>
      <c r="N943" t="s">
        <v>59</v>
      </c>
    </row>
    <row r="944" spans="1:14" x14ac:dyDescent="0.3">
      <c r="A944" t="s">
        <v>1005</v>
      </c>
      <c r="B944" s="1">
        <v>45692</v>
      </c>
      <c r="C944" t="s">
        <v>48</v>
      </c>
      <c r="D944" t="s">
        <v>25</v>
      </c>
      <c r="E944" t="s">
        <v>17</v>
      </c>
      <c r="F944" t="s">
        <v>32</v>
      </c>
      <c r="G944">
        <v>5</v>
      </c>
      <c r="H944">
        <v>4056.72</v>
      </c>
      <c r="I944">
        <v>0.04</v>
      </c>
      <c r="J944">
        <v>19472.259999999998</v>
      </c>
      <c r="K944" t="s">
        <v>33</v>
      </c>
      <c r="L944" t="s">
        <v>20</v>
      </c>
      <c r="M944" t="s">
        <v>21</v>
      </c>
      <c r="N944" t="s">
        <v>22</v>
      </c>
    </row>
    <row r="945" spans="1:14" x14ac:dyDescent="0.3">
      <c r="A945" t="s">
        <v>1006</v>
      </c>
      <c r="B945" s="1">
        <v>45823</v>
      </c>
      <c r="C945" t="s">
        <v>52</v>
      </c>
      <c r="D945" t="s">
        <v>43</v>
      </c>
      <c r="E945" t="s">
        <v>17</v>
      </c>
      <c r="F945" t="s">
        <v>32</v>
      </c>
      <c r="G945">
        <v>4</v>
      </c>
      <c r="H945">
        <v>485.89</v>
      </c>
      <c r="I945">
        <v>0.16</v>
      </c>
      <c r="J945">
        <v>1632.59</v>
      </c>
      <c r="K945" t="s">
        <v>19</v>
      </c>
      <c r="L945" t="s">
        <v>29</v>
      </c>
      <c r="M945" t="s">
        <v>21</v>
      </c>
      <c r="N945" t="s">
        <v>37</v>
      </c>
    </row>
    <row r="946" spans="1:14" x14ac:dyDescent="0.3">
      <c r="A946" t="s">
        <v>1007</v>
      </c>
      <c r="B946" s="1">
        <v>45750</v>
      </c>
      <c r="C946" t="s">
        <v>36</v>
      </c>
      <c r="D946" t="s">
        <v>25</v>
      </c>
      <c r="E946" t="s">
        <v>61</v>
      </c>
      <c r="F946" t="s">
        <v>75</v>
      </c>
      <c r="G946">
        <v>5</v>
      </c>
      <c r="H946">
        <v>3291.84</v>
      </c>
      <c r="I946">
        <v>0.23</v>
      </c>
      <c r="J946">
        <v>12673.58</v>
      </c>
      <c r="K946" t="s">
        <v>33</v>
      </c>
      <c r="L946" t="s">
        <v>29</v>
      </c>
      <c r="M946" t="s">
        <v>30</v>
      </c>
      <c r="N946" t="s">
        <v>88</v>
      </c>
    </row>
    <row r="947" spans="1:14" x14ac:dyDescent="0.3">
      <c r="A947" t="s">
        <v>1008</v>
      </c>
      <c r="B947" s="1">
        <v>45838</v>
      </c>
      <c r="C947" t="s">
        <v>15</v>
      </c>
      <c r="D947" t="s">
        <v>43</v>
      </c>
      <c r="E947" t="s">
        <v>99</v>
      </c>
      <c r="F947" t="s">
        <v>111</v>
      </c>
      <c r="G947">
        <v>1</v>
      </c>
      <c r="H947">
        <v>4464.33</v>
      </c>
      <c r="I947">
        <v>0.19</v>
      </c>
      <c r="J947">
        <v>3616.11</v>
      </c>
      <c r="K947" t="s">
        <v>33</v>
      </c>
      <c r="L947" t="s">
        <v>34</v>
      </c>
      <c r="M947" t="s">
        <v>30</v>
      </c>
      <c r="N947" t="s">
        <v>22</v>
      </c>
    </row>
    <row r="948" spans="1:14" x14ac:dyDescent="0.3">
      <c r="A948" t="s">
        <v>1009</v>
      </c>
      <c r="B948" s="1">
        <v>45684</v>
      </c>
      <c r="C948" t="s">
        <v>52</v>
      </c>
      <c r="D948" t="s">
        <v>16</v>
      </c>
      <c r="E948" t="s">
        <v>27</v>
      </c>
      <c r="F948" t="s">
        <v>79</v>
      </c>
      <c r="G948">
        <v>4</v>
      </c>
      <c r="H948">
        <v>577.29</v>
      </c>
      <c r="I948">
        <v>0</v>
      </c>
      <c r="J948">
        <v>2309.16</v>
      </c>
      <c r="K948" t="s">
        <v>33</v>
      </c>
      <c r="L948" t="s">
        <v>29</v>
      </c>
      <c r="M948" t="s">
        <v>30</v>
      </c>
      <c r="N948" t="s">
        <v>22</v>
      </c>
    </row>
    <row r="949" spans="1:14" x14ac:dyDescent="0.3">
      <c r="A949" t="s">
        <v>1010</v>
      </c>
      <c r="B949" s="1">
        <v>45780</v>
      </c>
      <c r="C949" t="s">
        <v>52</v>
      </c>
      <c r="D949" t="s">
        <v>16</v>
      </c>
      <c r="E949" t="s">
        <v>49</v>
      </c>
      <c r="F949" t="s">
        <v>53</v>
      </c>
      <c r="G949">
        <v>1</v>
      </c>
      <c r="H949">
        <v>1472.57</v>
      </c>
      <c r="I949">
        <v>0.09</v>
      </c>
      <c r="J949">
        <v>1340.04</v>
      </c>
      <c r="K949" t="s">
        <v>46</v>
      </c>
      <c r="L949" t="s">
        <v>20</v>
      </c>
      <c r="M949" t="s">
        <v>54</v>
      </c>
      <c r="N949" t="s">
        <v>22</v>
      </c>
    </row>
    <row r="950" spans="1:14" x14ac:dyDescent="0.3">
      <c r="A950" t="s">
        <v>1011</v>
      </c>
      <c r="B950" s="1">
        <v>45763</v>
      </c>
      <c r="C950" t="s">
        <v>48</v>
      </c>
      <c r="D950" t="s">
        <v>16</v>
      </c>
      <c r="E950" t="s">
        <v>49</v>
      </c>
      <c r="F950" t="s">
        <v>53</v>
      </c>
      <c r="G950">
        <v>2</v>
      </c>
      <c r="H950">
        <v>4705.16</v>
      </c>
      <c r="I950">
        <v>0.24</v>
      </c>
      <c r="J950">
        <v>7151.84</v>
      </c>
      <c r="K950" t="s">
        <v>46</v>
      </c>
      <c r="L950" t="s">
        <v>34</v>
      </c>
      <c r="M950" t="s">
        <v>30</v>
      </c>
      <c r="N950" t="s">
        <v>22</v>
      </c>
    </row>
    <row r="951" spans="1:14" x14ac:dyDescent="0.3">
      <c r="A951" t="s">
        <v>1012</v>
      </c>
      <c r="B951" s="1">
        <v>45665</v>
      </c>
      <c r="C951" t="s">
        <v>48</v>
      </c>
      <c r="D951" t="s">
        <v>39</v>
      </c>
      <c r="E951" t="s">
        <v>99</v>
      </c>
      <c r="F951" t="s">
        <v>115</v>
      </c>
      <c r="G951">
        <v>2</v>
      </c>
      <c r="H951">
        <v>2260.06</v>
      </c>
      <c r="I951">
        <v>0.13</v>
      </c>
      <c r="J951">
        <v>3932.5</v>
      </c>
      <c r="K951" t="s">
        <v>33</v>
      </c>
      <c r="L951" t="s">
        <v>29</v>
      </c>
      <c r="M951" t="s">
        <v>21</v>
      </c>
      <c r="N951" t="s">
        <v>22</v>
      </c>
    </row>
    <row r="952" spans="1:14" x14ac:dyDescent="0.3">
      <c r="A952" t="s">
        <v>1013</v>
      </c>
      <c r="B952" s="1">
        <v>45836</v>
      </c>
      <c r="C952" t="s">
        <v>15</v>
      </c>
      <c r="D952" t="s">
        <v>16</v>
      </c>
      <c r="E952" t="s">
        <v>49</v>
      </c>
      <c r="F952" t="s">
        <v>50</v>
      </c>
      <c r="G952">
        <v>1</v>
      </c>
      <c r="H952">
        <v>3731.11</v>
      </c>
      <c r="I952">
        <v>0.06</v>
      </c>
      <c r="J952">
        <v>3507.24</v>
      </c>
      <c r="K952" t="s">
        <v>58</v>
      </c>
      <c r="L952" t="s">
        <v>29</v>
      </c>
      <c r="M952" t="s">
        <v>21</v>
      </c>
      <c r="N952" t="s">
        <v>22</v>
      </c>
    </row>
    <row r="953" spans="1:14" x14ac:dyDescent="0.3">
      <c r="A953" t="s">
        <v>1014</v>
      </c>
      <c r="B953" s="1">
        <v>45736</v>
      </c>
      <c r="C953" t="s">
        <v>48</v>
      </c>
      <c r="D953" t="s">
        <v>16</v>
      </c>
      <c r="E953" t="s">
        <v>17</v>
      </c>
      <c r="F953" t="s">
        <v>32</v>
      </c>
      <c r="G953">
        <v>4</v>
      </c>
      <c r="H953">
        <v>4283.76</v>
      </c>
      <c r="I953">
        <v>0.06</v>
      </c>
      <c r="J953">
        <v>16106.94</v>
      </c>
      <c r="K953" t="s">
        <v>19</v>
      </c>
      <c r="L953" t="s">
        <v>29</v>
      </c>
      <c r="M953" t="s">
        <v>30</v>
      </c>
      <c r="N953" t="s">
        <v>22</v>
      </c>
    </row>
    <row r="954" spans="1:14" x14ac:dyDescent="0.3">
      <c r="A954" t="s">
        <v>1015</v>
      </c>
      <c r="B954" s="1">
        <v>45774</v>
      </c>
      <c r="C954" t="s">
        <v>24</v>
      </c>
      <c r="D954" t="s">
        <v>43</v>
      </c>
      <c r="E954" t="s">
        <v>49</v>
      </c>
      <c r="F954" t="s">
        <v>50</v>
      </c>
      <c r="G954">
        <v>1</v>
      </c>
      <c r="H954">
        <v>4595.5600000000004</v>
      </c>
      <c r="I954">
        <v>0.23</v>
      </c>
      <c r="J954">
        <v>3538.58</v>
      </c>
      <c r="K954" t="s">
        <v>58</v>
      </c>
      <c r="L954" t="s">
        <v>20</v>
      </c>
      <c r="M954" t="s">
        <v>30</v>
      </c>
      <c r="N954" t="s">
        <v>22</v>
      </c>
    </row>
    <row r="955" spans="1:14" x14ac:dyDescent="0.3">
      <c r="A955" t="s">
        <v>1016</v>
      </c>
      <c r="B955" s="1">
        <v>45769</v>
      </c>
      <c r="C955" t="s">
        <v>15</v>
      </c>
      <c r="D955" t="s">
        <v>25</v>
      </c>
      <c r="E955" t="s">
        <v>17</v>
      </c>
      <c r="F955" t="s">
        <v>32</v>
      </c>
      <c r="G955">
        <v>2</v>
      </c>
      <c r="H955">
        <v>3541.23</v>
      </c>
      <c r="I955">
        <v>0.12</v>
      </c>
      <c r="J955">
        <v>6232.56</v>
      </c>
      <c r="K955" t="s">
        <v>33</v>
      </c>
      <c r="L955" t="s">
        <v>34</v>
      </c>
      <c r="M955" t="s">
        <v>30</v>
      </c>
      <c r="N955" t="s">
        <v>22</v>
      </c>
    </row>
    <row r="956" spans="1:14" x14ac:dyDescent="0.3">
      <c r="A956" t="s">
        <v>1017</v>
      </c>
      <c r="B956" s="1">
        <v>45788</v>
      </c>
      <c r="C956" t="s">
        <v>52</v>
      </c>
      <c r="D956" t="s">
        <v>16</v>
      </c>
      <c r="E956" t="s">
        <v>61</v>
      </c>
      <c r="F956" t="s">
        <v>92</v>
      </c>
      <c r="G956">
        <v>5</v>
      </c>
      <c r="H956">
        <v>253.48</v>
      </c>
      <c r="I956">
        <v>0.15</v>
      </c>
      <c r="J956">
        <v>1077.29</v>
      </c>
      <c r="K956" t="s">
        <v>19</v>
      </c>
      <c r="L956" t="s">
        <v>34</v>
      </c>
      <c r="M956" t="s">
        <v>30</v>
      </c>
      <c r="N956" t="s">
        <v>37</v>
      </c>
    </row>
    <row r="957" spans="1:14" x14ac:dyDescent="0.3">
      <c r="A957" t="s">
        <v>1018</v>
      </c>
      <c r="B957" s="1">
        <v>45665</v>
      </c>
      <c r="C957" t="s">
        <v>48</v>
      </c>
      <c r="D957" t="s">
        <v>25</v>
      </c>
      <c r="E957" t="s">
        <v>99</v>
      </c>
      <c r="F957" t="s">
        <v>115</v>
      </c>
      <c r="G957">
        <v>2</v>
      </c>
      <c r="H957">
        <v>4353.3</v>
      </c>
      <c r="I957">
        <v>0.24</v>
      </c>
      <c r="J957">
        <v>6617.02</v>
      </c>
      <c r="K957" t="s">
        <v>19</v>
      </c>
      <c r="L957" t="s">
        <v>20</v>
      </c>
      <c r="M957" t="s">
        <v>21</v>
      </c>
      <c r="N957" t="s">
        <v>22</v>
      </c>
    </row>
    <row r="958" spans="1:14" x14ac:dyDescent="0.3">
      <c r="A958" t="s">
        <v>1019</v>
      </c>
      <c r="B958" s="1">
        <v>45676</v>
      </c>
      <c r="C958" t="s">
        <v>52</v>
      </c>
      <c r="D958" t="s">
        <v>25</v>
      </c>
      <c r="E958" t="s">
        <v>61</v>
      </c>
      <c r="F958" t="s">
        <v>62</v>
      </c>
      <c r="G958">
        <v>4</v>
      </c>
      <c r="H958">
        <v>500.37</v>
      </c>
      <c r="I958">
        <v>0.22</v>
      </c>
      <c r="J958">
        <v>1561.15</v>
      </c>
      <c r="K958" t="s">
        <v>58</v>
      </c>
      <c r="L958" t="s">
        <v>34</v>
      </c>
      <c r="M958" t="s">
        <v>30</v>
      </c>
      <c r="N958" t="s">
        <v>22</v>
      </c>
    </row>
    <row r="959" spans="1:14" x14ac:dyDescent="0.3">
      <c r="A959" t="s">
        <v>1020</v>
      </c>
      <c r="B959" s="1">
        <v>45784</v>
      </c>
      <c r="C959" t="s">
        <v>24</v>
      </c>
      <c r="D959" t="s">
        <v>39</v>
      </c>
      <c r="E959" t="s">
        <v>99</v>
      </c>
      <c r="F959" t="s">
        <v>100</v>
      </c>
      <c r="G959">
        <v>3</v>
      </c>
      <c r="H959">
        <v>4820.49</v>
      </c>
      <c r="I959">
        <v>7.0000000000000007E-2</v>
      </c>
      <c r="J959">
        <v>13449.17</v>
      </c>
      <c r="K959" t="s">
        <v>58</v>
      </c>
      <c r="L959" t="s">
        <v>34</v>
      </c>
      <c r="M959" t="s">
        <v>54</v>
      </c>
      <c r="N959" t="s">
        <v>37</v>
      </c>
    </row>
    <row r="960" spans="1:14" x14ac:dyDescent="0.3">
      <c r="A960" t="s">
        <v>1021</v>
      </c>
      <c r="B960" s="1">
        <v>45743</v>
      </c>
      <c r="C960" t="s">
        <v>36</v>
      </c>
      <c r="D960" t="s">
        <v>16</v>
      </c>
      <c r="E960" t="s">
        <v>49</v>
      </c>
      <c r="F960" t="s">
        <v>50</v>
      </c>
      <c r="G960">
        <v>4</v>
      </c>
      <c r="H960">
        <v>1837.99</v>
      </c>
      <c r="I960">
        <v>0.17</v>
      </c>
      <c r="J960">
        <v>6102.13</v>
      </c>
      <c r="K960" t="s">
        <v>19</v>
      </c>
      <c r="L960" t="s">
        <v>29</v>
      </c>
      <c r="M960" t="s">
        <v>30</v>
      </c>
      <c r="N960" t="s">
        <v>22</v>
      </c>
    </row>
    <row r="961" spans="1:14" x14ac:dyDescent="0.3">
      <c r="A961" t="s">
        <v>1022</v>
      </c>
      <c r="B961" s="1">
        <v>45686</v>
      </c>
      <c r="C961" t="s">
        <v>24</v>
      </c>
      <c r="D961" t="s">
        <v>39</v>
      </c>
      <c r="E961" t="s">
        <v>27</v>
      </c>
      <c r="F961" t="s">
        <v>68</v>
      </c>
      <c r="G961">
        <v>2</v>
      </c>
      <c r="H961">
        <v>1686.29</v>
      </c>
      <c r="I961">
        <v>0.25</v>
      </c>
      <c r="J961">
        <v>2529.4299999999998</v>
      </c>
      <c r="K961" t="s">
        <v>33</v>
      </c>
      <c r="L961" t="s">
        <v>29</v>
      </c>
      <c r="M961" t="s">
        <v>21</v>
      </c>
      <c r="N961" t="s">
        <v>22</v>
      </c>
    </row>
    <row r="962" spans="1:14" x14ac:dyDescent="0.3">
      <c r="A962" t="s">
        <v>1023</v>
      </c>
      <c r="B962" s="1">
        <v>45828</v>
      </c>
      <c r="C962" t="s">
        <v>48</v>
      </c>
      <c r="D962" t="s">
        <v>43</v>
      </c>
      <c r="E962" t="s">
        <v>49</v>
      </c>
      <c r="F962" t="s">
        <v>73</v>
      </c>
      <c r="G962">
        <v>4</v>
      </c>
      <c r="H962">
        <v>1387.73</v>
      </c>
      <c r="I962">
        <v>0.18</v>
      </c>
      <c r="J962">
        <v>4551.75</v>
      </c>
      <c r="K962" t="s">
        <v>46</v>
      </c>
      <c r="L962" t="s">
        <v>20</v>
      </c>
      <c r="M962" t="s">
        <v>30</v>
      </c>
      <c r="N962" t="s">
        <v>22</v>
      </c>
    </row>
    <row r="963" spans="1:14" x14ac:dyDescent="0.3">
      <c r="A963" t="s">
        <v>1024</v>
      </c>
      <c r="B963" s="1">
        <v>45749</v>
      </c>
      <c r="C963" t="s">
        <v>24</v>
      </c>
      <c r="D963" t="s">
        <v>25</v>
      </c>
      <c r="E963" t="s">
        <v>27</v>
      </c>
      <c r="F963" t="s">
        <v>79</v>
      </c>
      <c r="G963">
        <v>2</v>
      </c>
      <c r="H963">
        <v>2158.86</v>
      </c>
      <c r="I963">
        <v>0.14000000000000001</v>
      </c>
      <c r="J963">
        <v>3713.24</v>
      </c>
      <c r="K963" t="s">
        <v>19</v>
      </c>
      <c r="L963" t="s">
        <v>29</v>
      </c>
      <c r="M963" t="s">
        <v>54</v>
      </c>
      <c r="N963" t="s">
        <v>22</v>
      </c>
    </row>
    <row r="964" spans="1:14" x14ac:dyDescent="0.3">
      <c r="A964" t="s">
        <v>1025</v>
      </c>
      <c r="B964" s="1">
        <v>45695</v>
      </c>
      <c r="C964" t="s">
        <v>36</v>
      </c>
      <c r="D964" t="s">
        <v>16</v>
      </c>
      <c r="E964" t="s">
        <v>61</v>
      </c>
      <c r="F964" t="s">
        <v>75</v>
      </c>
      <c r="G964">
        <v>3</v>
      </c>
      <c r="H964">
        <v>179.34</v>
      </c>
      <c r="I964">
        <v>0.22</v>
      </c>
      <c r="J964">
        <v>419.66</v>
      </c>
      <c r="K964" t="s">
        <v>58</v>
      </c>
      <c r="L964" t="s">
        <v>34</v>
      </c>
      <c r="M964" t="s">
        <v>21</v>
      </c>
      <c r="N964" t="s">
        <v>22</v>
      </c>
    </row>
    <row r="965" spans="1:14" x14ac:dyDescent="0.3">
      <c r="A965" t="s">
        <v>1026</v>
      </c>
      <c r="B965" s="1">
        <v>45669</v>
      </c>
      <c r="C965" t="s">
        <v>48</v>
      </c>
      <c r="D965" t="s">
        <v>16</v>
      </c>
      <c r="E965" t="s">
        <v>49</v>
      </c>
      <c r="F965" t="s">
        <v>50</v>
      </c>
      <c r="G965">
        <v>5</v>
      </c>
      <c r="H965">
        <v>2186.66</v>
      </c>
      <c r="I965">
        <v>0.24</v>
      </c>
      <c r="J965">
        <v>8309.31</v>
      </c>
      <c r="K965" t="s">
        <v>46</v>
      </c>
      <c r="L965" t="s">
        <v>34</v>
      </c>
      <c r="M965" t="s">
        <v>30</v>
      </c>
      <c r="N965" t="s">
        <v>37</v>
      </c>
    </row>
    <row r="966" spans="1:14" x14ac:dyDescent="0.3">
      <c r="A966" t="s">
        <v>1027</v>
      </c>
      <c r="B966" s="1">
        <v>45710</v>
      </c>
      <c r="C966" t="s">
        <v>15</v>
      </c>
      <c r="D966" t="s">
        <v>25</v>
      </c>
      <c r="E966" t="s">
        <v>49</v>
      </c>
      <c r="F966" t="s">
        <v>50</v>
      </c>
      <c r="G966">
        <v>5</v>
      </c>
      <c r="H966">
        <v>897.02</v>
      </c>
      <c r="I966">
        <v>0.11</v>
      </c>
      <c r="J966">
        <v>3991.74</v>
      </c>
      <c r="K966" t="s">
        <v>19</v>
      </c>
      <c r="L966" t="s">
        <v>29</v>
      </c>
      <c r="M966" t="s">
        <v>30</v>
      </c>
      <c r="N966" t="s">
        <v>22</v>
      </c>
    </row>
    <row r="967" spans="1:14" x14ac:dyDescent="0.3">
      <c r="A967" t="s">
        <v>1028</v>
      </c>
      <c r="B967" s="1">
        <v>45733</v>
      </c>
      <c r="C967" t="s">
        <v>24</v>
      </c>
      <c r="D967" t="s">
        <v>16</v>
      </c>
      <c r="E967" t="s">
        <v>27</v>
      </c>
      <c r="F967" t="s">
        <v>79</v>
      </c>
      <c r="G967">
        <v>1</v>
      </c>
      <c r="H967">
        <v>3119.68</v>
      </c>
      <c r="I967">
        <v>0.1</v>
      </c>
      <c r="J967">
        <v>2807.71</v>
      </c>
      <c r="K967" t="s">
        <v>58</v>
      </c>
      <c r="L967" t="s">
        <v>20</v>
      </c>
      <c r="M967" t="s">
        <v>30</v>
      </c>
      <c r="N967" t="s">
        <v>22</v>
      </c>
    </row>
    <row r="968" spans="1:14" x14ac:dyDescent="0.3">
      <c r="A968" t="s">
        <v>1029</v>
      </c>
      <c r="B968" s="1">
        <v>45723</v>
      </c>
      <c r="C968" t="s">
        <v>15</v>
      </c>
      <c r="D968" t="s">
        <v>43</v>
      </c>
      <c r="E968" t="s">
        <v>27</v>
      </c>
      <c r="F968" t="s">
        <v>79</v>
      </c>
      <c r="G968">
        <v>2</v>
      </c>
      <c r="H968">
        <v>3906.71</v>
      </c>
      <c r="I968">
        <v>0.14000000000000001</v>
      </c>
      <c r="J968">
        <v>6719.54</v>
      </c>
      <c r="K968" t="s">
        <v>41</v>
      </c>
      <c r="L968" t="s">
        <v>20</v>
      </c>
      <c r="M968" t="s">
        <v>54</v>
      </c>
      <c r="N968" t="s">
        <v>37</v>
      </c>
    </row>
    <row r="969" spans="1:14" x14ac:dyDescent="0.3">
      <c r="A969" t="s">
        <v>1030</v>
      </c>
      <c r="B969" s="1">
        <v>45701</v>
      </c>
      <c r="C969" t="s">
        <v>48</v>
      </c>
      <c r="D969" t="s">
        <v>39</v>
      </c>
      <c r="E969" t="s">
        <v>17</v>
      </c>
      <c r="F969" t="s">
        <v>32</v>
      </c>
      <c r="G969">
        <v>4</v>
      </c>
      <c r="H969">
        <v>137.27000000000001</v>
      </c>
      <c r="I969">
        <v>0.09</v>
      </c>
      <c r="J969">
        <v>499.66</v>
      </c>
      <c r="K969" t="s">
        <v>41</v>
      </c>
      <c r="L969" t="s">
        <v>29</v>
      </c>
      <c r="M969" t="s">
        <v>54</v>
      </c>
      <c r="N969" t="s">
        <v>22</v>
      </c>
    </row>
    <row r="970" spans="1:14" x14ac:dyDescent="0.3">
      <c r="A970" t="s">
        <v>1031</v>
      </c>
      <c r="B970" s="1">
        <v>45748</v>
      </c>
      <c r="C970" t="s">
        <v>48</v>
      </c>
      <c r="D970" t="s">
        <v>39</v>
      </c>
      <c r="E970" t="s">
        <v>99</v>
      </c>
      <c r="F970" t="s">
        <v>111</v>
      </c>
      <c r="G970">
        <v>4</v>
      </c>
      <c r="H970">
        <v>260.11</v>
      </c>
      <c r="I970">
        <v>0.01</v>
      </c>
      <c r="J970">
        <v>1030.04</v>
      </c>
      <c r="K970" t="s">
        <v>19</v>
      </c>
      <c r="L970" t="s">
        <v>20</v>
      </c>
      <c r="M970" t="s">
        <v>30</v>
      </c>
      <c r="N970" t="s">
        <v>22</v>
      </c>
    </row>
    <row r="971" spans="1:14" x14ac:dyDescent="0.3">
      <c r="A971" t="s">
        <v>1032</v>
      </c>
      <c r="B971" s="1">
        <v>45723</v>
      </c>
      <c r="C971" t="s">
        <v>52</v>
      </c>
      <c r="D971" t="s">
        <v>25</v>
      </c>
      <c r="E971" t="s">
        <v>27</v>
      </c>
      <c r="F971" t="s">
        <v>87</v>
      </c>
      <c r="G971">
        <v>2</v>
      </c>
      <c r="H971">
        <v>3119.71</v>
      </c>
      <c r="I971">
        <v>0.1</v>
      </c>
      <c r="J971">
        <v>5615.48</v>
      </c>
      <c r="K971" t="s">
        <v>33</v>
      </c>
      <c r="L971" t="s">
        <v>34</v>
      </c>
      <c r="M971" t="s">
        <v>54</v>
      </c>
      <c r="N971" t="s">
        <v>22</v>
      </c>
    </row>
    <row r="972" spans="1:14" x14ac:dyDescent="0.3">
      <c r="A972" t="s">
        <v>1033</v>
      </c>
      <c r="B972" s="1">
        <v>45725</v>
      </c>
      <c r="C972" t="s">
        <v>48</v>
      </c>
      <c r="D972" t="s">
        <v>16</v>
      </c>
      <c r="E972" t="s">
        <v>49</v>
      </c>
      <c r="F972" t="s">
        <v>73</v>
      </c>
      <c r="G972">
        <v>2</v>
      </c>
      <c r="H972">
        <v>2243.27</v>
      </c>
      <c r="I972">
        <v>0.02</v>
      </c>
      <c r="J972">
        <v>4396.8100000000004</v>
      </c>
      <c r="K972" t="s">
        <v>46</v>
      </c>
      <c r="L972" t="s">
        <v>29</v>
      </c>
      <c r="M972" t="s">
        <v>54</v>
      </c>
      <c r="N972" t="s">
        <v>22</v>
      </c>
    </row>
    <row r="973" spans="1:14" x14ac:dyDescent="0.3">
      <c r="A973" t="s">
        <v>1034</v>
      </c>
      <c r="B973" s="1">
        <v>45807</v>
      </c>
      <c r="C973" t="s">
        <v>36</v>
      </c>
      <c r="D973" t="s">
        <v>43</v>
      </c>
      <c r="E973" t="s">
        <v>49</v>
      </c>
      <c r="F973" t="s">
        <v>53</v>
      </c>
      <c r="G973">
        <v>2</v>
      </c>
      <c r="H973">
        <v>556.95000000000005</v>
      </c>
      <c r="I973">
        <v>0.01</v>
      </c>
      <c r="J973">
        <v>1102.76</v>
      </c>
      <c r="K973" t="s">
        <v>19</v>
      </c>
      <c r="L973" t="s">
        <v>34</v>
      </c>
      <c r="M973" t="s">
        <v>54</v>
      </c>
      <c r="N973" t="s">
        <v>22</v>
      </c>
    </row>
    <row r="974" spans="1:14" x14ac:dyDescent="0.3">
      <c r="A974" t="s">
        <v>1035</v>
      </c>
      <c r="B974" s="1">
        <v>45830</v>
      </c>
      <c r="C974" t="s">
        <v>36</v>
      </c>
      <c r="D974" t="s">
        <v>43</v>
      </c>
      <c r="E974" t="s">
        <v>27</v>
      </c>
      <c r="F974" t="s">
        <v>79</v>
      </c>
      <c r="G974">
        <v>2</v>
      </c>
      <c r="H974">
        <v>4918.7299999999996</v>
      </c>
      <c r="I974">
        <v>0.16</v>
      </c>
      <c r="J974">
        <v>8263.4699999999993</v>
      </c>
      <c r="K974" t="s">
        <v>41</v>
      </c>
      <c r="L974" t="s">
        <v>20</v>
      </c>
      <c r="M974" t="s">
        <v>30</v>
      </c>
      <c r="N974" t="s">
        <v>22</v>
      </c>
    </row>
    <row r="975" spans="1:14" x14ac:dyDescent="0.3">
      <c r="A975" t="s">
        <v>1036</v>
      </c>
      <c r="B975" s="1">
        <v>45733</v>
      </c>
      <c r="C975" t="s">
        <v>52</v>
      </c>
      <c r="D975" t="s">
        <v>16</v>
      </c>
      <c r="E975" t="s">
        <v>61</v>
      </c>
      <c r="F975" t="s">
        <v>66</v>
      </c>
      <c r="G975">
        <v>4</v>
      </c>
      <c r="H975">
        <v>3874.92</v>
      </c>
      <c r="I975">
        <v>0.16</v>
      </c>
      <c r="J975">
        <v>13019.73</v>
      </c>
      <c r="K975" t="s">
        <v>33</v>
      </c>
      <c r="L975" t="s">
        <v>20</v>
      </c>
      <c r="M975" t="s">
        <v>30</v>
      </c>
      <c r="N975" t="s">
        <v>37</v>
      </c>
    </row>
    <row r="976" spans="1:14" x14ac:dyDescent="0.3">
      <c r="A976" t="s">
        <v>1037</v>
      </c>
      <c r="B976" s="1">
        <v>45714</v>
      </c>
      <c r="C976" t="s">
        <v>24</v>
      </c>
      <c r="D976" t="s">
        <v>16</v>
      </c>
      <c r="E976" t="s">
        <v>17</v>
      </c>
      <c r="F976" t="s">
        <v>18</v>
      </c>
      <c r="G976">
        <v>1</v>
      </c>
      <c r="H976">
        <v>624.67999999999995</v>
      </c>
      <c r="I976">
        <v>7.0000000000000007E-2</v>
      </c>
      <c r="J976">
        <v>580.95000000000005</v>
      </c>
      <c r="K976" t="s">
        <v>41</v>
      </c>
      <c r="L976" t="s">
        <v>29</v>
      </c>
      <c r="M976" t="s">
        <v>54</v>
      </c>
      <c r="N976" t="s">
        <v>22</v>
      </c>
    </row>
    <row r="977" spans="1:14" x14ac:dyDescent="0.3">
      <c r="A977" t="s">
        <v>1038</v>
      </c>
      <c r="B977" s="1">
        <v>45806</v>
      </c>
      <c r="C977" t="s">
        <v>48</v>
      </c>
      <c r="D977" t="s">
        <v>16</v>
      </c>
      <c r="E977" t="s">
        <v>99</v>
      </c>
      <c r="F977" t="s">
        <v>100</v>
      </c>
      <c r="G977">
        <v>1</v>
      </c>
      <c r="H977">
        <v>2127.35</v>
      </c>
      <c r="I977">
        <v>0.12</v>
      </c>
      <c r="J977">
        <v>1872.07</v>
      </c>
      <c r="K977" t="s">
        <v>58</v>
      </c>
      <c r="L977" t="s">
        <v>34</v>
      </c>
      <c r="M977" t="s">
        <v>21</v>
      </c>
      <c r="N977" t="s">
        <v>22</v>
      </c>
    </row>
    <row r="978" spans="1:14" x14ac:dyDescent="0.3">
      <c r="A978" t="s">
        <v>1039</v>
      </c>
      <c r="B978" s="1">
        <v>45821</v>
      </c>
      <c r="C978" t="s">
        <v>15</v>
      </c>
      <c r="D978" t="s">
        <v>16</v>
      </c>
      <c r="E978" t="s">
        <v>49</v>
      </c>
      <c r="F978" t="s">
        <v>50</v>
      </c>
      <c r="G978">
        <v>2</v>
      </c>
      <c r="H978">
        <v>1563.9</v>
      </c>
      <c r="I978">
        <v>0.23</v>
      </c>
      <c r="J978">
        <v>2408.41</v>
      </c>
      <c r="K978" t="s">
        <v>41</v>
      </c>
      <c r="L978" t="s">
        <v>20</v>
      </c>
      <c r="M978" t="s">
        <v>21</v>
      </c>
      <c r="N978" t="s">
        <v>22</v>
      </c>
    </row>
    <row r="979" spans="1:14" x14ac:dyDescent="0.3">
      <c r="A979" t="s">
        <v>1040</v>
      </c>
      <c r="B979" s="1">
        <v>45741</v>
      </c>
      <c r="C979" t="s">
        <v>48</v>
      </c>
      <c r="D979" t="s">
        <v>16</v>
      </c>
      <c r="E979" t="s">
        <v>99</v>
      </c>
      <c r="F979" t="s">
        <v>111</v>
      </c>
      <c r="G979">
        <v>5</v>
      </c>
      <c r="H979">
        <v>124.57</v>
      </c>
      <c r="I979">
        <v>0.13</v>
      </c>
      <c r="J979">
        <v>541.88</v>
      </c>
      <c r="K979" t="s">
        <v>33</v>
      </c>
      <c r="L979" t="s">
        <v>29</v>
      </c>
      <c r="M979" t="s">
        <v>30</v>
      </c>
      <c r="N979" t="s">
        <v>22</v>
      </c>
    </row>
    <row r="980" spans="1:14" x14ac:dyDescent="0.3">
      <c r="A980" t="s">
        <v>1041</v>
      </c>
      <c r="B980" s="1">
        <v>45708</v>
      </c>
      <c r="C980" t="s">
        <v>36</v>
      </c>
      <c r="D980" t="s">
        <v>16</v>
      </c>
      <c r="E980" t="s">
        <v>17</v>
      </c>
      <c r="F980" t="s">
        <v>18</v>
      </c>
      <c r="G980">
        <v>2</v>
      </c>
      <c r="H980">
        <v>4347.68</v>
      </c>
      <c r="I980">
        <v>0.03</v>
      </c>
      <c r="J980">
        <v>8434.5</v>
      </c>
      <c r="K980" t="s">
        <v>33</v>
      </c>
      <c r="L980" t="s">
        <v>20</v>
      </c>
      <c r="M980" t="s">
        <v>54</v>
      </c>
      <c r="N980" t="s">
        <v>22</v>
      </c>
    </row>
    <row r="981" spans="1:14" x14ac:dyDescent="0.3">
      <c r="A981" t="s">
        <v>1042</v>
      </c>
      <c r="B981" s="1">
        <v>45822</v>
      </c>
      <c r="C981" t="s">
        <v>52</v>
      </c>
      <c r="D981" t="s">
        <v>39</v>
      </c>
      <c r="E981" t="s">
        <v>61</v>
      </c>
      <c r="F981" t="s">
        <v>62</v>
      </c>
      <c r="G981">
        <v>4</v>
      </c>
      <c r="H981">
        <v>1076.26</v>
      </c>
      <c r="I981">
        <v>0.02</v>
      </c>
      <c r="J981">
        <v>4218.9399999999996</v>
      </c>
      <c r="K981" t="s">
        <v>46</v>
      </c>
      <c r="L981" t="s">
        <v>34</v>
      </c>
      <c r="M981" t="s">
        <v>21</v>
      </c>
      <c r="N981" t="s">
        <v>22</v>
      </c>
    </row>
    <row r="982" spans="1:14" x14ac:dyDescent="0.3">
      <c r="A982" t="s">
        <v>1043</v>
      </c>
      <c r="B982" s="1">
        <v>45675</v>
      </c>
      <c r="C982" t="s">
        <v>36</v>
      </c>
      <c r="D982" t="s">
        <v>39</v>
      </c>
      <c r="E982" t="s">
        <v>49</v>
      </c>
      <c r="F982" t="s">
        <v>50</v>
      </c>
      <c r="G982">
        <v>3</v>
      </c>
      <c r="H982">
        <v>947.5</v>
      </c>
      <c r="I982">
        <v>0.17</v>
      </c>
      <c r="J982">
        <v>2359.2800000000002</v>
      </c>
      <c r="K982" t="s">
        <v>41</v>
      </c>
      <c r="L982" t="s">
        <v>20</v>
      </c>
      <c r="M982" t="s">
        <v>21</v>
      </c>
      <c r="N982" t="s">
        <v>59</v>
      </c>
    </row>
    <row r="983" spans="1:14" x14ac:dyDescent="0.3">
      <c r="A983" t="s">
        <v>1044</v>
      </c>
      <c r="B983" s="1">
        <v>45751</v>
      </c>
      <c r="C983" t="s">
        <v>52</v>
      </c>
      <c r="D983" t="s">
        <v>39</v>
      </c>
      <c r="E983" t="s">
        <v>17</v>
      </c>
      <c r="F983" t="s">
        <v>32</v>
      </c>
      <c r="G983">
        <v>4</v>
      </c>
      <c r="H983">
        <v>2224.0100000000002</v>
      </c>
      <c r="I983">
        <v>0.11</v>
      </c>
      <c r="J983">
        <v>7917.48</v>
      </c>
      <c r="K983" t="s">
        <v>19</v>
      </c>
      <c r="L983" t="s">
        <v>29</v>
      </c>
      <c r="M983" t="s">
        <v>21</v>
      </c>
      <c r="N983" t="s">
        <v>88</v>
      </c>
    </row>
    <row r="984" spans="1:14" x14ac:dyDescent="0.3">
      <c r="A984" t="s">
        <v>1045</v>
      </c>
      <c r="B984" s="1">
        <v>45663</v>
      </c>
      <c r="C984" t="s">
        <v>36</v>
      </c>
      <c r="D984" t="s">
        <v>16</v>
      </c>
      <c r="E984" t="s">
        <v>27</v>
      </c>
      <c r="F984" t="s">
        <v>79</v>
      </c>
      <c r="G984">
        <v>2</v>
      </c>
      <c r="H984">
        <v>2879</v>
      </c>
      <c r="I984">
        <v>0.09</v>
      </c>
      <c r="J984">
        <v>5239.78</v>
      </c>
      <c r="K984" t="s">
        <v>41</v>
      </c>
      <c r="L984" t="s">
        <v>34</v>
      </c>
      <c r="M984" t="s">
        <v>21</v>
      </c>
      <c r="N984" t="s">
        <v>22</v>
      </c>
    </row>
    <row r="985" spans="1:14" x14ac:dyDescent="0.3">
      <c r="A985" t="s">
        <v>1046</v>
      </c>
      <c r="B985" s="1">
        <v>45805</v>
      </c>
      <c r="C985" t="s">
        <v>36</v>
      </c>
      <c r="D985" t="s">
        <v>39</v>
      </c>
      <c r="E985" t="s">
        <v>17</v>
      </c>
      <c r="F985" t="s">
        <v>32</v>
      </c>
      <c r="G985">
        <v>5</v>
      </c>
      <c r="H985">
        <v>4150.76</v>
      </c>
      <c r="I985">
        <v>0.16</v>
      </c>
      <c r="J985">
        <v>17433.189999999999</v>
      </c>
      <c r="K985" t="s">
        <v>41</v>
      </c>
      <c r="L985" t="s">
        <v>34</v>
      </c>
      <c r="M985" t="s">
        <v>21</v>
      </c>
      <c r="N985" t="s">
        <v>22</v>
      </c>
    </row>
    <row r="986" spans="1:14" x14ac:dyDescent="0.3">
      <c r="A986" t="s">
        <v>1047</v>
      </c>
      <c r="B986" s="1">
        <v>45764</v>
      </c>
      <c r="C986" t="s">
        <v>15</v>
      </c>
      <c r="D986" t="s">
        <v>39</v>
      </c>
      <c r="E986" t="s">
        <v>17</v>
      </c>
      <c r="F986" t="s">
        <v>44</v>
      </c>
      <c r="G986">
        <v>3</v>
      </c>
      <c r="H986">
        <v>1302.06</v>
      </c>
      <c r="I986">
        <v>0.05</v>
      </c>
      <c r="J986">
        <v>3710.87</v>
      </c>
      <c r="K986" t="s">
        <v>41</v>
      </c>
      <c r="L986" t="s">
        <v>20</v>
      </c>
      <c r="M986" t="s">
        <v>30</v>
      </c>
      <c r="N986" t="s">
        <v>22</v>
      </c>
    </row>
    <row r="987" spans="1:14" x14ac:dyDescent="0.3">
      <c r="A987" t="s">
        <v>1048</v>
      </c>
      <c r="B987" s="1">
        <v>45670</v>
      </c>
      <c r="C987" t="s">
        <v>24</v>
      </c>
      <c r="D987" t="s">
        <v>39</v>
      </c>
      <c r="E987" t="s">
        <v>99</v>
      </c>
      <c r="F987" t="s">
        <v>120</v>
      </c>
      <c r="G987">
        <v>1</v>
      </c>
      <c r="H987">
        <v>3612.33</v>
      </c>
      <c r="I987">
        <v>0.05</v>
      </c>
      <c r="J987">
        <v>3431.71</v>
      </c>
      <c r="K987" t="s">
        <v>46</v>
      </c>
      <c r="L987" t="s">
        <v>29</v>
      </c>
      <c r="M987" t="s">
        <v>21</v>
      </c>
      <c r="N987" t="s">
        <v>37</v>
      </c>
    </row>
    <row r="988" spans="1:14" x14ac:dyDescent="0.3">
      <c r="A988" t="s">
        <v>1049</v>
      </c>
      <c r="B988" s="1">
        <v>45727</v>
      </c>
      <c r="C988" t="s">
        <v>48</v>
      </c>
      <c r="D988" t="s">
        <v>16</v>
      </c>
      <c r="E988" t="s">
        <v>27</v>
      </c>
      <c r="F988" t="s">
        <v>79</v>
      </c>
      <c r="G988">
        <v>2</v>
      </c>
      <c r="H988">
        <v>2683.59</v>
      </c>
      <c r="I988">
        <v>0.03</v>
      </c>
      <c r="J988">
        <v>5206.16</v>
      </c>
      <c r="K988" t="s">
        <v>46</v>
      </c>
      <c r="L988" t="s">
        <v>29</v>
      </c>
      <c r="M988" t="s">
        <v>30</v>
      </c>
      <c r="N988" t="s">
        <v>22</v>
      </c>
    </row>
    <row r="989" spans="1:14" x14ac:dyDescent="0.3">
      <c r="A989" t="s">
        <v>1050</v>
      </c>
      <c r="B989" s="1">
        <v>45703</v>
      </c>
      <c r="C989" t="s">
        <v>15</v>
      </c>
      <c r="D989" t="s">
        <v>39</v>
      </c>
      <c r="E989" t="s">
        <v>49</v>
      </c>
      <c r="F989" t="s">
        <v>50</v>
      </c>
      <c r="G989">
        <v>2</v>
      </c>
      <c r="H989">
        <v>343.33</v>
      </c>
      <c r="I989">
        <v>0.12</v>
      </c>
      <c r="J989">
        <v>604.26</v>
      </c>
      <c r="K989" t="s">
        <v>46</v>
      </c>
      <c r="L989" t="s">
        <v>20</v>
      </c>
      <c r="M989" t="s">
        <v>54</v>
      </c>
      <c r="N989" t="s">
        <v>22</v>
      </c>
    </row>
    <row r="990" spans="1:14" x14ac:dyDescent="0.3">
      <c r="A990" t="s">
        <v>1051</v>
      </c>
      <c r="B990" s="1">
        <v>45786</v>
      </c>
      <c r="C990" t="s">
        <v>52</v>
      </c>
      <c r="D990" t="s">
        <v>16</v>
      </c>
      <c r="E990" t="s">
        <v>17</v>
      </c>
      <c r="F990" t="s">
        <v>40</v>
      </c>
      <c r="G990">
        <v>5</v>
      </c>
      <c r="H990">
        <v>1976</v>
      </c>
      <c r="I990">
        <v>0.14000000000000001</v>
      </c>
      <c r="J990">
        <v>8496.7999999999993</v>
      </c>
      <c r="K990" t="s">
        <v>33</v>
      </c>
      <c r="L990" t="s">
        <v>34</v>
      </c>
      <c r="M990" t="s">
        <v>30</v>
      </c>
      <c r="N990" t="s">
        <v>22</v>
      </c>
    </row>
    <row r="991" spans="1:14" x14ac:dyDescent="0.3">
      <c r="A991" t="s">
        <v>1052</v>
      </c>
      <c r="B991" s="1">
        <v>45673</v>
      </c>
      <c r="C991" t="s">
        <v>48</v>
      </c>
      <c r="D991" t="s">
        <v>16</v>
      </c>
      <c r="E991" t="s">
        <v>27</v>
      </c>
      <c r="F991" t="s">
        <v>79</v>
      </c>
      <c r="G991">
        <v>4</v>
      </c>
      <c r="H991">
        <v>281.33999999999997</v>
      </c>
      <c r="I991">
        <v>0.13</v>
      </c>
      <c r="J991">
        <v>979.06</v>
      </c>
      <c r="K991" t="s">
        <v>46</v>
      </c>
      <c r="L991" t="s">
        <v>20</v>
      </c>
      <c r="M991" t="s">
        <v>21</v>
      </c>
      <c r="N991" t="s">
        <v>22</v>
      </c>
    </row>
    <row r="992" spans="1:14" x14ac:dyDescent="0.3">
      <c r="A992" t="s">
        <v>1053</v>
      </c>
      <c r="B992" s="1">
        <v>45811</v>
      </c>
      <c r="C992" t="s">
        <v>48</v>
      </c>
      <c r="D992" t="s">
        <v>16</v>
      </c>
      <c r="E992" t="s">
        <v>17</v>
      </c>
      <c r="F992" t="s">
        <v>18</v>
      </c>
      <c r="G992">
        <v>3</v>
      </c>
      <c r="H992">
        <v>1445.9</v>
      </c>
      <c r="I992">
        <v>0.19</v>
      </c>
      <c r="J992">
        <v>3513.54</v>
      </c>
      <c r="K992" t="s">
        <v>58</v>
      </c>
      <c r="L992" t="s">
        <v>34</v>
      </c>
      <c r="M992" t="s">
        <v>30</v>
      </c>
      <c r="N992" t="s">
        <v>22</v>
      </c>
    </row>
    <row r="993" spans="1:14" x14ac:dyDescent="0.3">
      <c r="A993" t="s">
        <v>1054</v>
      </c>
      <c r="B993" s="1">
        <v>45786</v>
      </c>
      <c r="C993" t="s">
        <v>36</v>
      </c>
      <c r="D993" t="s">
        <v>16</v>
      </c>
      <c r="E993" t="s">
        <v>99</v>
      </c>
      <c r="F993" t="s">
        <v>115</v>
      </c>
      <c r="G993">
        <v>3</v>
      </c>
      <c r="H993">
        <v>3512.64</v>
      </c>
      <c r="I993">
        <v>0.11</v>
      </c>
      <c r="J993">
        <v>9378.75</v>
      </c>
      <c r="K993" t="s">
        <v>58</v>
      </c>
      <c r="L993" t="s">
        <v>34</v>
      </c>
      <c r="M993" t="s">
        <v>21</v>
      </c>
      <c r="N993" t="s">
        <v>88</v>
      </c>
    </row>
    <row r="994" spans="1:14" x14ac:dyDescent="0.3">
      <c r="A994" t="s">
        <v>1055</v>
      </c>
      <c r="B994" s="1">
        <v>45667</v>
      </c>
      <c r="C994" t="s">
        <v>24</v>
      </c>
      <c r="D994" t="s">
        <v>25</v>
      </c>
      <c r="E994" t="s">
        <v>27</v>
      </c>
      <c r="F994" t="s">
        <v>79</v>
      </c>
      <c r="G994">
        <v>1</v>
      </c>
      <c r="H994">
        <v>779.8</v>
      </c>
      <c r="I994">
        <v>0.25</v>
      </c>
      <c r="J994">
        <v>584.85</v>
      </c>
      <c r="K994" t="s">
        <v>19</v>
      </c>
      <c r="L994" t="s">
        <v>20</v>
      </c>
      <c r="M994" t="s">
        <v>21</v>
      </c>
      <c r="N994" t="s">
        <v>22</v>
      </c>
    </row>
    <row r="995" spans="1:14" x14ac:dyDescent="0.3">
      <c r="A995" t="s">
        <v>1056</v>
      </c>
      <c r="B995" s="1">
        <v>45806</v>
      </c>
      <c r="C995" t="s">
        <v>15</v>
      </c>
      <c r="D995" t="s">
        <v>16</v>
      </c>
      <c r="E995" t="s">
        <v>17</v>
      </c>
      <c r="F995" t="s">
        <v>44</v>
      </c>
      <c r="G995">
        <v>1</v>
      </c>
      <c r="H995">
        <v>1372.47</v>
      </c>
      <c r="I995">
        <v>0.2</v>
      </c>
      <c r="J995">
        <v>1097.98</v>
      </c>
      <c r="K995" t="s">
        <v>33</v>
      </c>
      <c r="L995" t="s">
        <v>20</v>
      </c>
      <c r="M995" t="s">
        <v>54</v>
      </c>
      <c r="N995" t="s">
        <v>37</v>
      </c>
    </row>
    <row r="996" spans="1:14" x14ac:dyDescent="0.3">
      <c r="A996" t="s">
        <v>1057</v>
      </c>
      <c r="B996" s="1">
        <v>45666</v>
      </c>
      <c r="C996" t="s">
        <v>15</v>
      </c>
      <c r="D996" t="s">
        <v>25</v>
      </c>
      <c r="E996" t="s">
        <v>17</v>
      </c>
      <c r="F996" t="s">
        <v>32</v>
      </c>
      <c r="G996">
        <v>3</v>
      </c>
      <c r="H996">
        <v>3523.46</v>
      </c>
      <c r="I996">
        <v>0.23</v>
      </c>
      <c r="J996">
        <v>8139.19</v>
      </c>
      <c r="K996" t="s">
        <v>33</v>
      </c>
      <c r="L996" t="s">
        <v>34</v>
      </c>
      <c r="M996" t="s">
        <v>21</v>
      </c>
      <c r="N996" t="s">
        <v>22</v>
      </c>
    </row>
    <row r="997" spans="1:14" x14ac:dyDescent="0.3">
      <c r="A997" t="s">
        <v>1058</v>
      </c>
      <c r="B997" s="1">
        <v>45708</v>
      </c>
      <c r="C997" t="s">
        <v>36</v>
      </c>
      <c r="D997" t="s">
        <v>25</v>
      </c>
      <c r="E997" t="s">
        <v>99</v>
      </c>
      <c r="F997" t="s">
        <v>100</v>
      </c>
      <c r="G997">
        <v>4</v>
      </c>
      <c r="H997">
        <v>3374.35</v>
      </c>
      <c r="I997">
        <v>0.13</v>
      </c>
      <c r="J997">
        <v>11742.74</v>
      </c>
      <c r="K997" t="s">
        <v>41</v>
      </c>
      <c r="L997" t="s">
        <v>29</v>
      </c>
      <c r="M997" t="s">
        <v>54</v>
      </c>
      <c r="N997" t="s">
        <v>22</v>
      </c>
    </row>
    <row r="998" spans="1:14" x14ac:dyDescent="0.3">
      <c r="A998" t="s">
        <v>1059</v>
      </c>
      <c r="B998" s="1">
        <v>45698</v>
      </c>
      <c r="C998" t="s">
        <v>48</v>
      </c>
      <c r="D998" t="s">
        <v>43</v>
      </c>
      <c r="E998" t="s">
        <v>99</v>
      </c>
      <c r="F998" t="s">
        <v>111</v>
      </c>
      <c r="G998">
        <v>3</v>
      </c>
      <c r="H998">
        <v>3854.39</v>
      </c>
      <c r="I998">
        <v>0.18</v>
      </c>
      <c r="J998">
        <v>9481.7999999999993</v>
      </c>
      <c r="K998" t="s">
        <v>19</v>
      </c>
      <c r="L998" t="s">
        <v>20</v>
      </c>
      <c r="M998" t="s">
        <v>30</v>
      </c>
      <c r="N998" t="s">
        <v>22</v>
      </c>
    </row>
    <row r="999" spans="1:14" x14ac:dyDescent="0.3">
      <c r="A999" t="s">
        <v>1060</v>
      </c>
      <c r="B999" s="1">
        <v>45822</v>
      </c>
      <c r="C999" t="s">
        <v>24</v>
      </c>
      <c r="D999" t="s">
        <v>43</v>
      </c>
      <c r="E999" t="s">
        <v>61</v>
      </c>
      <c r="F999" t="s">
        <v>62</v>
      </c>
      <c r="G999">
        <v>2</v>
      </c>
      <c r="H999">
        <v>164.33</v>
      </c>
      <c r="I999">
        <v>0.05</v>
      </c>
      <c r="J999">
        <v>312.23</v>
      </c>
      <c r="K999" t="s">
        <v>41</v>
      </c>
      <c r="L999" t="s">
        <v>20</v>
      </c>
      <c r="M999" t="s">
        <v>30</v>
      </c>
      <c r="N999" t="s">
        <v>22</v>
      </c>
    </row>
    <row r="1000" spans="1:14" x14ac:dyDescent="0.3">
      <c r="A1000" t="s">
        <v>1061</v>
      </c>
      <c r="B1000" s="1">
        <v>45663</v>
      </c>
      <c r="C1000" t="s">
        <v>36</v>
      </c>
      <c r="D1000" t="s">
        <v>43</v>
      </c>
      <c r="E1000" t="s">
        <v>99</v>
      </c>
      <c r="F1000" t="s">
        <v>100</v>
      </c>
      <c r="G1000">
        <v>3</v>
      </c>
      <c r="H1000">
        <v>3826.39</v>
      </c>
      <c r="I1000">
        <v>0.08</v>
      </c>
      <c r="J1000">
        <v>10560.84</v>
      </c>
      <c r="K1000" t="s">
        <v>33</v>
      </c>
      <c r="L1000" t="s">
        <v>29</v>
      </c>
      <c r="M1000" t="s">
        <v>30</v>
      </c>
      <c r="N1000" t="s">
        <v>88</v>
      </c>
    </row>
    <row r="1001" spans="1:14" x14ac:dyDescent="0.3">
      <c r="A1001" t="s">
        <v>1062</v>
      </c>
      <c r="B1001" s="1">
        <v>45780</v>
      </c>
      <c r="C1001" t="s">
        <v>52</v>
      </c>
      <c r="D1001" t="s">
        <v>43</v>
      </c>
      <c r="E1001" t="s">
        <v>17</v>
      </c>
      <c r="F1001" t="s">
        <v>44</v>
      </c>
      <c r="G1001">
        <v>4</v>
      </c>
      <c r="H1001">
        <v>4352.51</v>
      </c>
      <c r="I1001">
        <v>0.13</v>
      </c>
      <c r="J1001">
        <v>15146.73</v>
      </c>
      <c r="K1001" t="s">
        <v>46</v>
      </c>
      <c r="L1001" t="s">
        <v>34</v>
      </c>
      <c r="M1001" t="s">
        <v>30</v>
      </c>
      <c r="N1001" t="s">
        <v>22</v>
      </c>
    </row>
    <row r="1002" spans="1:14" x14ac:dyDescent="0.3">
      <c r="A1002" t="s">
        <v>1063</v>
      </c>
      <c r="B1002" s="1">
        <v>45689</v>
      </c>
      <c r="C1002" t="s">
        <v>15</v>
      </c>
      <c r="D1002" t="s">
        <v>16</v>
      </c>
      <c r="E1002" t="s">
        <v>49</v>
      </c>
      <c r="F1002" t="s">
        <v>73</v>
      </c>
      <c r="G1002">
        <v>1</v>
      </c>
      <c r="H1002">
        <v>821.72</v>
      </c>
      <c r="I1002">
        <v>0.22</v>
      </c>
      <c r="J1002">
        <v>640.94000000000005</v>
      </c>
      <c r="K1002" t="s">
        <v>33</v>
      </c>
      <c r="L1002" t="s">
        <v>29</v>
      </c>
      <c r="M1002" t="s">
        <v>21</v>
      </c>
      <c r="N1002" t="s">
        <v>22</v>
      </c>
    </row>
    <row r="1003" spans="1:14" x14ac:dyDescent="0.3">
      <c r="A1003" t="s">
        <v>1064</v>
      </c>
      <c r="B1003" s="1">
        <v>45706</v>
      </c>
      <c r="C1003" t="s">
        <v>15</v>
      </c>
      <c r="D1003" t="s">
        <v>16</v>
      </c>
      <c r="E1003" t="s">
        <v>49</v>
      </c>
      <c r="F1003" t="s">
        <v>73</v>
      </c>
      <c r="G1003">
        <v>5</v>
      </c>
      <c r="H1003">
        <v>2317.94</v>
      </c>
      <c r="I1003">
        <v>7.0000000000000007E-2</v>
      </c>
      <c r="J1003">
        <v>10778.42</v>
      </c>
      <c r="K1003" t="s">
        <v>58</v>
      </c>
      <c r="L1003" t="s">
        <v>34</v>
      </c>
      <c r="M1003" t="s">
        <v>21</v>
      </c>
      <c r="N1003" t="s">
        <v>22</v>
      </c>
    </row>
    <row r="1004" spans="1:14" x14ac:dyDescent="0.3">
      <c r="A1004" t="s">
        <v>1065</v>
      </c>
      <c r="B1004" s="1">
        <v>45684</v>
      </c>
      <c r="C1004" t="s">
        <v>48</v>
      </c>
      <c r="D1004" t="s">
        <v>16</v>
      </c>
      <c r="E1004" t="s">
        <v>61</v>
      </c>
      <c r="F1004" t="s">
        <v>75</v>
      </c>
      <c r="G1004">
        <v>5</v>
      </c>
      <c r="H1004">
        <v>1735.32</v>
      </c>
      <c r="I1004">
        <v>0.11</v>
      </c>
      <c r="J1004">
        <v>7722.17</v>
      </c>
      <c r="K1004" t="s">
        <v>33</v>
      </c>
      <c r="L1004" t="s">
        <v>34</v>
      </c>
      <c r="M1004" t="s">
        <v>30</v>
      </c>
      <c r="N1004" t="s">
        <v>22</v>
      </c>
    </row>
    <row r="1005" spans="1:14" x14ac:dyDescent="0.3">
      <c r="A1005" t="s">
        <v>1066</v>
      </c>
      <c r="B1005" s="1">
        <v>45751</v>
      </c>
      <c r="C1005" t="s">
        <v>52</v>
      </c>
      <c r="D1005" t="s">
        <v>25</v>
      </c>
      <c r="E1005" t="s">
        <v>49</v>
      </c>
      <c r="F1005" t="s">
        <v>50</v>
      </c>
      <c r="G1005">
        <v>4</v>
      </c>
      <c r="H1005">
        <v>965.56</v>
      </c>
      <c r="I1005">
        <v>7.0000000000000007E-2</v>
      </c>
      <c r="J1005">
        <v>3591.88</v>
      </c>
      <c r="K1005" t="s">
        <v>46</v>
      </c>
      <c r="L1005" t="s">
        <v>20</v>
      </c>
      <c r="M1005" t="s">
        <v>21</v>
      </c>
      <c r="N1005" t="s">
        <v>22</v>
      </c>
    </row>
    <row r="1006" spans="1:14" x14ac:dyDescent="0.3">
      <c r="A1006" t="s">
        <v>1067</v>
      </c>
      <c r="B1006" s="1">
        <v>45789</v>
      </c>
      <c r="C1006" t="s">
        <v>52</v>
      </c>
      <c r="D1006" t="s">
        <v>43</v>
      </c>
      <c r="E1006" t="s">
        <v>17</v>
      </c>
      <c r="F1006" t="s">
        <v>18</v>
      </c>
      <c r="G1006">
        <v>1</v>
      </c>
      <c r="H1006">
        <v>360.38</v>
      </c>
      <c r="I1006">
        <v>0.01</v>
      </c>
      <c r="J1006">
        <v>356.78</v>
      </c>
      <c r="K1006" t="s">
        <v>58</v>
      </c>
      <c r="L1006" t="s">
        <v>20</v>
      </c>
      <c r="M1006" t="s">
        <v>30</v>
      </c>
      <c r="N1006" t="s">
        <v>22</v>
      </c>
    </row>
    <row r="1007" spans="1:14" x14ac:dyDescent="0.3">
      <c r="A1007" t="s">
        <v>1068</v>
      </c>
      <c r="B1007" s="1">
        <v>45682</v>
      </c>
      <c r="C1007" t="s">
        <v>52</v>
      </c>
      <c r="D1007" t="s">
        <v>39</v>
      </c>
      <c r="E1007" t="s">
        <v>17</v>
      </c>
      <c r="F1007" t="s">
        <v>32</v>
      </c>
      <c r="G1007">
        <v>4</v>
      </c>
      <c r="H1007">
        <v>2020.35</v>
      </c>
      <c r="I1007">
        <v>0.03</v>
      </c>
      <c r="J1007">
        <v>7838.96</v>
      </c>
      <c r="K1007" t="s">
        <v>33</v>
      </c>
      <c r="L1007" t="s">
        <v>29</v>
      </c>
      <c r="M1007" t="s">
        <v>21</v>
      </c>
      <c r="N1007" t="s">
        <v>22</v>
      </c>
    </row>
    <row r="1008" spans="1:14" x14ac:dyDescent="0.3">
      <c r="A1008" t="s">
        <v>1069</v>
      </c>
      <c r="B1008" s="1">
        <v>45769</v>
      </c>
      <c r="C1008" t="s">
        <v>15</v>
      </c>
      <c r="D1008" t="s">
        <v>25</v>
      </c>
      <c r="E1008" t="s">
        <v>61</v>
      </c>
      <c r="F1008" t="s">
        <v>75</v>
      </c>
      <c r="G1008">
        <v>5</v>
      </c>
      <c r="H1008">
        <v>1511.1</v>
      </c>
      <c r="I1008">
        <v>0</v>
      </c>
      <c r="J1008">
        <v>7555.5</v>
      </c>
      <c r="K1008" t="s">
        <v>46</v>
      </c>
      <c r="L1008" t="s">
        <v>29</v>
      </c>
      <c r="M1008" t="s">
        <v>54</v>
      </c>
      <c r="N1008" t="s">
        <v>22</v>
      </c>
    </row>
    <row r="1009" spans="1:14" x14ac:dyDescent="0.3">
      <c r="A1009" t="s">
        <v>1070</v>
      </c>
      <c r="B1009" s="1">
        <v>45702</v>
      </c>
      <c r="C1009" t="s">
        <v>15</v>
      </c>
      <c r="D1009" t="s">
        <v>25</v>
      </c>
      <c r="E1009" t="s">
        <v>61</v>
      </c>
      <c r="F1009" t="s">
        <v>75</v>
      </c>
      <c r="G1009">
        <v>2</v>
      </c>
      <c r="H1009">
        <v>1727.56</v>
      </c>
      <c r="I1009">
        <v>0.11</v>
      </c>
      <c r="J1009">
        <v>3075.06</v>
      </c>
      <c r="K1009" t="s">
        <v>58</v>
      </c>
      <c r="L1009" t="s">
        <v>20</v>
      </c>
      <c r="M1009" t="s">
        <v>54</v>
      </c>
      <c r="N1009" t="s">
        <v>22</v>
      </c>
    </row>
    <row r="1010" spans="1:14" x14ac:dyDescent="0.3">
      <c r="A1010" t="s">
        <v>1071</v>
      </c>
      <c r="B1010" s="1">
        <v>45750</v>
      </c>
      <c r="C1010" t="s">
        <v>15</v>
      </c>
      <c r="D1010" t="s">
        <v>16</v>
      </c>
      <c r="E1010" t="s">
        <v>17</v>
      </c>
      <c r="F1010" t="s">
        <v>44</v>
      </c>
      <c r="G1010">
        <v>1</v>
      </c>
      <c r="H1010">
        <v>3010.63</v>
      </c>
      <c r="I1010">
        <v>0.24</v>
      </c>
      <c r="J1010">
        <v>2288.08</v>
      </c>
      <c r="K1010" t="s">
        <v>58</v>
      </c>
      <c r="L1010" t="s">
        <v>20</v>
      </c>
      <c r="M1010" t="s">
        <v>21</v>
      </c>
      <c r="N1010" t="s">
        <v>22</v>
      </c>
    </row>
    <row r="1011" spans="1:14" x14ac:dyDescent="0.3">
      <c r="A1011" t="s">
        <v>1072</v>
      </c>
      <c r="B1011" s="1">
        <v>45795</v>
      </c>
      <c r="C1011" t="s">
        <v>24</v>
      </c>
      <c r="D1011" t="s">
        <v>43</v>
      </c>
      <c r="E1011" t="s">
        <v>61</v>
      </c>
      <c r="F1011" t="s">
        <v>92</v>
      </c>
      <c r="G1011">
        <v>5</v>
      </c>
      <c r="H1011">
        <v>3432.23</v>
      </c>
      <c r="I1011">
        <v>7.0000000000000007E-2</v>
      </c>
      <c r="J1011">
        <v>15959.87</v>
      </c>
      <c r="K1011" t="s">
        <v>58</v>
      </c>
      <c r="L1011" t="s">
        <v>20</v>
      </c>
      <c r="M1011" t="s">
        <v>54</v>
      </c>
      <c r="N1011" t="s">
        <v>88</v>
      </c>
    </row>
    <row r="1012" spans="1:14" x14ac:dyDescent="0.3">
      <c r="A1012" t="s">
        <v>1073</v>
      </c>
      <c r="B1012" s="1">
        <v>45709</v>
      </c>
      <c r="C1012" t="s">
        <v>15</v>
      </c>
      <c r="D1012" t="s">
        <v>25</v>
      </c>
      <c r="E1012" t="s">
        <v>17</v>
      </c>
      <c r="F1012" t="s">
        <v>18</v>
      </c>
      <c r="G1012">
        <v>4</v>
      </c>
      <c r="H1012">
        <v>3700.59</v>
      </c>
      <c r="I1012">
        <v>0.25</v>
      </c>
      <c r="J1012">
        <v>11101.77</v>
      </c>
      <c r="K1012" t="s">
        <v>46</v>
      </c>
      <c r="L1012" t="s">
        <v>34</v>
      </c>
      <c r="M1012" t="s">
        <v>30</v>
      </c>
      <c r="N1012" t="s">
        <v>22</v>
      </c>
    </row>
    <row r="1013" spans="1:14" x14ac:dyDescent="0.3">
      <c r="A1013" t="s">
        <v>1074</v>
      </c>
      <c r="B1013" s="1">
        <v>45808</v>
      </c>
      <c r="C1013" t="s">
        <v>15</v>
      </c>
      <c r="D1013" t="s">
        <v>25</v>
      </c>
      <c r="E1013" t="s">
        <v>49</v>
      </c>
      <c r="F1013" t="s">
        <v>56</v>
      </c>
      <c r="G1013">
        <v>3</v>
      </c>
      <c r="H1013">
        <v>4467.72</v>
      </c>
      <c r="I1013">
        <v>0.19</v>
      </c>
      <c r="J1013">
        <v>10856.56</v>
      </c>
      <c r="K1013" t="s">
        <v>46</v>
      </c>
      <c r="L1013" t="s">
        <v>29</v>
      </c>
      <c r="M1013" t="s">
        <v>21</v>
      </c>
      <c r="N1013" t="s">
        <v>22</v>
      </c>
    </row>
    <row r="1014" spans="1:14" x14ac:dyDescent="0.3">
      <c r="A1014" t="s">
        <v>1075</v>
      </c>
      <c r="B1014" s="1">
        <v>45731</v>
      </c>
      <c r="C1014" t="s">
        <v>52</v>
      </c>
      <c r="D1014" t="s">
        <v>25</v>
      </c>
      <c r="E1014" t="s">
        <v>27</v>
      </c>
      <c r="F1014" t="s">
        <v>79</v>
      </c>
      <c r="G1014">
        <v>2</v>
      </c>
      <c r="H1014">
        <v>1850.25</v>
      </c>
      <c r="I1014">
        <v>0.01</v>
      </c>
      <c r="J1014">
        <v>3663.49</v>
      </c>
      <c r="K1014" t="s">
        <v>41</v>
      </c>
      <c r="L1014" t="s">
        <v>20</v>
      </c>
      <c r="M1014" t="s">
        <v>21</v>
      </c>
      <c r="N1014" t="s">
        <v>22</v>
      </c>
    </row>
    <row r="1015" spans="1:14" x14ac:dyDescent="0.3">
      <c r="A1015" t="s">
        <v>1076</v>
      </c>
      <c r="B1015" s="1">
        <v>45692</v>
      </c>
      <c r="C1015" t="s">
        <v>48</v>
      </c>
      <c r="D1015" t="s">
        <v>43</v>
      </c>
      <c r="E1015" t="s">
        <v>17</v>
      </c>
      <c r="F1015" t="s">
        <v>44</v>
      </c>
      <c r="G1015">
        <v>5</v>
      </c>
      <c r="H1015">
        <v>4506.18</v>
      </c>
      <c r="I1015">
        <v>0.11</v>
      </c>
      <c r="J1015">
        <v>20052.5</v>
      </c>
      <c r="K1015" t="s">
        <v>58</v>
      </c>
      <c r="L1015" t="s">
        <v>34</v>
      </c>
      <c r="M1015" t="s">
        <v>21</v>
      </c>
      <c r="N1015" t="s">
        <v>22</v>
      </c>
    </row>
    <row r="1016" spans="1:14" x14ac:dyDescent="0.3">
      <c r="A1016" t="s">
        <v>1077</v>
      </c>
      <c r="B1016" s="1">
        <v>45777</v>
      </c>
      <c r="C1016" t="s">
        <v>48</v>
      </c>
      <c r="D1016" t="s">
        <v>39</v>
      </c>
      <c r="E1016" t="s">
        <v>99</v>
      </c>
      <c r="F1016" t="s">
        <v>111</v>
      </c>
      <c r="G1016">
        <v>3</v>
      </c>
      <c r="H1016">
        <v>1615.68</v>
      </c>
      <c r="I1016">
        <v>0.01</v>
      </c>
      <c r="J1016">
        <v>4798.57</v>
      </c>
      <c r="K1016" t="s">
        <v>33</v>
      </c>
      <c r="L1016" t="s">
        <v>34</v>
      </c>
      <c r="M1016" t="s">
        <v>21</v>
      </c>
      <c r="N1016" t="s">
        <v>88</v>
      </c>
    </row>
    <row r="1017" spans="1:14" x14ac:dyDescent="0.3">
      <c r="A1017" t="s">
        <v>1078</v>
      </c>
      <c r="B1017" s="1">
        <v>45777</v>
      </c>
      <c r="C1017" t="s">
        <v>48</v>
      </c>
      <c r="D1017" t="s">
        <v>43</v>
      </c>
      <c r="E1017" t="s">
        <v>17</v>
      </c>
      <c r="F1017" t="s">
        <v>40</v>
      </c>
      <c r="G1017">
        <v>3</v>
      </c>
      <c r="H1017">
        <v>639.92999999999995</v>
      </c>
      <c r="I1017">
        <v>0</v>
      </c>
      <c r="J1017">
        <v>1919.79</v>
      </c>
      <c r="K1017" t="s">
        <v>33</v>
      </c>
      <c r="L1017" t="s">
        <v>34</v>
      </c>
      <c r="M1017" t="s">
        <v>21</v>
      </c>
      <c r="N1017" t="s">
        <v>22</v>
      </c>
    </row>
    <row r="1018" spans="1:14" x14ac:dyDescent="0.3">
      <c r="A1018" t="s">
        <v>1079</v>
      </c>
      <c r="B1018" s="1">
        <v>45805</v>
      </c>
      <c r="C1018" t="s">
        <v>36</v>
      </c>
      <c r="D1018" t="s">
        <v>16</v>
      </c>
      <c r="E1018" t="s">
        <v>61</v>
      </c>
      <c r="F1018" t="s">
        <v>66</v>
      </c>
      <c r="G1018">
        <v>2</v>
      </c>
      <c r="H1018">
        <v>1587.86</v>
      </c>
      <c r="I1018">
        <v>7.0000000000000007E-2</v>
      </c>
      <c r="J1018">
        <v>2953.42</v>
      </c>
      <c r="K1018" t="s">
        <v>33</v>
      </c>
      <c r="L1018" t="s">
        <v>29</v>
      </c>
      <c r="M1018" t="s">
        <v>30</v>
      </c>
      <c r="N1018" t="s">
        <v>22</v>
      </c>
    </row>
    <row r="1019" spans="1:14" x14ac:dyDescent="0.3">
      <c r="A1019" t="s">
        <v>1080</v>
      </c>
      <c r="B1019" s="1">
        <v>45799</v>
      </c>
      <c r="C1019" t="s">
        <v>36</v>
      </c>
      <c r="D1019" t="s">
        <v>16</v>
      </c>
      <c r="E1019" t="s">
        <v>61</v>
      </c>
      <c r="F1019" t="s">
        <v>66</v>
      </c>
      <c r="G1019">
        <v>4</v>
      </c>
      <c r="H1019">
        <v>1598.53</v>
      </c>
      <c r="I1019">
        <v>0.11</v>
      </c>
      <c r="J1019">
        <v>5690.77</v>
      </c>
      <c r="K1019" t="s">
        <v>58</v>
      </c>
      <c r="L1019" t="s">
        <v>20</v>
      </c>
      <c r="M1019" t="s">
        <v>21</v>
      </c>
      <c r="N1019" t="s">
        <v>22</v>
      </c>
    </row>
    <row r="1020" spans="1:14" x14ac:dyDescent="0.3">
      <c r="A1020" t="s">
        <v>1081</v>
      </c>
      <c r="B1020" s="1">
        <v>45682</v>
      </c>
      <c r="C1020" t="s">
        <v>15</v>
      </c>
      <c r="D1020" t="s">
        <v>43</v>
      </c>
      <c r="E1020" t="s">
        <v>61</v>
      </c>
      <c r="F1020" t="s">
        <v>66</v>
      </c>
      <c r="G1020">
        <v>5</v>
      </c>
      <c r="H1020">
        <v>859.68</v>
      </c>
      <c r="I1020">
        <v>0.02</v>
      </c>
      <c r="J1020">
        <v>4212.43</v>
      </c>
      <c r="K1020" t="s">
        <v>33</v>
      </c>
      <c r="L1020" t="s">
        <v>29</v>
      </c>
      <c r="M1020" t="s">
        <v>30</v>
      </c>
      <c r="N1020" t="s">
        <v>59</v>
      </c>
    </row>
    <row r="1021" spans="1:14" x14ac:dyDescent="0.3">
      <c r="A1021" t="s">
        <v>1082</v>
      </c>
      <c r="B1021" s="1">
        <v>45811</v>
      </c>
      <c r="C1021" t="s">
        <v>36</v>
      </c>
      <c r="D1021" t="s">
        <v>25</v>
      </c>
      <c r="E1021" t="s">
        <v>61</v>
      </c>
      <c r="F1021" t="s">
        <v>92</v>
      </c>
      <c r="G1021">
        <v>2</v>
      </c>
      <c r="H1021">
        <v>257.47000000000003</v>
      </c>
      <c r="I1021">
        <v>0.23</v>
      </c>
      <c r="J1021">
        <v>396.5</v>
      </c>
      <c r="K1021" t="s">
        <v>58</v>
      </c>
      <c r="L1021" t="s">
        <v>34</v>
      </c>
      <c r="M1021" t="s">
        <v>54</v>
      </c>
      <c r="N1021" t="s">
        <v>22</v>
      </c>
    </row>
    <row r="1022" spans="1:14" x14ac:dyDescent="0.3">
      <c r="A1022" t="s">
        <v>1083</v>
      </c>
      <c r="B1022" s="1">
        <v>45819</v>
      </c>
      <c r="C1022" t="s">
        <v>15</v>
      </c>
      <c r="D1022" t="s">
        <v>43</v>
      </c>
      <c r="E1022" t="s">
        <v>17</v>
      </c>
      <c r="F1022" t="s">
        <v>32</v>
      </c>
      <c r="G1022">
        <v>2</v>
      </c>
      <c r="H1022">
        <v>2863.15</v>
      </c>
      <c r="I1022">
        <v>0.17</v>
      </c>
      <c r="J1022">
        <v>4752.83</v>
      </c>
      <c r="K1022" t="s">
        <v>33</v>
      </c>
      <c r="L1022" t="s">
        <v>34</v>
      </c>
      <c r="M1022" t="s">
        <v>30</v>
      </c>
      <c r="N1022" t="s">
        <v>22</v>
      </c>
    </row>
    <row r="1023" spans="1:14" x14ac:dyDescent="0.3">
      <c r="A1023" t="s">
        <v>1084</v>
      </c>
      <c r="B1023" s="1">
        <v>45691</v>
      </c>
      <c r="C1023" t="s">
        <v>52</v>
      </c>
      <c r="D1023" t="s">
        <v>25</v>
      </c>
      <c r="E1023" t="s">
        <v>61</v>
      </c>
      <c r="F1023" t="s">
        <v>66</v>
      </c>
      <c r="G1023">
        <v>2</v>
      </c>
      <c r="H1023">
        <v>1575.21</v>
      </c>
      <c r="I1023">
        <v>0.02</v>
      </c>
      <c r="J1023">
        <v>3087.41</v>
      </c>
      <c r="K1023" t="s">
        <v>41</v>
      </c>
      <c r="L1023" t="s">
        <v>29</v>
      </c>
      <c r="M1023" t="s">
        <v>21</v>
      </c>
      <c r="N1023" t="s">
        <v>22</v>
      </c>
    </row>
    <row r="1024" spans="1:14" x14ac:dyDescent="0.3">
      <c r="A1024" t="s">
        <v>1085</v>
      </c>
      <c r="B1024" s="1">
        <v>45720</v>
      </c>
      <c r="C1024" t="s">
        <v>24</v>
      </c>
      <c r="D1024" t="s">
        <v>39</v>
      </c>
      <c r="E1024" t="s">
        <v>49</v>
      </c>
      <c r="F1024" t="s">
        <v>50</v>
      </c>
      <c r="G1024">
        <v>4</v>
      </c>
      <c r="H1024">
        <v>3501.25</v>
      </c>
      <c r="I1024">
        <v>0.13</v>
      </c>
      <c r="J1024">
        <v>12184.35</v>
      </c>
      <c r="K1024" t="s">
        <v>19</v>
      </c>
      <c r="L1024" t="s">
        <v>29</v>
      </c>
      <c r="M1024" t="s">
        <v>21</v>
      </c>
      <c r="N1024" t="s">
        <v>22</v>
      </c>
    </row>
    <row r="1025" spans="1:14" x14ac:dyDescent="0.3">
      <c r="A1025" t="s">
        <v>1086</v>
      </c>
      <c r="B1025" s="1">
        <v>45680</v>
      </c>
      <c r="C1025" t="s">
        <v>48</v>
      </c>
      <c r="D1025" t="s">
        <v>16</v>
      </c>
      <c r="E1025" t="s">
        <v>49</v>
      </c>
      <c r="F1025" t="s">
        <v>50</v>
      </c>
      <c r="G1025">
        <v>1</v>
      </c>
      <c r="H1025">
        <v>4571.54</v>
      </c>
      <c r="I1025">
        <v>0.01</v>
      </c>
      <c r="J1025">
        <v>4525.82</v>
      </c>
      <c r="K1025" t="s">
        <v>41</v>
      </c>
      <c r="L1025" t="s">
        <v>34</v>
      </c>
      <c r="M1025" t="s">
        <v>30</v>
      </c>
      <c r="N1025" t="s">
        <v>88</v>
      </c>
    </row>
    <row r="1026" spans="1:14" x14ac:dyDescent="0.3">
      <c r="A1026" t="s">
        <v>1087</v>
      </c>
      <c r="B1026" s="1">
        <v>45772</v>
      </c>
      <c r="C1026" t="s">
        <v>52</v>
      </c>
      <c r="D1026" t="s">
        <v>39</v>
      </c>
      <c r="E1026" t="s">
        <v>27</v>
      </c>
      <c r="F1026" t="s">
        <v>28</v>
      </c>
      <c r="G1026">
        <v>3</v>
      </c>
      <c r="H1026">
        <v>723.65</v>
      </c>
      <c r="I1026">
        <v>0.14000000000000001</v>
      </c>
      <c r="J1026">
        <v>1867.02</v>
      </c>
      <c r="K1026" t="s">
        <v>33</v>
      </c>
      <c r="L1026" t="s">
        <v>29</v>
      </c>
      <c r="M1026" t="s">
        <v>21</v>
      </c>
      <c r="N1026" t="s">
        <v>22</v>
      </c>
    </row>
    <row r="1027" spans="1:14" x14ac:dyDescent="0.3">
      <c r="A1027" t="s">
        <v>1088</v>
      </c>
      <c r="B1027" s="1">
        <v>45664</v>
      </c>
      <c r="C1027" t="s">
        <v>48</v>
      </c>
      <c r="D1027" t="s">
        <v>39</v>
      </c>
      <c r="E1027" t="s">
        <v>49</v>
      </c>
      <c r="F1027" t="s">
        <v>73</v>
      </c>
      <c r="G1027">
        <v>5</v>
      </c>
      <c r="H1027">
        <v>2355.08</v>
      </c>
      <c r="I1027">
        <v>0.01</v>
      </c>
      <c r="J1027">
        <v>11657.65</v>
      </c>
      <c r="K1027" t="s">
        <v>58</v>
      </c>
      <c r="L1027" t="s">
        <v>34</v>
      </c>
      <c r="M1027" t="s">
        <v>54</v>
      </c>
      <c r="N1027" t="s">
        <v>88</v>
      </c>
    </row>
    <row r="1028" spans="1:14" x14ac:dyDescent="0.3">
      <c r="A1028" t="s">
        <v>1089</v>
      </c>
      <c r="B1028" s="1">
        <v>45840</v>
      </c>
      <c r="C1028" t="s">
        <v>36</v>
      </c>
      <c r="D1028" t="s">
        <v>16</v>
      </c>
      <c r="E1028" t="s">
        <v>17</v>
      </c>
      <c r="F1028" t="s">
        <v>32</v>
      </c>
      <c r="G1028">
        <v>5</v>
      </c>
      <c r="H1028">
        <v>2459.19</v>
      </c>
      <c r="I1028">
        <v>0.08</v>
      </c>
      <c r="J1028">
        <v>11312.27</v>
      </c>
      <c r="K1028" t="s">
        <v>58</v>
      </c>
      <c r="L1028" t="s">
        <v>34</v>
      </c>
      <c r="M1028" t="s">
        <v>54</v>
      </c>
      <c r="N1028" t="s">
        <v>22</v>
      </c>
    </row>
    <row r="1029" spans="1:14" x14ac:dyDescent="0.3">
      <c r="A1029" t="s">
        <v>1090</v>
      </c>
      <c r="B1029" s="1">
        <v>45720</v>
      </c>
      <c r="C1029" t="s">
        <v>52</v>
      </c>
      <c r="D1029" t="s">
        <v>43</v>
      </c>
      <c r="E1029" t="s">
        <v>27</v>
      </c>
      <c r="F1029" t="s">
        <v>79</v>
      </c>
      <c r="G1029">
        <v>5</v>
      </c>
      <c r="H1029">
        <v>3728.08</v>
      </c>
      <c r="I1029">
        <v>0.12</v>
      </c>
      <c r="J1029">
        <v>16403.55</v>
      </c>
      <c r="K1029" t="s">
        <v>33</v>
      </c>
      <c r="L1029" t="s">
        <v>20</v>
      </c>
      <c r="M1029" t="s">
        <v>54</v>
      </c>
      <c r="N1029" t="s">
        <v>22</v>
      </c>
    </row>
    <row r="1030" spans="1:14" x14ac:dyDescent="0.3">
      <c r="A1030" t="s">
        <v>1091</v>
      </c>
      <c r="B1030" s="1">
        <v>45771</v>
      </c>
      <c r="C1030" t="s">
        <v>48</v>
      </c>
      <c r="D1030" t="s">
        <v>16</v>
      </c>
      <c r="E1030" t="s">
        <v>99</v>
      </c>
      <c r="F1030" t="s">
        <v>120</v>
      </c>
      <c r="G1030">
        <v>2</v>
      </c>
      <c r="H1030">
        <v>662.07</v>
      </c>
      <c r="I1030">
        <v>0</v>
      </c>
      <c r="J1030">
        <v>1324.14</v>
      </c>
      <c r="K1030" t="s">
        <v>33</v>
      </c>
      <c r="L1030" t="s">
        <v>29</v>
      </c>
      <c r="M1030" t="s">
        <v>21</v>
      </c>
      <c r="N1030" t="s">
        <v>22</v>
      </c>
    </row>
    <row r="1031" spans="1:14" x14ac:dyDescent="0.3">
      <c r="A1031" t="s">
        <v>1092</v>
      </c>
      <c r="B1031" s="1">
        <v>45791</v>
      </c>
      <c r="C1031" t="s">
        <v>24</v>
      </c>
      <c r="D1031" t="s">
        <v>39</v>
      </c>
      <c r="E1031" t="s">
        <v>61</v>
      </c>
      <c r="F1031" t="s">
        <v>75</v>
      </c>
      <c r="G1031">
        <v>5</v>
      </c>
      <c r="H1031">
        <v>2274.6999999999998</v>
      </c>
      <c r="I1031">
        <v>0.01</v>
      </c>
      <c r="J1031">
        <v>11259.76</v>
      </c>
      <c r="K1031" t="s">
        <v>41</v>
      </c>
      <c r="L1031" t="s">
        <v>20</v>
      </c>
      <c r="M1031" t="s">
        <v>54</v>
      </c>
      <c r="N1031" t="s">
        <v>22</v>
      </c>
    </row>
    <row r="1032" spans="1:14" x14ac:dyDescent="0.3">
      <c r="A1032" t="s">
        <v>1093</v>
      </c>
      <c r="B1032" s="1">
        <v>45836</v>
      </c>
      <c r="C1032" t="s">
        <v>36</v>
      </c>
      <c r="D1032" t="s">
        <v>43</v>
      </c>
      <c r="E1032" t="s">
        <v>61</v>
      </c>
      <c r="F1032" t="s">
        <v>75</v>
      </c>
      <c r="G1032">
        <v>4</v>
      </c>
      <c r="H1032">
        <v>4310.6400000000003</v>
      </c>
      <c r="I1032">
        <v>0.15</v>
      </c>
      <c r="J1032">
        <v>14656.18</v>
      </c>
      <c r="K1032" t="s">
        <v>46</v>
      </c>
      <c r="L1032" t="s">
        <v>29</v>
      </c>
      <c r="M1032" t="s">
        <v>30</v>
      </c>
      <c r="N1032" t="s">
        <v>22</v>
      </c>
    </row>
    <row r="1033" spans="1:14" x14ac:dyDescent="0.3">
      <c r="A1033" t="s">
        <v>1094</v>
      </c>
      <c r="B1033" s="1">
        <v>45732</v>
      </c>
      <c r="C1033" t="s">
        <v>52</v>
      </c>
      <c r="D1033" t="s">
        <v>16</v>
      </c>
      <c r="E1033" t="s">
        <v>61</v>
      </c>
      <c r="F1033" t="s">
        <v>75</v>
      </c>
      <c r="G1033">
        <v>5</v>
      </c>
      <c r="H1033">
        <v>1081.72</v>
      </c>
      <c r="I1033">
        <v>0.12</v>
      </c>
      <c r="J1033">
        <v>4759.57</v>
      </c>
      <c r="K1033" t="s">
        <v>19</v>
      </c>
      <c r="L1033" t="s">
        <v>29</v>
      </c>
      <c r="M1033" t="s">
        <v>30</v>
      </c>
      <c r="N1033" t="s">
        <v>59</v>
      </c>
    </row>
    <row r="1034" spans="1:14" x14ac:dyDescent="0.3">
      <c r="A1034" t="s">
        <v>1095</v>
      </c>
      <c r="B1034" s="1">
        <v>45737</v>
      </c>
      <c r="C1034" t="s">
        <v>15</v>
      </c>
      <c r="D1034" t="s">
        <v>16</v>
      </c>
      <c r="E1034" t="s">
        <v>49</v>
      </c>
      <c r="F1034" t="s">
        <v>53</v>
      </c>
      <c r="G1034">
        <v>1</v>
      </c>
      <c r="H1034">
        <v>2373.42</v>
      </c>
      <c r="I1034">
        <v>0.2</v>
      </c>
      <c r="J1034">
        <v>1898.74</v>
      </c>
      <c r="K1034" t="s">
        <v>41</v>
      </c>
      <c r="L1034" t="s">
        <v>34</v>
      </c>
      <c r="M1034" t="s">
        <v>54</v>
      </c>
      <c r="N1034" t="s">
        <v>22</v>
      </c>
    </row>
    <row r="1035" spans="1:14" x14ac:dyDescent="0.3">
      <c r="A1035" t="s">
        <v>1096</v>
      </c>
      <c r="B1035" s="1">
        <v>45842</v>
      </c>
      <c r="C1035" t="s">
        <v>24</v>
      </c>
      <c r="D1035" t="s">
        <v>25</v>
      </c>
      <c r="E1035" t="s">
        <v>17</v>
      </c>
      <c r="F1035" t="s">
        <v>40</v>
      </c>
      <c r="G1035">
        <v>1</v>
      </c>
      <c r="H1035">
        <v>3261.03</v>
      </c>
      <c r="I1035">
        <v>0.22</v>
      </c>
      <c r="J1035">
        <v>2543.6</v>
      </c>
      <c r="K1035" t="s">
        <v>33</v>
      </c>
      <c r="L1035" t="s">
        <v>34</v>
      </c>
      <c r="M1035" t="s">
        <v>21</v>
      </c>
      <c r="N1035" t="s">
        <v>22</v>
      </c>
    </row>
    <row r="1036" spans="1:14" x14ac:dyDescent="0.3">
      <c r="A1036" t="s">
        <v>1097</v>
      </c>
      <c r="B1036" s="1">
        <v>45798</v>
      </c>
      <c r="C1036" t="s">
        <v>48</v>
      </c>
      <c r="D1036" t="s">
        <v>43</v>
      </c>
      <c r="E1036" t="s">
        <v>99</v>
      </c>
      <c r="F1036" t="s">
        <v>100</v>
      </c>
      <c r="G1036">
        <v>1</v>
      </c>
      <c r="H1036">
        <v>4910.59</v>
      </c>
      <c r="I1036">
        <v>0.09</v>
      </c>
      <c r="J1036">
        <v>4468.6400000000003</v>
      </c>
      <c r="K1036" t="s">
        <v>41</v>
      </c>
      <c r="L1036" t="s">
        <v>34</v>
      </c>
      <c r="M1036" t="s">
        <v>21</v>
      </c>
      <c r="N1036" t="s">
        <v>22</v>
      </c>
    </row>
    <row r="1037" spans="1:14" x14ac:dyDescent="0.3">
      <c r="A1037" t="s">
        <v>1098</v>
      </c>
      <c r="B1037" s="1">
        <v>45698</v>
      </c>
      <c r="C1037" t="s">
        <v>36</v>
      </c>
      <c r="D1037" t="s">
        <v>25</v>
      </c>
      <c r="E1037" t="s">
        <v>27</v>
      </c>
      <c r="F1037" t="s">
        <v>87</v>
      </c>
      <c r="G1037">
        <v>2</v>
      </c>
      <c r="H1037">
        <v>1824.15</v>
      </c>
      <c r="I1037">
        <v>0.18</v>
      </c>
      <c r="J1037">
        <v>2991.61</v>
      </c>
      <c r="K1037" t="s">
        <v>58</v>
      </c>
      <c r="L1037" t="s">
        <v>20</v>
      </c>
      <c r="M1037" t="s">
        <v>30</v>
      </c>
      <c r="N1037" t="s">
        <v>22</v>
      </c>
    </row>
    <row r="1038" spans="1:14" x14ac:dyDescent="0.3">
      <c r="A1038" t="s">
        <v>1099</v>
      </c>
      <c r="B1038" s="1">
        <v>45674</v>
      </c>
      <c r="C1038" t="s">
        <v>15</v>
      </c>
      <c r="D1038" t="s">
        <v>43</v>
      </c>
      <c r="E1038" t="s">
        <v>61</v>
      </c>
      <c r="F1038" t="s">
        <v>66</v>
      </c>
      <c r="G1038">
        <v>4</v>
      </c>
      <c r="H1038">
        <v>1944.96</v>
      </c>
      <c r="I1038">
        <v>0.12</v>
      </c>
      <c r="J1038">
        <v>6846.26</v>
      </c>
      <c r="K1038" t="s">
        <v>41</v>
      </c>
      <c r="L1038" t="s">
        <v>20</v>
      </c>
      <c r="M1038" t="s">
        <v>21</v>
      </c>
      <c r="N1038" t="s">
        <v>22</v>
      </c>
    </row>
    <row r="1039" spans="1:14" x14ac:dyDescent="0.3">
      <c r="A1039" t="s">
        <v>1100</v>
      </c>
      <c r="B1039" s="1">
        <v>45774</v>
      </c>
      <c r="C1039" t="s">
        <v>52</v>
      </c>
      <c r="D1039" t="s">
        <v>16</v>
      </c>
      <c r="E1039" t="s">
        <v>27</v>
      </c>
      <c r="F1039" t="s">
        <v>28</v>
      </c>
      <c r="G1039">
        <v>5</v>
      </c>
      <c r="H1039">
        <v>1805.67</v>
      </c>
      <c r="I1039">
        <v>0.15</v>
      </c>
      <c r="J1039">
        <v>7674.1</v>
      </c>
      <c r="K1039" t="s">
        <v>46</v>
      </c>
      <c r="L1039" t="s">
        <v>29</v>
      </c>
      <c r="M1039" t="s">
        <v>30</v>
      </c>
      <c r="N1039" t="s">
        <v>22</v>
      </c>
    </row>
    <row r="1040" spans="1:14" x14ac:dyDescent="0.3">
      <c r="A1040" t="s">
        <v>1101</v>
      </c>
      <c r="B1040" s="1">
        <v>45794</v>
      </c>
      <c r="C1040" t="s">
        <v>24</v>
      </c>
      <c r="D1040" t="s">
        <v>43</v>
      </c>
      <c r="E1040" t="s">
        <v>61</v>
      </c>
      <c r="F1040" t="s">
        <v>75</v>
      </c>
      <c r="G1040">
        <v>4</v>
      </c>
      <c r="H1040">
        <v>1685.93</v>
      </c>
      <c r="I1040">
        <v>0.06</v>
      </c>
      <c r="J1040">
        <v>6339.1</v>
      </c>
      <c r="K1040" t="s">
        <v>58</v>
      </c>
      <c r="L1040" t="s">
        <v>34</v>
      </c>
      <c r="M1040" t="s">
        <v>21</v>
      </c>
      <c r="N1040" t="s">
        <v>22</v>
      </c>
    </row>
    <row r="1041" spans="1:14" x14ac:dyDescent="0.3">
      <c r="A1041" t="s">
        <v>1102</v>
      </c>
      <c r="B1041" s="1">
        <v>45821</v>
      </c>
      <c r="C1041" t="s">
        <v>48</v>
      </c>
      <c r="D1041" t="s">
        <v>16</v>
      </c>
      <c r="E1041" t="s">
        <v>61</v>
      </c>
      <c r="F1041" t="s">
        <v>92</v>
      </c>
      <c r="G1041">
        <v>5</v>
      </c>
      <c r="H1041">
        <v>1327.37</v>
      </c>
      <c r="I1041">
        <v>0.01</v>
      </c>
      <c r="J1041">
        <v>6570.48</v>
      </c>
      <c r="K1041" t="s">
        <v>58</v>
      </c>
      <c r="L1041" t="s">
        <v>20</v>
      </c>
      <c r="M1041" t="s">
        <v>21</v>
      </c>
      <c r="N1041" t="s">
        <v>22</v>
      </c>
    </row>
    <row r="1042" spans="1:14" x14ac:dyDescent="0.3">
      <c r="A1042" t="s">
        <v>1103</v>
      </c>
      <c r="B1042" s="1">
        <v>45781</v>
      </c>
      <c r="C1042" t="s">
        <v>52</v>
      </c>
      <c r="D1042" t="s">
        <v>43</v>
      </c>
      <c r="E1042" t="s">
        <v>99</v>
      </c>
      <c r="F1042" t="s">
        <v>120</v>
      </c>
      <c r="G1042">
        <v>4</v>
      </c>
      <c r="H1042">
        <v>1950.38</v>
      </c>
      <c r="I1042">
        <v>0.25</v>
      </c>
      <c r="J1042">
        <v>5851.14</v>
      </c>
      <c r="K1042" t="s">
        <v>46</v>
      </c>
      <c r="L1042" t="s">
        <v>20</v>
      </c>
      <c r="M1042" t="s">
        <v>21</v>
      </c>
      <c r="N1042" t="s">
        <v>22</v>
      </c>
    </row>
    <row r="1043" spans="1:14" x14ac:dyDescent="0.3">
      <c r="A1043" t="s">
        <v>1104</v>
      </c>
      <c r="B1043" s="1">
        <v>45707</v>
      </c>
      <c r="C1043" t="s">
        <v>15</v>
      </c>
      <c r="D1043" t="s">
        <v>16</v>
      </c>
      <c r="E1043" t="s">
        <v>49</v>
      </c>
      <c r="F1043" t="s">
        <v>50</v>
      </c>
      <c r="G1043">
        <v>2</v>
      </c>
      <c r="H1043">
        <v>2226.91</v>
      </c>
      <c r="I1043">
        <v>0.13</v>
      </c>
      <c r="J1043">
        <v>3874.82</v>
      </c>
      <c r="K1043" t="s">
        <v>19</v>
      </c>
      <c r="L1043" t="s">
        <v>20</v>
      </c>
      <c r="M1043" t="s">
        <v>54</v>
      </c>
      <c r="N1043" t="s">
        <v>22</v>
      </c>
    </row>
    <row r="1044" spans="1:14" x14ac:dyDescent="0.3">
      <c r="A1044" t="s">
        <v>1105</v>
      </c>
      <c r="B1044" s="1">
        <v>45679</v>
      </c>
      <c r="C1044" t="s">
        <v>24</v>
      </c>
      <c r="D1044" t="s">
        <v>39</v>
      </c>
      <c r="E1044" t="s">
        <v>17</v>
      </c>
      <c r="F1044" t="s">
        <v>44</v>
      </c>
      <c r="G1044">
        <v>3</v>
      </c>
      <c r="H1044">
        <v>3894.49</v>
      </c>
      <c r="I1044">
        <v>0.14000000000000001</v>
      </c>
      <c r="J1044">
        <v>10047.780000000001</v>
      </c>
      <c r="K1044" t="s">
        <v>19</v>
      </c>
      <c r="L1044" t="s">
        <v>20</v>
      </c>
      <c r="M1044" t="s">
        <v>54</v>
      </c>
      <c r="N1044" t="s">
        <v>22</v>
      </c>
    </row>
    <row r="1045" spans="1:14" x14ac:dyDescent="0.3">
      <c r="A1045" t="s">
        <v>1106</v>
      </c>
      <c r="B1045" s="1">
        <v>45795</v>
      </c>
      <c r="C1045" t="s">
        <v>52</v>
      </c>
      <c r="D1045" t="s">
        <v>43</v>
      </c>
      <c r="E1045" t="s">
        <v>27</v>
      </c>
      <c r="F1045" t="s">
        <v>87</v>
      </c>
      <c r="G1045">
        <v>4</v>
      </c>
      <c r="H1045">
        <v>2554.17</v>
      </c>
      <c r="I1045">
        <v>0.09</v>
      </c>
      <c r="J1045">
        <v>9297.18</v>
      </c>
      <c r="K1045" t="s">
        <v>19</v>
      </c>
      <c r="L1045" t="s">
        <v>29</v>
      </c>
      <c r="M1045" t="s">
        <v>21</v>
      </c>
      <c r="N1045" t="s">
        <v>88</v>
      </c>
    </row>
    <row r="1046" spans="1:14" x14ac:dyDescent="0.3">
      <c r="A1046" t="s">
        <v>1107</v>
      </c>
      <c r="B1046" s="1">
        <v>45810</v>
      </c>
      <c r="C1046" t="s">
        <v>48</v>
      </c>
      <c r="D1046" t="s">
        <v>16</v>
      </c>
      <c r="E1046" t="s">
        <v>49</v>
      </c>
      <c r="F1046" t="s">
        <v>50</v>
      </c>
      <c r="G1046">
        <v>1</v>
      </c>
      <c r="H1046">
        <v>723.24</v>
      </c>
      <c r="I1046">
        <v>0.13</v>
      </c>
      <c r="J1046">
        <v>629.22</v>
      </c>
      <c r="K1046" t="s">
        <v>58</v>
      </c>
      <c r="L1046" t="s">
        <v>29</v>
      </c>
      <c r="M1046" t="s">
        <v>54</v>
      </c>
      <c r="N1046" t="s">
        <v>22</v>
      </c>
    </row>
    <row r="1047" spans="1:14" x14ac:dyDescent="0.3">
      <c r="A1047" t="s">
        <v>1108</v>
      </c>
      <c r="B1047" s="1">
        <v>45718</v>
      </c>
      <c r="C1047" t="s">
        <v>24</v>
      </c>
      <c r="D1047" t="s">
        <v>39</v>
      </c>
      <c r="E1047" t="s">
        <v>17</v>
      </c>
      <c r="F1047" t="s">
        <v>32</v>
      </c>
      <c r="G1047">
        <v>3</v>
      </c>
      <c r="H1047">
        <v>2013.09</v>
      </c>
      <c r="I1047">
        <v>0.09</v>
      </c>
      <c r="J1047">
        <v>5495.74</v>
      </c>
      <c r="K1047" t="s">
        <v>19</v>
      </c>
      <c r="L1047" t="s">
        <v>34</v>
      </c>
      <c r="M1047" t="s">
        <v>54</v>
      </c>
      <c r="N1047" t="s">
        <v>22</v>
      </c>
    </row>
    <row r="1048" spans="1:14" x14ac:dyDescent="0.3">
      <c r="A1048" t="s">
        <v>1109</v>
      </c>
      <c r="B1048" s="1">
        <v>45825</v>
      </c>
      <c r="C1048" t="s">
        <v>36</v>
      </c>
      <c r="D1048" t="s">
        <v>16</v>
      </c>
      <c r="E1048" t="s">
        <v>27</v>
      </c>
      <c r="F1048" t="s">
        <v>68</v>
      </c>
      <c r="G1048">
        <v>3</v>
      </c>
      <c r="H1048">
        <v>2056.1799999999998</v>
      </c>
      <c r="I1048">
        <v>0.01</v>
      </c>
      <c r="J1048">
        <v>6106.85</v>
      </c>
      <c r="K1048" t="s">
        <v>33</v>
      </c>
      <c r="L1048" t="s">
        <v>29</v>
      </c>
      <c r="M1048" t="s">
        <v>21</v>
      </c>
      <c r="N1048" t="s">
        <v>22</v>
      </c>
    </row>
    <row r="1049" spans="1:14" x14ac:dyDescent="0.3">
      <c r="A1049" t="s">
        <v>1110</v>
      </c>
      <c r="B1049" s="1">
        <v>45792</v>
      </c>
      <c r="C1049" t="s">
        <v>24</v>
      </c>
      <c r="D1049" t="s">
        <v>43</v>
      </c>
      <c r="E1049" t="s">
        <v>99</v>
      </c>
      <c r="F1049" t="s">
        <v>120</v>
      </c>
      <c r="G1049">
        <v>3</v>
      </c>
      <c r="H1049">
        <v>1082.51</v>
      </c>
      <c r="I1049">
        <v>0.22</v>
      </c>
      <c r="J1049">
        <v>2533.0700000000002</v>
      </c>
      <c r="K1049" t="s">
        <v>46</v>
      </c>
      <c r="L1049" t="s">
        <v>34</v>
      </c>
      <c r="M1049" t="s">
        <v>54</v>
      </c>
      <c r="N1049" t="s">
        <v>22</v>
      </c>
    </row>
    <row r="1050" spans="1:14" x14ac:dyDescent="0.3">
      <c r="A1050" t="s">
        <v>1111</v>
      </c>
      <c r="B1050" s="1">
        <v>45776</v>
      </c>
      <c r="C1050" t="s">
        <v>52</v>
      </c>
      <c r="D1050" t="s">
        <v>39</v>
      </c>
      <c r="E1050" t="s">
        <v>99</v>
      </c>
      <c r="F1050" t="s">
        <v>120</v>
      </c>
      <c r="G1050">
        <v>5</v>
      </c>
      <c r="H1050">
        <v>4531.1899999999996</v>
      </c>
      <c r="I1050">
        <v>0.18</v>
      </c>
      <c r="J1050">
        <v>18577.88</v>
      </c>
      <c r="K1050" t="s">
        <v>41</v>
      </c>
      <c r="L1050" t="s">
        <v>20</v>
      </c>
      <c r="M1050" t="s">
        <v>54</v>
      </c>
      <c r="N1050" t="s">
        <v>59</v>
      </c>
    </row>
    <row r="1051" spans="1:14" x14ac:dyDescent="0.3">
      <c r="A1051" t="s">
        <v>1112</v>
      </c>
      <c r="B1051" s="1">
        <v>45816</v>
      </c>
      <c r="C1051" t="s">
        <v>36</v>
      </c>
      <c r="D1051" t="s">
        <v>43</v>
      </c>
      <c r="E1051" t="s">
        <v>49</v>
      </c>
      <c r="F1051" t="s">
        <v>56</v>
      </c>
      <c r="G1051">
        <v>3</v>
      </c>
      <c r="H1051">
        <v>3644.32</v>
      </c>
      <c r="I1051">
        <v>0.03</v>
      </c>
      <c r="J1051">
        <v>10604.97</v>
      </c>
      <c r="K1051" t="s">
        <v>41</v>
      </c>
      <c r="L1051" t="s">
        <v>20</v>
      </c>
      <c r="M1051" t="s">
        <v>30</v>
      </c>
      <c r="N1051" t="s">
        <v>22</v>
      </c>
    </row>
    <row r="1052" spans="1:14" x14ac:dyDescent="0.3">
      <c r="A1052" t="s">
        <v>1113</v>
      </c>
      <c r="B1052" s="1">
        <v>45683</v>
      </c>
      <c r="C1052" t="s">
        <v>15</v>
      </c>
      <c r="D1052" t="s">
        <v>25</v>
      </c>
      <c r="E1052" t="s">
        <v>49</v>
      </c>
      <c r="F1052" t="s">
        <v>50</v>
      </c>
      <c r="G1052">
        <v>1</v>
      </c>
      <c r="H1052">
        <v>229.13</v>
      </c>
      <c r="I1052">
        <v>0.2</v>
      </c>
      <c r="J1052">
        <v>183.3</v>
      </c>
      <c r="K1052" t="s">
        <v>19</v>
      </c>
      <c r="L1052" t="s">
        <v>20</v>
      </c>
      <c r="M1052" t="s">
        <v>54</v>
      </c>
      <c r="N1052" t="s">
        <v>22</v>
      </c>
    </row>
    <row r="1053" spans="1:14" x14ac:dyDescent="0.3">
      <c r="A1053" t="s">
        <v>1114</v>
      </c>
      <c r="B1053" s="1">
        <v>45814</v>
      </c>
      <c r="C1053" t="s">
        <v>24</v>
      </c>
      <c r="D1053" t="s">
        <v>16</v>
      </c>
      <c r="E1053" t="s">
        <v>17</v>
      </c>
      <c r="F1053" t="s">
        <v>40</v>
      </c>
      <c r="G1053">
        <v>2</v>
      </c>
      <c r="H1053">
        <v>2205.62</v>
      </c>
      <c r="I1053">
        <v>0.11</v>
      </c>
      <c r="J1053">
        <v>3926</v>
      </c>
      <c r="K1053" t="s">
        <v>41</v>
      </c>
      <c r="L1053" t="s">
        <v>34</v>
      </c>
      <c r="M1053" t="s">
        <v>54</v>
      </c>
      <c r="N1053" t="s">
        <v>22</v>
      </c>
    </row>
    <row r="1054" spans="1:14" x14ac:dyDescent="0.3">
      <c r="A1054" t="s">
        <v>1115</v>
      </c>
      <c r="B1054" s="1">
        <v>45769</v>
      </c>
      <c r="C1054" t="s">
        <v>15</v>
      </c>
      <c r="D1054" t="s">
        <v>16</v>
      </c>
      <c r="E1054" t="s">
        <v>27</v>
      </c>
      <c r="F1054" t="s">
        <v>28</v>
      </c>
      <c r="G1054">
        <v>4</v>
      </c>
      <c r="H1054">
        <v>4598.54</v>
      </c>
      <c r="I1054">
        <v>0.06</v>
      </c>
      <c r="J1054">
        <v>17290.509999999998</v>
      </c>
      <c r="K1054" t="s">
        <v>19</v>
      </c>
      <c r="L1054" t="s">
        <v>34</v>
      </c>
      <c r="M1054" t="s">
        <v>54</v>
      </c>
      <c r="N1054" t="s">
        <v>22</v>
      </c>
    </row>
    <row r="1055" spans="1:14" x14ac:dyDescent="0.3">
      <c r="A1055" t="s">
        <v>1116</v>
      </c>
      <c r="B1055" s="1">
        <v>45811</v>
      </c>
      <c r="C1055" t="s">
        <v>24</v>
      </c>
      <c r="D1055" t="s">
        <v>16</v>
      </c>
      <c r="E1055" t="s">
        <v>27</v>
      </c>
      <c r="F1055" t="s">
        <v>79</v>
      </c>
      <c r="G1055">
        <v>1</v>
      </c>
      <c r="H1055">
        <v>377.61</v>
      </c>
      <c r="I1055">
        <v>0.11</v>
      </c>
      <c r="J1055">
        <v>336.07</v>
      </c>
      <c r="K1055" t="s">
        <v>19</v>
      </c>
      <c r="L1055" t="s">
        <v>20</v>
      </c>
      <c r="M1055" t="s">
        <v>30</v>
      </c>
      <c r="N1055" t="s">
        <v>22</v>
      </c>
    </row>
    <row r="1056" spans="1:14" x14ac:dyDescent="0.3">
      <c r="A1056" t="s">
        <v>1117</v>
      </c>
      <c r="B1056" s="1">
        <v>45667</v>
      </c>
      <c r="C1056" t="s">
        <v>15</v>
      </c>
      <c r="D1056" t="s">
        <v>16</v>
      </c>
      <c r="E1056" t="s">
        <v>27</v>
      </c>
      <c r="F1056" t="s">
        <v>68</v>
      </c>
      <c r="G1056">
        <v>4</v>
      </c>
      <c r="H1056">
        <v>2445.64</v>
      </c>
      <c r="I1056">
        <v>0.03</v>
      </c>
      <c r="J1056">
        <v>9489.08</v>
      </c>
      <c r="K1056" t="s">
        <v>19</v>
      </c>
      <c r="L1056" t="s">
        <v>29</v>
      </c>
      <c r="M1056" t="s">
        <v>54</v>
      </c>
      <c r="N1056" t="s">
        <v>22</v>
      </c>
    </row>
    <row r="1057" spans="1:14" x14ac:dyDescent="0.3">
      <c r="A1057" t="s">
        <v>1118</v>
      </c>
      <c r="B1057" s="1">
        <v>45727</v>
      </c>
      <c r="C1057" t="s">
        <v>48</v>
      </c>
      <c r="D1057" t="s">
        <v>39</v>
      </c>
      <c r="E1057" t="s">
        <v>27</v>
      </c>
      <c r="F1057" t="s">
        <v>68</v>
      </c>
      <c r="G1057">
        <v>4</v>
      </c>
      <c r="H1057">
        <v>3594.36</v>
      </c>
      <c r="I1057">
        <v>0.24</v>
      </c>
      <c r="J1057">
        <v>10926.85</v>
      </c>
      <c r="K1057" t="s">
        <v>46</v>
      </c>
      <c r="L1057" t="s">
        <v>20</v>
      </c>
      <c r="M1057" t="s">
        <v>21</v>
      </c>
      <c r="N1057" t="s">
        <v>37</v>
      </c>
    </row>
    <row r="1058" spans="1:14" x14ac:dyDescent="0.3">
      <c r="A1058" t="s">
        <v>1119</v>
      </c>
      <c r="B1058" s="1">
        <v>45763</v>
      </c>
      <c r="C1058" t="s">
        <v>15</v>
      </c>
      <c r="D1058" t="s">
        <v>25</v>
      </c>
      <c r="E1058" t="s">
        <v>61</v>
      </c>
      <c r="F1058" t="s">
        <v>66</v>
      </c>
      <c r="G1058">
        <v>1</v>
      </c>
      <c r="H1058">
        <v>364.59</v>
      </c>
      <c r="I1058">
        <v>0.23</v>
      </c>
      <c r="J1058">
        <v>280.73</v>
      </c>
      <c r="K1058" t="s">
        <v>33</v>
      </c>
      <c r="L1058" t="s">
        <v>29</v>
      </c>
      <c r="M1058" t="s">
        <v>21</v>
      </c>
      <c r="N1058" t="s">
        <v>22</v>
      </c>
    </row>
    <row r="1059" spans="1:14" x14ac:dyDescent="0.3">
      <c r="A1059" t="s">
        <v>1120</v>
      </c>
      <c r="B1059" s="1">
        <v>45743</v>
      </c>
      <c r="C1059" t="s">
        <v>36</v>
      </c>
      <c r="D1059" t="s">
        <v>16</v>
      </c>
      <c r="E1059" t="s">
        <v>61</v>
      </c>
      <c r="F1059" t="s">
        <v>75</v>
      </c>
      <c r="G1059">
        <v>5</v>
      </c>
      <c r="H1059">
        <v>1132.77</v>
      </c>
      <c r="I1059">
        <v>0.09</v>
      </c>
      <c r="J1059">
        <v>5154.1000000000004</v>
      </c>
      <c r="K1059" t="s">
        <v>19</v>
      </c>
      <c r="L1059" t="s">
        <v>34</v>
      </c>
      <c r="M1059" t="s">
        <v>54</v>
      </c>
      <c r="N1059" t="s">
        <v>59</v>
      </c>
    </row>
    <row r="1060" spans="1:14" x14ac:dyDescent="0.3">
      <c r="A1060" t="s">
        <v>1121</v>
      </c>
      <c r="B1060" s="1">
        <v>45788</v>
      </c>
      <c r="C1060" t="s">
        <v>24</v>
      </c>
      <c r="D1060" t="s">
        <v>16</v>
      </c>
      <c r="E1060" t="s">
        <v>49</v>
      </c>
      <c r="F1060" t="s">
        <v>50</v>
      </c>
      <c r="G1060">
        <v>1</v>
      </c>
      <c r="H1060">
        <v>1424.46</v>
      </c>
      <c r="I1060">
        <v>0.15</v>
      </c>
      <c r="J1060">
        <v>1210.79</v>
      </c>
      <c r="K1060" t="s">
        <v>58</v>
      </c>
      <c r="L1060" t="s">
        <v>34</v>
      </c>
      <c r="M1060" t="s">
        <v>30</v>
      </c>
      <c r="N1060" t="s">
        <v>22</v>
      </c>
    </row>
    <row r="1061" spans="1:14" x14ac:dyDescent="0.3">
      <c r="A1061" t="s">
        <v>1122</v>
      </c>
      <c r="B1061" s="1">
        <v>45731</v>
      </c>
      <c r="C1061" t="s">
        <v>48</v>
      </c>
      <c r="D1061" t="s">
        <v>43</v>
      </c>
      <c r="E1061" t="s">
        <v>27</v>
      </c>
      <c r="F1061" t="s">
        <v>87</v>
      </c>
      <c r="G1061">
        <v>4</v>
      </c>
      <c r="H1061">
        <v>2275.6999999999998</v>
      </c>
      <c r="I1061">
        <v>0.06</v>
      </c>
      <c r="J1061">
        <v>8556.6299999999992</v>
      </c>
      <c r="K1061" t="s">
        <v>58</v>
      </c>
      <c r="L1061" t="s">
        <v>34</v>
      </c>
      <c r="M1061" t="s">
        <v>30</v>
      </c>
      <c r="N1061" t="s">
        <v>22</v>
      </c>
    </row>
    <row r="1062" spans="1:14" x14ac:dyDescent="0.3">
      <c r="A1062" t="s">
        <v>1123</v>
      </c>
      <c r="B1062" s="1">
        <v>45673</v>
      </c>
      <c r="C1062" t="s">
        <v>15</v>
      </c>
      <c r="D1062" t="s">
        <v>39</v>
      </c>
      <c r="E1062" t="s">
        <v>27</v>
      </c>
      <c r="F1062" t="s">
        <v>79</v>
      </c>
      <c r="G1062">
        <v>3</v>
      </c>
      <c r="H1062">
        <v>4692.3999999999996</v>
      </c>
      <c r="I1062">
        <v>0.23</v>
      </c>
      <c r="J1062">
        <v>10839.44</v>
      </c>
      <c r="K1062" t="s">
        <v>58</v>
      </c>
      <c r="L1062" t="s">
        <v>29</v>
      </c>
      <c r="M1062" t="s">
        <v>30</v>
      </c>
      <c r="N1062" t="s">
        <v>88</v>
      </c>
    </row>
    <row r="1063" spans="1:14" x14ac:dyDescent="0.3">
      <c r="A1063" t="s">
        <v>1124</v>
      </c>
      <c r="B1063" s="1">
        <v>45758</v>
      </c>
      <c r="C1063" t="s">
        <v>24</v>
      </c>
      <c r="D1063" t="s">
        <v>16</v>
      </c>
      <c r="E1063" t="s">
        <v>27</v>
      </c>
      <c r="F1063" t="s">
        <v>68</v>
      </c>
      <c r="G1063">
        <v>5</v>
      </c>
      <c r="H1063">
        <v>2226.9699999999998</v>
      </c>
      <c r="I1063">
        <v>0.11</v>
      </c>
      <c r="J1063">
        <v>9910.02</v>
      </c>
      <c r="K1063" t="s">
        <v>46</v>
      </c>
      <c r="L1063" t="s">
        <v>29</v>
      </c>
      <c r="M1063" t="s">
        <v>21</v>
      </c>
      <c r="N1063" t="s">
        <v>88</v>
      </c>
    </row>
    <row r="1064" spans="1:14" x14ac:dyDescent="0.3">
      <c r="A1064" t="s">
        <v>1125</v>
      </c>
      <c r="B1064" s="1">
        <v>45785</v>
      </c>
      <c r="C1064" t="s">
        <v>15</v>
      </c>
      <c r="D1064" t="s">
        <v>39</v>
      </c>
      <c r="E1064" t="s">
        <v>27</v>
      </c>
      <c r="F1064" t="s">
        <v>87</v>
      </c>
      <c r="G1064">
        <v>4</v>
      </c>
      <c r="H1064">
        <v>2905.75</v>
      </c>
      <c r="I1064">
        <v>0.14000000000000001</v>
      </c>
      <c r="J1064">
        <v>9995.7800000000007</v>
      </c>
      <c r="K1064" t="s">
        <v>33</v>
      </c>
      <c r="L1064" t="s">
        <v>34</v>
      </c>
      <c r="M1064" t="s">
        <v>21</v>
      </c>
      <c r="N1064" t="s">
        <v>22</v>
      </c>
    </row>
    <row r="1065" spans="1:14" x14ac:dyDescent="0.3">
      <c r="A1065" t="s">
        <v>1126</v>
      </c>
      <c r="B1065" s="1">
        <v>45726</v>
      </c>
      <c r="C1065" t="s">
        <v>52</v>
      </c>
      <c r="D1065" t="s">
        <v>43</v>
      </c>
      <c r="E1065" t="s">
        <v>49</v>
      </c>
      <c r="F1065" t="s">
        <v>50</v>
      </c>
      <c r="G1065">
        <v>3</v>
      </c>
      <c r="H1065">
        <v>4017.99</v>
      </c>
      <c r="I1065">
        <v>0.24</v>
      </c>
      <c r="J1065">
        <v>9161.02</v>
      </c>
      <c r="K1065" t="s">
        <v>19</v>
      </c>
      <c r="L1065" t="s">
        <v>20</v>
      </c>
      <c r="M1065" t="s">
        <v>54</v>
      </c>
      <c r="N1065" t="s">
        <v>88</v>
      </c>
    </row>
    <row r="1066" spans="1:14" x14ac:dyDescent="0.3">
      <c r="A1066" t="s">
        <v>1127</v>
      </c>
      <c r="B1066" s="1">
        <v>45662</v>
      </c>
      <c r="C1066" t="s">
        <v>36</v>
      </c>
      <c r="D1066" t="s">
        <v>16</v>
      </c>
      <c r="E1066" t="s">
        <v>99</v>
      </c>
      <c r="F1066" t="s">
        <v>111</v>
      </c>
      <c r="G1066">
        <v>5</v>
      </c>
      <c r="H1066">
        <v>1443.92</v>
      </c>
      <c r="I1066">
        <v>7.0000000000000007E-2</v>
      </c>
      <c r="J1066">
        <v>6714.23</v>
      </c>
      <c r="K1066" t="s">
        <v>41</v>
      </c>
      <c r="L1066" t="s">
        <v>20</v>
      </c>
      <c r="M1066" t="s">
        <v>30</v>
      </c>
      <c r="N1066" t="s">
        <v>22</v>
      </c>
    </row>
    <row r="1067" spans="1:14" x14ac:dyDescent="0.3">
      <c r="A1067" t="s">
        <v>1128</v>
      </c>
      <c r="B1067" s="1">
        <v>45824</v>
      </c>
      <c r="C1067" t="s">
        <v>15</v>
      </c>
      <c r="D1067" t="s">
        <v>39</v>
      </c>
      <c r="E1067" t="s">
        <v>27</v>
      </c>
      <c r="F1067" t="s">
        <v>28</v>
      </c>
      <c r="G1067">
        <v>4</v>
      </c>
      <c r="H1067">
        <v>184.61</v>
      </c>
      <c r="I1067">
        <v>0</v>
      </c>
      <c r="J1067">
        <v>738.44</v>
      </c>
      <c r="K1067" t="s">
        <v>19</v>
      </c>
      <c r="L1067" t="s">
        <v>34</v>
      </c>
      <c r="M1067" t="s">
        <v>54</v>
      </c>
      <c r="N1067" t="s">
        <v>22</v>
      </c>
    </row>
    <row r="1068" spans="1:14" x14ac:dyDescent="0.3">
      <c r="A1068" t="s">
        <v>1129</v>
      </c>
      <c r="B1068" s="1">
        <v>45741</v>
      </c>
      <c r="C1068" t="s">
        <v>48</v>
      </c>
      <c r="D1068" t="s">
        <v>16</v>
      </c>
      <c r="E1068" t="s">
        <v>27</v>
      </c>
      <c r="F1068" t="s">
        <v>68</v>
      </c>
      <c r="G1068">
        <v>1</v>
      </c>
      <c r="H1068">
        <v>1454.58</v>
      </c>
      <c r="I1068">
        <v>0.15</v>
      </c>
      <c r="J1068">
        <v>1236.3900000000001</v>
      </c>
      <c r="K1068" t="s">
        <v>58</v>
      </c>
      <c r="L1068" t="s">
        <v>29</v>
      </c>
      <c r="M1068" t="s">
        <v>30</v>
      </c>
      <c r="N1068" t="s">
        <v>22</v>
      </c>
    </row>
    <row r="1069" spans="1:14" x14ac:dyDescent="0.3">
      <c r="A1069" t="s">
        <v>1130</v>
      </c>
      <c r="B1069" s="1">
        <v>45819</v>
      </c>
      <c r="C1069" t="s">
        <v>15</v>
      </c>
      <c r="D1069" t="s">
        <v>16</v>
      </c>
      <c r="E1069" t="s">
        <v>99</v>
      </c>
      <c r="F1069" t="s">
        <v>111</v>
      </c>
      <c r="G1069">
        <v>2</v>
      </c>
      <c r="H1069">
        <v>3188.66</v>
      </c>
      <c r="I1069">
        <v>0.04</v>
      </c>
      <c r="J1069">
        <v>6122.23</v>
      </c>
      <c r="K1069" t="s">
        <v>41</v>
      </c>
      <c r="L1069" t="s">
        <v>20</v>
      </c>
      <c r="M1069" t="s">
        <v>21</v>
      </c>
      <c r="N1069" t="s">
        <v>22</v>
      </c>
    </row>
    <row r="1070" spans="1:14" x14ac:dyDescent="0.3">
      <c r="A1070" t="s">
        <v>1131</v>
      </c>
      <c r="B1070" s="1">
        <v>45755</v>
      </c>
      <c r="C1070" t="s">
        <v>36</v>
      </c>
      <c r="D1070" t="s">
        <v>39</v>
      </c>
      <c r="E1070" t="s">
        <v>17</v>
      </c>
      <c r="F1070" t="s">
        <v>44</v>
      </c>
      <c r="G1070">
        <v>3</v>
      </c>
      <c r="H1070">
        <v>305.58</v>
      </c>
      <c r="I1070">
        <v>0.18</v>
      </c>
      <c r="J1070">
        <v>751.73</v>
      </c>
      <c r="K1070" t="s">
        <v>41</v>
      </c>
      <c r="L1070" t="s">
        <v>29</v>
      </c>
      <c r="M1070" t="s">
        <v>54</v>
      </c>
      <c r="N1070" t="s">
        <v>59</v>
      </c>
    </row>
    <row r="1071" spans="1:14" x14ac:dyDescent="0.3">
      <c r="A1071" t="s">
        <v>1132</v>
      </c>
      <c r="B1071" s="1">
        <v>45680</v>
      </c>
      <c r="C1071" t="s">
        <v>36</v>
      </c>
      <c r="D1071" t="s">
        <v>16</v>
      </c>
      <c r="E1071" t="s">
        <v>17</v>
      </c>
      <c r="F1071" t="s">
        <v>32</v>
      </c>
      <c r="G1071">
        <v>2</v>
      </c>
      <c r="H1071">
        <v>1813.68</v>
      </c>
      <c r="I1071">
        <v>0.02</v>
      </c>
      <c r="J1071">
        <v>3554.81</v>
      </c>
      <c r="K1071" t="s">
        <v>58</v>
      </c>
      <c r="L1071" t="s">
        <v>29</v>
      </c>
      <c r="M1071" t="s">
        <v>30</v>
      </c>
      <c r="N1071" t="s">
        <v>22</v>
      </c>
    </row>
    <row r="1072" spans="1:14" x14ac:dyDescent="0.3">
      <c r="A1072" t="s">
        <v>1133</v>
      </c>
      <c r="B1072" s="1">
        <v>45744</v>
      </c>
      <c r="C1072" t="s">
        <v>15</v>
      </c>
      <c r="D1072" t="s">
        <v>43</v>
      </c>
      <c r="E1072" t="s">
        <v>61</v>
      </c>
      <c r="F1072" t="s">
        <v>75</v>
      </c>
      <c r="G1072">
        <v>4</v>
      </c>
      <c r="H1072">
        <v>449.83</v>
      </c>
      <c r="I1072">
        <v>0.11</v>
      </c>
      <c r="J1072">
        <v>1601.39</v>
      </c>
      <c r="K1072" t="s">
        <v>33</v>
      </c>
      <c r="L1072" t="s">
        <v>34</v>
      </c>
      <c r="M1072" t="s">
        <v>30</v>
      </c>
      <c r="N1072" t="s">
        <v>22</v>
      </c>
    </row>
    <row r="1073" spans="1:14" x14ac:dyDescent="0.3">
      <c r="A1073" t="s">
        <v>1134</v>
      </c>
      <c r="B1073" s="1">
        <v>45730</v>
      </c>
      <c r="C1073" t="s">
        <v>15</v>
      </c>
      <c r="D1073" t="s">
        <v>16</v>
      </c>
      <c r="E1073" t="s">
        <v>27</v>
      </c>
      <c r="F1073" t="s">
        <v>28</v>
      </c>
      <c r="G1073">
        <v>3</v>
      </c>
      <c r="H1073">
        <v>2406.36</v>
      </c>
      <c r="I1073">
        <v>0.24</v>
      </c>
      <c r="J1073">
        <v>5486.5</v>
      </c>
      <c r="K1073" t="s">
        <v>41</v>
      </c>
      <c r="L1073" t="s">
        <v>29</v>
      </c>
      <c r="M1073" t="s">
        <v>21</v>
      </c>
      <c r="N1073" t="s">
        <v>22</v>
      </c>
    </row>
    <row r="1074" spans="1:14" x14ac:dyDescent="0.3">
      <c r="A1074" t="s">
        <v>1135</v>
      </c>
      <c r="B1074" s="1">
        <v>45783</v>
      </c>
      <c r="C1074" t="s">
        <v>52</v>
      </c>
      <c r="D1074" t="s">
        <v>39</v>
      </c>
      <c r="E1074" t="s">
        <v>17</v>
      </c>
      <c r="F1074" t="s">
        <v>32</v>
      </c>
      <c r="G1074">
        <v>1</v>
      </c>
      <c r="H1074">
        <v>3084.29</v>
      </c>
      <c r="I1074">
        <v>0.2</v>
      </c>
      <c r="J1074">
        <v>2467.4299999999998</v>
      </c>
      <c r="K1074" t="s">
        <v>33</v>
      </c>
      <c r="L1074" t="s">
        <v>20</v>
      </c>
      <c r="M1074" t="s">
        <v>21</v>
      </c>
      <c r="N1074" t="s">
        <v>37</v>
      </c>
    </row>
    <row r="1075" spans="1:14" x14ac:dyDescent="0.3">
      <c r="A1075" t="s">
        <v>1136</v>
      </c>
      <c r="B1075" s="1">
        <v>45833</v>
      </c>
      <c r="C1075" t="s">
        <v>52</v>
      </c>
      <c r="D1075" t="s">
        <v>25</v>
      </c>
      <c r="E1075" t="s">
        <v>49</v>
      </c>
      <c r="F1075" t="s">
        <v>56</v>
      </c>
      <c r="G1075">
        <v>1</v>
      </c>
      <c r="H1075">
        <v>4780.38</v>
      </c>
      <c r="I1075">
        <v>0.24</v>
      </c>
      <c r="J1075">
        <v>3633.09</v>
      </c>
      <c r="K1075" t="s">
        <v>41</v>
      </c>
      <c r="L1075" t="s">
        <v>29</v>
      </c>
      <c r="M1075" t="s">
        <v>54</v>
      </c>
      <c r="N1075" t="s">
        <v>22</v>
      </c>
    </row>
    <row r="1076" spans="1:14" x14ac:dyDescent="0.3">
      <c r="A1076" t="s">
        <v>1137</v>
      </c>
      <c r="B1076" s="1">
        <v>45820</v>
      </c>
      <c r="C1076" t="s">
        <v>36</v>
      </c>
      <c r="D1076" t="s">
        <v>39</v>
      </c>
      <c r="E1076" t="s">
        <v>17</v>
      </c>
      <c r="F1076" t="s">
        <v>18</v>
      </c>
      <c r="G1076">
        <v>5</v>
      </c>
      <c r="H1076">
        <v>2649.65</v>
      </c>
      <c r="I1076">
        <v>0.08</v>
      </c>
      <c r="J1076">
        <v>12188.39</v>
      </c>
      <c r="K1076" t="s">
        <v>41</v>
      </c>
      <c r="L1076" t="s">
        <v>29</v>
      </c>
      <c r="M1076" t="s">
        <v>54</v>
      </c>
      <c r="N1076" t="s">
        <v>37</v>
      </c>
    </row>
    <row r="1077" spans="1:14" x14ac:dyDescent="0.3">
      <c r="A1077" t="s">
        <v>1138</v>
      </c>
      <c r="B1077" s="1">
        <v>45749</v>
      </c>
      <c r="C1077" t="s">
        <v>15</v>
      </c>
      <c r="D1077" t="s">
        <v>25</v>
      </c>
      <c r="E1077" t="s">
        <v>99</v>
      </c>
      <c r="F1077" t="s">
        <v>100</v>
      </c>
      <c r="G1077">
        <v>3</v>
      </c>
      <c r="H1077">
        <v>3766.12</v>
      </c>
      <c r="I1077">
        <v>0.03</v>
      </c>
      <c r="J1077">
        <v>10959.41</v>
      </c>
      <c r="K1077" t="s">
        <v>19</v>
      </c>
      <c r="L1077" t="s">
        <v>34</v>
      </c>
      <c r="M1077" t="s">
        <v>54</v>
      </c>
      <c r="N1077" t="s">
        <v>22</v>
      </c>
    </row>
    <row r="1078" spans="1:14" x14ac:dyDescent="0.3">
      <c r="A1078" t="s">
        <v>1139</v>
      </c>
      <c r="B1078" s="1">
        <v>45797</v>
      </c>
      <c r="C1078" t="s">
        <v>24</v>
      </c>
      <c r="D1078" t="s">
        <v>43</v>
      </c>
      <c r="E1078" t="s">
        <v>49</v>
      </c>
      <c r="F1078" t="s">
        <v>53</v>
      </c>
      <c r="G1078">
        <v>5</v>
      </c>
      <c r="H1078">
        <v>474.57</v>
      </c>
      <c r="I1078">
        <v>0.09</v>
      </c>
      <c r="J1078">
        <v>2159.29</v>
      </c>
      <c r="K1078" t="s">
        <v>46</v>
      </c>
      <c r="L1078" t="s">
        <v>29</v>
      </c>
      <c r="M1078" t="s">
        <v>30</v>
      </c>
      <c r="N1078" t="s">
        <v>22</v>
      </c>
    </row>
    <row r="1079" spans="1:14" x14ac:dyDescent="0.3">
      <c r="A1079" t="s">
        <v>1140</v>
      </c>
      <c r="B1079" s="1">
        <v>45689</v>
      </c>
      <c r="C1079" t="s">
        <v>36</v>
      </c>
      <c r="D1079" t="s">
        <v>43</v>
      </c>
      <c r="E1079" t="s">
        <v>49</v>
      </c>
      <c r="F1079" t="s">
        <v>73</v>
      </c>
      <c r="G1079">
        <v>2</v>
      </c>
      <c r="H1079">
        <v>3904.6</v>
      </c>
      <c r="I1079">
        <v>0.1</v>
      </c>
      <c r="J1079">
        <v>7028.28</v>
      </c>
      <c r="K1079" t="s">
        <v>19</v>
      </c>
      <c r="L1079" t="s">
        <v>29</v>
      </c>
      <c r="M1079" t="s">
        <v>21</v>
      </c>
      <c r="N1079" t="s">
        <v>22</v>
      </c>
    </row>
    <row r="1080" spans="1:14" x14ac:dyDescent="0.3">
      <c r="A1080" t="s">
        <v>1141</v>
      </c>
      <c r="B1080" s="1">
        <v>45744</v>
      </c>
      <c r="C1080" t="s">
        <v>15</v>
      </c>
      <c r="D1080" t="s">
        <v>25</v>
      </c>
      <c r="E1080" t="s">
        <v>99</v>
      </c>
      <c r="F1080" t="s">
        <v>111</v>
      </c>
      <c r="G1080">
        <v>4</v>
      </c>
      <c r="H1080">
        <v>2163.0100000000002</v>
      </c>
      <c r="I1080">
        <v>0.25</v>
      </c>
      <c r="J1080">
        <v>6489.03</v>
      </c>
      <c r="K1080" t="s">
        <v>58</v>
      </c>
      <c r="L1080" t="s">
        <v>20</v>
      </c>
      <c r="M1080" t="s">
        <v>21</v>
      </c>
      <c r="N1080" t="s">
        <v>22</v>
      </c>
    </row>
    <row r="1081" spans="1:14" x14ac:dyDescent="0.3">
      <c r="A1081" t="s">
        <v>1142</v>
      </c>
      <c r="B1081" s="1">
        <v>45694</v>
      </c>
      <c r="C1081" t="s">
        <v>48</v>
      </c>
      <c r="D1081" t="s">
        <v>25</v>
      </c>
      <c r="E1081" t="s">
        <v>61</v>
      </c>
      <c r="F1081" t="s">
        <v>75</v>
      </c>
      <c r="G1081">
        <v>1</v>
      </c>
      <c r="H1081">
        <v>2151.27</v>
      </c>
      <c r="I1081">
        <v>0.19</v>
      </c>
      <c r="J1081">
        <v>1742.53</v>
      </c>
      <c r="K1081" t="s">
        <v>58</v>
      </c>
      <c r="L1081" t="s">
        <v>20</v>
      </c>
      <c r="M1081" t="s">
        <v>21</v>
      </c>
      <c r="N1081" t="s">
        <v>22</v>
      </c>
    </row>
    <row r="1082" spans="1:14" x14ac:dyDescent="0.3">
      <c r="A1082" t="s">
        <v>1143</v>
      </c>
      <c r="B1082" s="1">
        <v>45802</v>
      </c>
      <c r="C1082" t="s">
        <v>48</v>
      </c>
      <c r="D1082" t="s">
        <v>25</v>
      </c>
      <c r="E1082" t="s">
        <v>61</v>
      </c>
      <c r="F1082" t="s">
        <v>62</v>
      </c>
      <c r="G1082">
        <v>2</v>
      </c>
      <c r="H1082">
        <v>4950.67</v>
      </c>
      <c r="I1082">
        <v>0.03</v>
      </c>
      <c r="J1082">
        <v>9604.2999999999993</v>
      </c>
      <c r="K1082" t="s">
        <v>58</v>
      </c>
      <c r="L1082" t="s">
        <v>29</v>
      </c>
      <c r="M1082" t="s">
        <v>21</v>
      </c>
      <c r="N1082" t="s">
        <v>37</v>
      </c>
    </row>
    <row r="1083" spans="1:14" x14ac:dyDescent="0.3">
      <c r="A1083" t="s">
        <v>1144</v>
      </c>
      <c r="B1083" s="1">
        <v>45761</v>
      </c>
      <c r="C1083" t="s">
        <v>48</v>
      </c>
      <c r="D1083" t="s">
        <v>16</v>
      </c>
      <c r="E1083" t="s">
        <v>99</v>
      </c>
      <c r="F1083" t="s">
        <v>100</v>
      </c>
      <c r="G1083">
        <v>3</v>
      </c>
      <c r="H1083">
        <v>683.25</v>
      </c>
      <c r="I1083">
        <v>0.22</v>
      </c>
      <c r="J1083">
        <v>1598.81</v>
      </c>
      <c r="K1083" t="s">
        <v>33</v>
      </c>
      <c r="L1083" t="s">
        <v>20</v>
      </c>
      <c r="M1083" t="s">
        <v>30</v>
      </c>
      <c r="N1083" t="s">
        <v>59</v>
      </c>
    </row>
    <row r="1084" spans="1:14" x14ac:dyDescent="0.3">
      <c r="A1084" t="s">
        <v>1145</v>
      </c>
      <c r="B1084" s="1">
        <v>45786</v>
      </c>
      <c r="C1084" t="s">
        <v>15</v>
      </c>
      <c r="D1084" t="s">
        <v>43</v>
      </c>
      <c r="E1084" t="s">
        <v>17</v>
      </c>
      <c r="F1084" t="s">
        <v>18</v>
      </c>
      <c r="G1084">
        <v>4</v>
      </c>
      <c r="H1084">
        <v>3729.42</v>
      </c>
      <c r="I1084">
        <v>0.11</v>
      </c>
      <c r="J1084">
        <v>13276.74</v>
      </c>
      <c r="K1084" t="s">
        <v>41</v>
      </c>
      <c r="L1084" t="s">
        <v>34</v>
      </c>
      <c r="M1084" t="s">
        <v>30</v>
      </c>
      <c r="N1084" t="s">
        <v>22</v>
      </c>
    </row>
    <row r="1085" spans="1:14" x14ac:dyDescent="0.3">
      <c r="A1085" t="s">
        <v>1146</v>
      </c>
      <c r="B1085" s="1">
        <v>45712</v>
      </c>
      <c r="C1085" t="s">
        <v>52</v>
      </c>
      <c r="D1085" t="s">
        <v>39</v>
      </c>
      <c r="E1085" t="s">
        <v>27</v>
      </c>
      <c r="F1085" t="s">
        <v>79</v>
      </c>
      <c r="G1085">
        <v>5</v>
      </c>
      <c r="H1085">
        <v>1912.38</v>
      </c>
      <c r="I1085">
        <v>0.16</v>
      </c>
      <c r="J1085">
        <v>8032</v>
      </c>
      <c r="K1085" t="s">
        <v>58</v>
      </c>
      <c r="L1085" t="s">
        <v>29</v>
      </c>
      <c r="M1085" t="s">
        <v>30</v>
      </c>
      <c r="N1085" t="s">
        <v>22</v>
      </c>
    </row>
    <row r="1086" spans="1:14" x14ac:dyDescent="0.3">
      <c r="A1086" t="s">
        <v>1147</v>
      </c>
      <c r="B1086" s="1">
        <v>45779</v>
      </c>
      <c r="C1086" t="s">
        <v>24</v>
      </c>
      <c r="D1086" t="s">
        <v>25</v>
      </c>
      <c r="E1086" t="s">
        <v>27</v>
      </c>
      <c r="F1086" t="s">
        <v>28</v>
      </c>
      <c r="G1086">
        <v>4</v>
      </c>
      <c r="H1086">
        <v>1771.47</v>
      </c>
      <c r="I1086">
        <v>0.14000000000000001</v>
      </c>
      <c r="J1086">
        <v>6093.86</v>
      </c>
      <c r="K1086" t="s">
        <v>19</v>
      </c>
      <c r="L1086" t="s">
        <v>34</v>
      </c>
      <c r="M1086" t="s">
        <v>21</v>
      </c>
      <c r="N1086" t="s">
        <v>22</v>
      </c>
    </row>
    <row r="1087" spans="1:14" x14ac:dyDescent="0.3">
      <c r="A1087" t="s">
        <v>1148</v>
      </c>
      <c r="B1087" s="1">
        <v>45816</v>
      </c>
      <c r="C1087" t="s">
        <v>52</v>
      </c>
      <c r="D1087" t="s">
        <v>39</v>
      </c>
      <c r="E1087" t="s">
        <v>49</v>
      </c>
      <c r="F1087" t="s">
        <v>53</v>
      </c>
      <c r="G1087">
        <v>2</v>
      </c>
      <c r="H1087">
        <v>2209.63</v>
      </c>
      <c r="I1087">
        <v>7.0000000000000007E-2</v>
      </c>
      <c r="J1087">
        <v>4109.91</v>
      </c>
      <c r="K1087" t="s">
        <v>19</v>
      </c>
      <c r="L1087" t="s">
        <v>20</v>
      </c>
      <c r="M1087" t="s">
        <v>21</v>
      </c>
      <c r="N1087" t="s">
        <v>22</v>
      </c>
    </row>
    <row r="1088" spans="1:14" x14ac:dyDescent="0.3">
      <c r="A1088" t="s">
        <v>1149</v>
      </c>
      <c r="B1088" s="1">
        <v>45838</v>
      </c>
      <c r="C1088" t="s">
        <v>24</v>
      </c>
      <c r="D1088" t="s">
        <v>39</v>
      </c>
      <c r="E1088" t="s">
        <v>99</v>
      </c>
      <c r="F1088" t="s">
        <v>100</v>
      </c>
      <c r="G1088">
        <v>4</v>
      </c>
      <c r="H1088">
        <v>2250.69</v>
      </c>
      <c r="I1088">
        <v>0.22</v>
      </c>
      <c r="J1088">
        <v>7022.15</v>
      </c>
      <c r="K1088" t="s">
        <v>46</v>
      </c>
      <c r="L1088" t="s">
        <v>34</v>
      </c>
      <c r="M1088" t="s">
        <v>30</v>
      </c>
      <c r="N1088" t="s">
        <v>59</v>
      </c>
    </row>
    <row r="1089" spans="1:14" x14ac:dyDescent="0.3">
      <c r="A1089" t="s">
        <v>1150</v>
      </c>
      <c r="B1089" s="1">
        <v>45764</v>
      </c>
      <c r="C1089" t="s">
        <v>15</v>
      </c>
      <c r="D1089" t="s">
        <v>16</v>
      </c>
      <c r="E1089" t="s">
        <v>17</v>
      </c>
      <c r="F1089" t="s">
        <v>44</v>
      </c>
      <c r="G1089">
        <v>2</v>
      </c>
      <c r="H1089">
        <v>2805.6</v>
      </c>
      <c r="I1089">
        <v>0.13</v>
      </c>
      <c r="J1089">
        <v>4881.74</v>
      </c>
      <c r="K1089" t="s">
        <v>19</v>
      </c>
      <c r="L1089" t="s">
        <v>20</v>
      </c>
      <c r="M1089" t="s">
        <v>54</v>
      </c>
      <c r="N1089" t="s">
        <v>22</v>
      </c>
    </row>
    <row r="1090" spans="1:14" x14ac:dyDescent="0.3">
      <c r="A1090" t="s">
        <v>1151</v>
      </c>
      <c r="B1090" s="1">
        <v>45810</v>
      </c>
      <c r="C1090" t="s">
        <v>24</v>
      </c>
      <c r="D1090" t="s">
        <v>25</v>
      </c>
      <c r="E1090" t="s">
        <v>17</v>
      </c>
      <c r="F1090" t="s">
        <v>44</v>
      </c>
      <c r="G1090">
        <v>3</v>
      </c>
      <c r="H1090">
        <v>1095.3900000000001</v>
      </c>
      <c r="I1090">
        <v>0.24</v>
      </c>
      <c r="J1090">
        <v>2497.4899999999998</v>
      </c>
      <c r="K1090" t="s">
        <v>41</v>
      </c>
      <c r="L1090" t="s">
        <v>20</v>
      </c>
      <c r="M1090" t="s">
        <v>21</v>
      </c>
      <c r="N1090" t="s">
        <v>22</v>
      </c>
    </row>
    <row r="1091" spans="1:14" x14ac:dyDescent="0.3">
      <c r="A1091" t="s">
        <v>1152</v>
      </c>
      <c r="B1091" s="1">
        <v>45753</v>
      </c>
      <c r="C1091" t="s">
        <v>48</v>
      </c>
      <c r="D1091" t="s">
        <v>16</v>
      </c>
      <c r="E1091" t="s">
        <v>27</v>
      </c>
      <c r="F1091" t="s">
        <v>68</v>
      </c>
      <c r="G1091">
        <v>1</v>
      </c>
      <c r="H1091">
        <v>2277.58</v>
      </c>
      <c r="I1091">
        <v>0.11</v>
      </c>
      <c r="J1091">
        <v>2027.05</v>
      </c>
      <c r="K1091" t="s">
        <v>46</v>
      </c>
      <c r="L1091" t="s">
        <v>20</v>
      </c>
      <c r="M1091" t="s">
        <v>30</v>
      </c>
      <c r="N1091" t="s">
        <v>37</v>
      </c>
    </row>
    <row r="1092" spans="1:14" x14ac:dyDescent="0.3">
      <c r="A1092" t="s">
        <v>1153</v>
      </c>
      <c r="B1092" s="1">
        <v>45750</v>
      </c>
      <c r="C1092" t="s">
        <v>15</v>
      </c>
      <c r="D1092" t="s">
        <v>39</v>
      </c>
      <c r="E1092" t="s">
        <v>99</v>
      </c>
      <c r="F1092" t="s">
        <v>120</v>
      </c>
      <c r="G1092">
        <v>2</v>
      </c>
      <c r="H1092">
        <v>3664.07</v>
      </c>
      <c r="I1092">
        <v>0.08</v>
      </c>
      <c r="J1092">
        <v>6741.89</v>
      </c>
      <c r="K1092" t="s">
        <v>58</v>
      </c>
      <c r="L1092" t="s">
        <v>29</v>
      </c>
      <c r="M1092" t="s">
        <v>21</v>
      </c>
      <c r="N1092" t="s">
        <v>22</v>
      </c>
    </row>
    <row r="1093" spans="1:14" x14ac:dyDescent="0.3">
      <c r="A1093" t="s">
        <v>1154</v>
      </c>
      <c r="B1093" s="1">
        <v>45744</v>
      </c>
      <c r="C1093" t="s">
        <v>15</v>
      </c>
      <c r="D1093" t="s">
        <v>43</v>
      </c>
      <c r="E1093" t="s">
        <v>27</v>
      </c>
      <c r="F1093" t="s">
        <v>79</v>
      </c>
      <c r="G1093">
        <v>1</v>
      </c>
      <c r="H1093">
        <v>4668.6000000000004</v>
      </c>
      <c r="I1093">
        <v>0.2</v>
      </c>
      <c r="J1093">
        <v>3734.88</v>
      </c>
      <c r="K1093" t="s">
        <v>58</v>
      </c>
      <c r="L1093" t="s">
        <v>34</v>
      </c>
      <c r="M1093" t="s">
        <v>30</v>
      </c>
      <c r="N1093" t="s">
        <v>88</v>
      </c>
    </row>
    <row r="1094" spans="1:14" x14ac:dyDescent="0.3">
      <c r="A1094" t="s">
        <v>1155</v>
      </c>
      <c r="B1094" s="1">
        <v>45820</v>
      </c>
      <c r="C1094" t="s">
        <v>52</v>
      </c>
      <c r="D1094" t="s">
        <v>39</v>
      </c>
      <c r="E1094" t="s">
        <v>17</v>
      </c>
      <c r="F1094" t="s">
        <v>18</v>
      </c>
      <c r="G1094">
        <v>4</v>
      </c>
      <c r="H1094">
        <v>4373.3599999999997</v>
      </c>
      <c r="I1094">
        <v>0.06</v>
      </c>
      <c r="J1094">
        <v>16443.830000000002</v>
      </c>
      <c r="K1094" t="s">
        <v>19</v>
      </c>
      <c r="L1094" t="s">
        <v>29</v>
      </c>
      <c r="M1094" t="s">
        <v>54</v>
      </c>
      <c r="N1094" t="s">
        <v>22</v>
      </c>
    </row>
    <row r="1095" spans="1:14" x14ac:dyDescent="0.3">
      <c r="A1095" t="s">
        <v>1156</v>
      </c>
      <c r="B1095" s="1">
        <v>45801</v>
      </c>
      <c r="C1095" t="s">
        <v>48</v>
      </c>
      <c r="D1095" t="s">
        <v>43</v>
      </c>
      <c r="E1095" t="s">
        <v>49</v>
      </c>
      <c r="F1095" t="s">
        <v>73</v>
      </c>
      <c r="G1095">
        <v>2</v>
      </c>
      <c r="H1095">
        <v>3210.39</v>
      </c>
      <c r="I1095">
        <v>0.02</v>
      </c>
      <c r="J1095">
        <v>6292.36</v>
      </c>
      <c r="K1095" t="s">
        <v>46</v>
      </c>
      <c r="L1095" t="s">
        <v>20</v>
      </c>
      <c r="M1095" t="s">
        <v>21</v>
      </c>
      <c r="N1095" t="s">
        <v>22</v>
      </c>
    </row>
    <row r="1096" spans="1:14" x14ac:dyDescent="0.3">
      <c r="A1096" t="s">
        <v>1157</v>
      </c>
      <c r="B1096" s="1">
        <v>45775</v>
      </c>
      <c r="C1096" t="s">
        <v>36</v>
      </c>
      <c r="D1096" t="s">
        <v>25</v>
      </c>
      <c r="E1096" t="s">
        <v>17</v>
      </c>
      <c r="F1096" t="s">
        <v>40</v>
      </c>
      <c r="G1096">
        <v>2</v>
      </c>
      <c r="H1096">
        <v>290.18</v>
      </c>
      <c r="I1096">
        <v>0.17</v>
      </c>
      <c r="J1096">
        <v>481.7</v>
      </c>
      <c r="K1096" t="s">
        <v>33</v>
      </c>
      <c r="L1096" t="s">
        <v>20</v>
      </c>
      <c r="M1096" t="s">
        <v>21</v>
      </c>
      <c r="N1096" t="s">
        <v>22</v>
      </c>
    </row>
    <row r="1097" spans="1:14" x14ac:dyDescent="0.3">
      <c r="A1097" t="s">
        <v>1158</v>
      </c>
      <c r="B1097" s="1">
        <v>45712</v>
      </c>
      <c r="C1097" t="s">
        <v>48</v>
      </c>
      <c r="D1097" t="s">
        <v>25</v>
      </c>
      <c r="E1097" t="s">
        <v>61</v>
      </c>
      <c r="F1097" t="s">
        <v>66</v>
      </c>
      <c r="G1097">
        <v>2</v>
      </c>
      <c r="H1097">
        <v>4401.66</v>
      </c>
      <c r="I1097">
        <v>0.21</v>
      </c>
      <c r="J1097">
        <v>6954.62</v>
      </c>
      <c r="K1097" t="s">
        <v>33</v>
      </c>
      <c r="L1097" t="s">
        <v>29</v>
      </c>
      <c r="M1097" t="s">
        <v>30</v>
      </c>
      <c r="N1097" t="s">
        <v>22</v>
      </c>
    </row>
    <row r="1098" spans="1:14" x14ac:dyDescent="0.3">
      <c r="A1098" t="s">
        <v>1159</v>
      </c>
      <c r="B1098" s="1">
        <v>45722</v>
      </c>
      <c r="C1098" t="s">
        <v>36</v>
      </c>
      <c r="D1098" t="s">
        <v>25</v>
      </c>
      <c r="E1098" t="s">
        <v>49</v>
      </c>
      <c r="F1098" t="s">
        <v>53</v>
      </c>
      <c r="G1098">
        <v>1</v>
      </c>
      <c r="H1098">
        <v>1172.76</v>
      </c>
      <c r="I1098">
        <v>0.24</v>
      </c>
      <c r="J1098">
        <v>891.3</v>
      </c>
      <c r="K1098" t="s">
        <v>41</v>
      </c>
      <c r="L1098" t="s">
        <v>34</v>
      </c>
      <c r="M1098" t="s">
        <v>30</v>
      </c>
      <c r="N1098" t="s">
        <v>59</v>
      </c>
    </row>
    <row r="1099" spans="1:14" x14ac:dyDescent="0.3">
      <c r="A1099" t="s">
        <v>1160</v>
      </c>
      <c r="B1099" s="1">
        <v>45825</v>
      </c>
      <c r="C1099" t="s">
        <v>48</v>
      </c>
      <c r="D1099" t="s">
        <v>25</v>
      </c>
      <c r="E1099" t="s">
        <v>99</v>
      </c>
      <c r="F1099" t="s">
        <v>100</v>
      </c>
      <c r="G1099">
        <v>4</v>
      </c>
      <c r="H1099">
        <v>4785.95</v>
      </c>
      <c r="I1099">
        <v>0.17</v>
      </c>
      <c r="J1099">
        <v>15889.35</v>
      </c>
      <c r="K1099" t="s">
        <v>58</v>
      </c>
      <c r="L1099" t="s">
        <v>20</v>
      </c>
      <c r="M1099" t="s">
        <v>30</v>
      </c>
      <c r="N1099" t="s">
        <v>22</v>
      </c>
    </row>
    <row r="1100" spans="1:14" x14ac:dyDescent="0.3">
      <c r="A1100" t="s">
        <v>1161</v>
      </c>
      <c r="B1100" s="1">
        <v>45707</v>
      </c>
      <c r="C1100" t="s">
        <v>36</v>
      </c>
      <c r="D1100" t="s">
        <v>25</v>
      </c>
      <c r="E1100" t="s">
        <v>49</v>
      </c>
      <c r="F1100" t="s">
        <v>50</v>
      </c>
      <c r="G1100">
        <v>2</v>
      </c>
      <c r="H1100">
        <v>241.92</v>
      </c>
      <c r="I1100">
        <v>7.0000000000000007E-2</v>
      </c>
      <c r="J1100">
        <v>449.97</v>
      </c>
      <c r="K1100" t="s">
        <v>41</v>
      </c>
      <c r="L1100" t="s">
        <v>29</v>
      </c>
      <c r="M1100" t="s">
        <v>54</v>
      </c>
      <c r="N1100" t="s">
        <v>22</v>
      </c>
    </row>
    <row r="1101" spans="1:14" x14ac:dyDescent="0.3">
      <c r="A1101" t="s">
        <v>1162</v>
      </c>
      <c r="B1101" s="1">
        <v>45821</v>
      </c>
      <c r="C1101" t="s">
        <v>15</v>
      </c>
      <c r="D1101" t="s">
        <v>39</v>
      </c>
      <c r="E1101" t="s">
        <v>99</v>
      </c>
      <c r="F1101" t="s">
        <v>111</v>
      </c>
      <c r="G1101">
        <v>4</v>
      </c>
      <c r="H1101">
        <v>2183.48</v>
      </c>
      <c r="I1101">
        <v>7.0000000000000007E-2</v>
      </c>
      <c r="J1101">
        <v>8122.55</v>
      </c>
      <c r="K1101" t="s">
        <v>41</v>
      </c>
      <c r="L1101" t="s">
        <v>34</v>
      </c>
      <c r="M1101" t="s">
        <v>54</v>
      </c>
      <c r="N1101" t="s">
        <v>22</v>
      </c>
    </row>
    <row r="1102" spans="1:14" x14ac:dyDescent="0.3">
      <c r="A1102" t="s">
        <v>1163</v>
      </c>
      <c r="B1102" s="1">
        <v>45841</v>
      </c>
      <c r="C1102" t="s">
        <v>24</v>
      </c>
      <c r="D1102" t="s">
        <v>43</v>
      </c>
      <c r="E1102" t="s">
        <v>61</v>
      </c>
      <c r="F1102" t="s">
        <v>66</v>
      </c>
      <c r="G1102">
        <v>4</v>
      </c>
      <c r="H1102">
        <v>1184.42</v>
      </c>
      <c r="I1102">
        <v>0.22</v>
      </c>
      <c r="J1102">
        <v>3695.39</v>
      </c>
      <c r="K1102" t="s">
        <v>46</v>
      </c>
      <c r="L1102" t="s">
        <v>34</v>
      </c>
      <c r="M1102" t="s">
        <v>21</v>
      </c>
      <c r="N1102" t="s">
        <v>88</v>
      </c>
    </row>
    <row r="1103" spans="1:14" x14ac:dyDescent="0.3">
      <c r="A1103" t="s">
        <v>1164</v>
      </c>
      <c r="B1103" s="1">
        <v>45676</v>
      </c>
      <c r="C1103" t="s">
        <v>52</v>
      </c>
      <c r="D1103" t="s">
        <v>16</v>
      </c>
      <c r="E1103" t="s">
        <v>17</v>
      </c>
      <c r="F1103" t="s">
        <v>32</v>
      </c>
      <c r="G1103">
        <v>1</v>
      </c>
      <c r="H1103">
        <v>4756.3599999999997</v>
      </c>
      <c r="I1103">
        <v>0.01</v>
      </c>
      <c r="J1103">
        <v>4708.8</v>
      </c>
      <c r="K1103" t="s">
        <v>33</v>
      </c>
      <c r="L1103" t="s">
        <v>29</v>
      </c>
      <c r="M1103" t="s">
        <v>30</v>
      </c>
      <c r="N1103" t="s">
        <v>88</v>
      </c>
    </row>
    <row r="1104" spans="1:14" x14ac:dyDescent="0.3">
      <c r="A1104" t="s">
        <v>1165</v>
      </c>
      <c r="B1104" s="1">
        <v>45714</v>
      </c>
      <c r="C1104" t="s">
        <v>36</v>
      </c>
      <c r="D1104" t="s">
        <v>43</v>
      </c>
      <c r="E1104" t="s">
        <v>99</v>
      </c>
      <c r="F1104" t="s">
        <v>111</v>
      </c>
      <c r="G1104">
        <v>1</v>
      </c>
      <c r="H1104">
        <v>2641.38</v>
      </c>
      <c r="I1104">
        <v>0.09</v>
      </c>
      <c r="J1104">
        <v>2403.66</v>
      </c>
      <c r="K1104" t="s">
        <v>58</v>
      </c>
      <c r="L1104" t="s">
        <v>29</v>
      </c>
      <c r="M1104" t="s">
        <v>54</v>
      </c>
      <c r="N1104" t="s">
        <v>88</v>
      </c>
    </row>
    <row r="1105" spans="1:14" x14ac:dyDescent="0.3">
      <c r="A1105" t="s">
        <v>1166</v>
      </c>
      <c r="B1105" s="1">
        <v>45831</v>
      </c>
      <c r="C1105" t="s">
        <v>15</v>
      </c>
      <c r="D1105" t="s">
        <v>16</v>
      </c>
      <c r="E1105" t="s">
        <v>49</v>
      </c>
      <c r="F1105" t="s">
        <v>73</v>
      </c>
      <c r="G1105">
        <v>3</v>
      </c>
      <c r="H1105">
        <v>2125.64</v>
      </c>
      <c r="I1105">
        <v>0.14000000000000001</v>
      </c>
      <c r="J1105">
        <v>5484.15</v>
      </c>
      <c r="K1105" t="s">
        <v>19</v>
      </c>
      <c r="L1105" t="s">
        <v>34</v>
      </c>
      <c r="M1105" t="s">
        <v>54</v>
      </c>
      <c r="N1105" t="s">
        <v>22</v>
      </c>
    </row>
    <row r="1106" spans="1:14" x14ac:dyDescent="0.3">
      <c r="A1106" t="s">
        <v>1167</v>
      </c>
      <c r="B1106" s="1">
        <v>45747</v>
      </c>
      <c r="C1106" t="s">
        <v>36</v>
      </c>
      <c r="D1106" t="s">
        <v>43</v>
      </c>
      <c r="E1106" t="s">
        <v>17</v>
      </c>
      <c r="F1106" t="s">
        <v>18</v>
      </c>
      <c r="G1106">
        <v>1</v>
      </c>
      <c r="H1106">
        <v>869.03</v>
      </c>
      <c r="I1106">
        <v>0.08</v>
      </c>
      <c r="J1106">
        <v>799.51</v>
      </c>
      <c r="K1106" t="s">
        <v>41</v>
      </c>
      <c r="L1106" t="s">
        <v>34</v>
      </c>
      <c r="M1106" t="s">
        <v>54</v>
      </c>
      <c r="N1106" t="s">
        <v>22</v>
      </c>
    </row>
    <row r="1107" spans="1:14" x14ac:dyDescent="0.3">
      <c r="A1107" t="s">
        <v>1168</v>
      </c>
      <c r="B1107" s="1">
        <v>45707</v>
      </c>
      <c r="C1107" t="s">
        <v>48</v>
      </c>
      <c r="D1107" t="s">
        <v>25</v>
      </c>
      <c r="E1107" t="s">
        <v>17</v>
      </c>
      <c r="F1107" t="s">
        <v>40</v>
      </c>
      <c r="G1107">
        <v>3</v>
      </c>
      <c r="H1107">
        <v>4323.72</v>
      </c>
      <c r="I1107">
        <v>0.02</v>
      </c>
      <c r="J1107">
        <v>12711.74</v>
      </c>
      <c r="K1107" t="s">
        <v>19</v>
      </c>
      <c r="L1107" t="s">
        <v>29</v>
      </c>
      <c r="M1107" t="s">
        <v>21</v>
      </c>
      <c r="N1107" t="s">
        <v>22</v>
      </c>
    </row>
    <row r="1108" spans="1:14" x14ac:dyDescent="0.3">
      <c r="A1108" t="s">
        <v>1169</v>
      </c>
      <c r="B1108" s="1">
        <v>45805</v>
      </c>
      <c r="C1108" t="s">
        <v>24</v>
      </c>
      <c r="D1108" t="s">
        <v>25</v>
      </c>
      <c r="E1108" t="s">
        <v>27</v>
      </c>
      <c r="F1108" t="s">
        <v>68</v>
      </c>
      <c r="G1108">
        <v>2</v>
      </c>
      <c r="H1108">
        <v>4174.21</v>
      </c>
      <c r="I1108">
        <v>0.21</v>
      </c>
      <c r="J1108">
        <v>6595.25</v>
      </c>
      <c r="K1108" t="s">
        <v>33</v>
      </c>
      <c r="L1108" t="s">
        <v>34</v>
      </c>
      <c r="M1108" t="s">
        <v>30</v>
      </c>
      <c r="N1108" t="s">
        <v>22</v>
      </c>
    </row>
    <row r="1109" spans="1:14" x14ac:dyDescent="0.3">
      <c r="A1109" t="s">
        <v>1170</v>
      </c>
      <c r="B1109" s="1">
        <v>45750</v>
      </c>
      <c r="C1109" t="s">
        <v>15</v>
      </c>
      <c r="D1109" t="s">
        <v>25</v>
      </c>
      <c r="E1109" t="s">
        <v>17</v>
      </c>
      <c r="F1109" t="s">
        <v>32</v>
      </c>
      <c r="G1109">
        <v>1</v>
      </c>
      <c r="H1109">
        <v>1394.92</v>
      </c>
      <c r="I1109">
        <v>0.16</v>
      </c>
      <c r="J1109">
        <v>1171.73</v>
      </c>
      <c r="K1109" t="s">
        <v>41</v>
      </c>
      <c r="L1109" t="s">
        <v>20</v>
      </c>
      <c r="M1109" t="s">
        <v>30</v>
      </c>
      <c r="N1109" t="s">
        <v>22</v>
      </c>
    </row>
    <row r="1110" spans="1:14" x14ac:dyDescent="0.3">
      <c r="A1110" t="s">
        <v>1171</v>
      </c>
      <c r="B1110" s="1">
        <v>45770</v>
      </c>
      <c r="C1110" t="s">
        <v>48</v>
      </c>
      <c r="D1110" t="s">
        <v>43</v>
      </c>
      <c r="E1110" t="s">
        <v>17</v>
      </c>
      <c r="F1110" t="s">
        <v>44</v>
      </c>
      <c r="G1110">
        <v>4</v>
      </c>
      <c r="H1110">
        <v>1493.67</v>
      </c>
      <c r="I1110">
        <v>0.18</v>
      </c>
      <c r="J1110">
        <v>4899.24</v>
      </c>
      <c r="K1110" t="s">
        <v>33</v>
      </c>
      <c r="L1110" t="s">
        <v>34</v>
      </c>
      <c r="M1110" t="s">
        <v>21</v>
      </c>
      <c r="N1110" t="s">
        <v>22</v>
      </c>
    </row>
    <row r="1111" spans="1:14" x14ac:dyDescent="0.3">
      <c r="A1111" t="s">
        <v>1172</v>
      </c>
      <c r="B1111" s="1">
        <v>45778</v>
      </c>
      <c r="C1111" t="s">
        <v>15</v>
      </c>
      <c r="D1111" t="s">
        <v>25</v>
      </c>
      <c r="E1111" t="s">
        <v>49</v>
      </c>
      <c r="F1111" t="s">
        <v>50</v>
      </c>
      <c r="G1111">
        <v>1</v>
      </c>
      <c r="H1111">
        <v>2316.12</v>
      </c>
      <c r="I1111">
        <v>0.14000000000000001</v>
      </c>
      <c r="J1111">
        <v>1991.86</v>
      </c>
      <c r="K1111" t="s">
        <v>33</v>
      </c>
      <c r="L1111" t="s">
        <v>29</v>
      </c>
      <c r="M1111" t="s">
        <v>54</v>
      </c>
      <c r="N1111" t="s">
        <v>88</v>
      </c>
    </row>
    <row r="1112" spans="1:14" x14ac:dyDescent="0.3">
      <c r="A1112" t="s">
        <v>1173</v>
      </c>
      <c r="B1112" s="1">
        <v>45789</v>
      </c>
      <c r="C1112" t="s">
        <v>48</v>
      </c>
      <c r="D1112" t="s">
        <v>16</v>
      </c>
      <c r="E1112" t="s">
        <v>49</v>
      </c>
      <c r="F1112" t="s">
        <v>53</v>
      </c>
      <c r="G1112">
        <v>3</v>
      </c>
      <c r="H1112">
        <v>1728.93</v>
      </c>
      <c r="I1112">
        <v>0.2</v>
      </c>
      <c r="J1112">
        <v>4149.43</v>
      </c>
      <c r="K1112" t="s">
        <v>33</v>
      </c>
      <c r="L1112" t="s">
        <v>20</v>
      </c>
      <c r="M1112" t="s">
        <v>54</v>
      </c>
      <c r="N1112" t="s">
        <v>22</v>
      </c>
    </row>
    <row r="1113" spans="1:14" x14ac:dyDescent="0.3">
      <c r="A1113" t="s">
        <v>1174</v>
      </c>
      <c r="B1113" s="1">
        <v>45733</v>
      </c>
      <c r="C1113" t="s">
        <v>36</v>
      </c>
      <c r="D1113" t="s">
        <v>43</v>
      </c>
      <c r="E1113" t="s">
        <v>61</v>
      </c>
      <c r="F1113" t="s">
        <v>92</v>
      </c>
      <c r="G1113">
        <v>2</v>
      </c>
      <c r="H1113">
        <v>2075.66</v>
      </c>
      <c r="I1113">
        <v>0.21</v>
      </c>
      <c r="J1113">
        <v>3279.54</v>
      </c>
      <c r="K1113" t="s">
        <v>19</v>
      </c>
      <c r="L1113" t="s">
        <v>20</v>
      </c>
      <c r="M1113" t="s">
        <v>21</v>
      </c>
      <c r="N1113" t="s">
        <v>22</v>
      </c>
    </row>
    <row r="1114" spans="1:14" x14ac:dyDescent="0.3">
      <c r="A1114" t="s">
        <v>1175</v>
      </c>
      <c r="B1114" s="1">
        <v>45725</v>
      </c>
      <c r="C1114" t="s">
        <v>48</v>
      </c>
      <c r="D1114" t="s">
        <v>25</v>
      </c>
      <c r="E1114" t="s">
        <v>49</v>
      </c>
      <c r="F1114" t="s">
        <v>53</v>
      </c>
      <c r="G1114">
        <v>3</v>
      </c>
      <c r="H1114">
        <v>4188.18</v>
      </c>
      <c r="I1114">
        <v>0.01</v>
      </c>
      <c r="J1114">
        <v>12438.89</v>
      </c>
      <c r="K1114" t="s">
        <v>46</v>
      </c>
      <c r="L1114" t="s">
        <v>29</v>
      </c>
      <c r="M1114" t="s">
        <v>21</v>
      </c>
      <c r="N1114" t="s">
        <v>37</v>
      </c>
    </row>
    <row r="1115" spans="1:14" x14ac:dyDescent="0.3">
      <c r="A1115" t="s">
        <v>1176</v>
      </c>
      <c r="B1115" s="1">
        <v>45665</v>
      </c>
      <c r="C1115" t="s">
        <v>36</v>
      </c>
      <c r="D1115" t="s">
        <v>25</v>
      </c>
      <c r="E1115" t="s">
        <v>99</v>
      </c>
      <c r="F1115" t="s">
        <v>100</v>
      </c>
      <c r="G1115">
        <v>4</v>
      </c>
      <c r="H1115">
        <v>1633.78</v>
      </c>
      <c r="I1115">
        <v>0.16</v>
      </c>
      <c r="J1115">
        <v>5489.5</v>
      </c>
      <c r="K1115" t="s">
        <v>41</v>
      </c>
      <c r="L1115" t="s">
        <v>29</v>
      </c>
      <c r="M1115" t="s">
        <v>30</v>
      </c>
      <c r="N1115" t="s">
        <v>22</v>
      </c>
    </row>
    <row r="1116" spans="1:14" x14ac:dyDescent="0.3">
      <c r="A1116" t="s">
        <v>1177</v>
      </c>
      <c r="B1116" s="1">
        <v>45755</v>
      </c>
      <c r="C1116" t="s">
        <v>24</v>
      </c>
      <c r="D1116" t="s">
        <v>16</v>
      </c>
      <c r="E1116" t="s">
        <v>27</v>
      </c>
      <c r="F1116" t="s">
        <v>79</v>
      </c>
      <c r="G1116">
        <v>1</v>
      </c>
      <c r="H1116">
        <v>1940.86</v>
      </c>
      <c r="I1116">
        <v>0.19</v>
      </c>
      <c r="J1116">
        <v>1572.1</v>
      </c>
      <c r="K1116" t="s">
        <v>41</v>
      </c>
      <c r="L1116" t="s">
        <v>29</v>
      </c>
      <c r="M1116" t="s">
        <v>54</v>
      </c>
      <c r="N1116" t="s">
        <v>22</v>
      </c>
    </row>
    <row r="1117" spans="1:14" x14ac:dyDescent="0.3">
      <c r="A1117" t="s">
        <v>1178</v>
      </c>
      <c r="B1117" s="1">
        <v>45825</v>
      </c>
      <c r="C1117" t="s">
        <v>24</v>
      </c>
      <c r="D1117" t="s">
        <v>25</v>
      </c>
      <c r="E1117" t="s">
        <v>49</v>
      </c>
      <c r="F1117" t="s">
        <v>56</v>
      </c>
      <c r="G1117">
        <v>2</v>
      </c>
      <c r="H1117">
        <v>3168.21</v>
      </c>
      <c r="I1117">
        <v>0.13</v>
      </c>
      <c r="J1117">
        <v>5512.69</v>
      </c>
      <c r="K1117" t="s">
        <v>41</v>
      </c>
      <c r="L1117" t="s">
        <v>34</v>
      </c>
      <c r="M1117" t="s">
        <v>54</v>
      </c>
      <c r="N1117" t="s">
        <v>22</v>
      </c>
    </row>
    <row r="1118" spans="1:14" x14ac:dyDescent="0.3">
      <c r="A1118" t="s">
        <v>1179</v>
      </c>
      <c r="B1118" s="1">
        <v>45723</v>
      </c>
      <c r="C1118" t="s">
        <v>48</v>
      </c>
      <c r="D1118" t="s">
        <v>43</v>
      </c>
      <c r="E1118" t="s">
        <v>99</v>
      </c>
      <c r="F1118" t="s">
        <v>120</v>
      </c>
      <c r="G1118">
        <v>3</v>
      </c>
      <c r="H1118">
        <v>2660.15</v>
      </c>
      <c r="I1118">
        <v>0.15</v>
      </c>
      <c r="J1118">
        <v>6783.38</v>
      </c>
      <c r="K1118" t="s">
        <v>46</v>
      </c>
      <c r="L1118" t="s">
        <v>29</v>
      </c>
      <c r="M1118" t="s">
        <v>30</v>
      </c>
      <c r="N1118" t="s">
        <v>22</v>
      </c>
    </row>
    <row r="1119" spans="1:14" x14ac:dyDescent="0.3">
      <c r="A1119" t="s">
        <v>1180</v>
      </c>
      <c r="B1119" s="1">
        <v>45695</v>
      </c>
      <c r="C1119" t="s">
        <v>36</v>
      </c>
      <c r="D1119" t="s">
        <v>43</v>
      </c>
      <c r="E1119" t="s">
        <v>27</v>
      </c>
      <c r="F1119" t="s">
        <v>68</v>
      </c>
      <c r="G1119">
        <v>5</v>
      </c>
      <c r="H1119">
        <v>1331.07</v>
      </c>
      <c r="I1119">
        <v>0.12</v>
      </c>
      <c r="J1119">
        <v>5856.71</v>
      </c>
      <c r="K1119" t="s">
        <v>46</v>
      </c>
      <c r="L1119" t="s">
        <v>29</v>
      </c>
      <c r="M1119" t="s">
        <v>30</v>
      </c>
      <c r="N1119" t="s">
        <v>22</v>
      </c>
    </row>
    <row r="1120" spans="1:14" x14ac:dyDescent="0.3">
      <c r="A1120" t="s">
        <v>1181</v>
      </c>
      <c r="B1120" s="1">
        <v>45754</v>
      </c>
      <c r="C1120" t="s">
        <v>15</v>
      </c>
      <c r="D1120" t="s">
        <v>39</v>
      </c>
      <c r="E1120" t="s">
        <v>49</v>
      </c>
      <c r="F1120" t="s">
        <v>56</v>
      </c>
      <c r="G1120">
        <v>2</v>
      </c>
      <c r="H1120">
        <v>2405.42</v>
      </c>
      <c r="I1120">
        <v>0.25</v>
      </c>
      <c r="J1120">
        <v>3608.13</v>
      </c>
      <c r="K1120" t="s">
        <v>41</v>
      </c>
      <c r="L1120" t="s">
        <v>20</v>
      </c>
      <c r="M1120" t="s">
        <v>54</v>
      </c>
      <c r="N1120" t="s">
        <v>22</v>
      </c>
    </row>
    <row r="1121" spans="1:14" x14ac:dyDescent="0.3">
      <c r="A1121" t="s">
        <v>1182</v>
      </c>
      <c r="B1121" s="1">
        <v>45701</v>
      </c>
      <c r="C1121" t="s">
        <v>36</v>
      </c>
      <c r="D1121" t="s">
        <v>16</v>
      </c>
      <c r="E1121" t="s">
        <v>61</v>
      </c>
      <c r="F1121" t="s">
        <v>62</v>
      </c>
      <c r="G1121">
        <v>1</v>
      </c>
      <c r="H1121">
        <v>399.43</v>
      </c>
      <c r="I1121">
        <v>0.12</v>
      </c>
      <c r="J1121">
        <v>351.5</v>
      </c>
      <c r="K1121" t="s">
        <v>41</v>
      </c>
      <c r="L1121" t="s">
        <v>34</v>
      </c>
      <c r="M1121" t="s">
        <v>54</v>
      </c>
      <c r="N1121" t="s">
        <v>22</v>
      </c>
    </row>
    <row r="1122" spans="1:14" x14ac:dyDescent="0.3">
      <c r="A1122" t="s">
        <v>1183</v>
      </c>
      <c r="B1122" s="1">
        <v>45728</v>
      </c>
      <c r="C1122" t="s">
        <v>15</v>
      </c>
      <c r="D1122" t="s">
        <v>39</v>
      </c>
      <c r="E1122" t="s">
        <v>27</v>
      </c>
      <c r="F1122" t="s">
        <v>68</v>
      </c>
      <c r="G1122">
        <v>3</v>
      </c>
      <c r="H1122">
        <v>1492.52</v>
      </c>
      <c r="I1122">
        <v>0.23</v>
      </c>
      <c r="J1122">
        <v>3447.72</v>
      </c>
      <c r="K1122" t="s">
        <v>58</v>
      </c>
      <c r="L1122" t="s">
        <v>20</v>
      </c>
      <c r="M1122" t="s">
        <v>30</v>
      </c>
      <c r="N1122" t="s">
        <v>22</v>
      </c>
    </row>
    <row r="1123" spans="1:14" x14ac:dyDescent="0.3">
      <c r="A1123" t="s">
        <v>1184</v>
      </c>
      <c r="B1123" s="1">
        <v>45814</v>
      </c>
      <c r="C1123" t="s">
        <v>36</v>
      </c>
      <c r="D1123" t="s">
        <v>43</v>
      </c>
      <c r="E1123" t="s">
        <v>49</v>
      </c>
      <c r="F1123" t="s">
        <v>53</v>
      </c>
      <c r="G1123">
        <v>2</v>
      </c>
      <c r="H1123">
        <v>479.63</v>
      </c>
      <c r="I1123">
        <v>0.04</v>
      </c>
      <c r="J1123">
        <v>920.89</v>
      </c>
      <c r="K1123" t="s">
        <v>33</v>
      </c>
      <c r="L1123" t="s">
        <v>29</v>
      </c>
      <c r="M1123" t="s">
        <v>21</v>
      </c>
      <c r="N1123" t="s">
        <v>22</v>
      </c>
    </row>
    <row r="1124" spans="1:14" x14ac:dyDescent="0.3">
      <c r="A1124" t="s">
        <v>1185</v>
      </c>
      <c r="B1124" s="1">
        <v>45710</v>
      </c>
      <c r="C1124" t="s">
        <v>52</v>
      </c>
      <c r="D1124" t="s">
        <v>39</v>
      </c>
      <c r="E1124" t="s">
        <v>99</v>
      </c>
      <c r="F1124" t="s">
        <v>120</v>
      </c>
      <c r="G1124">
        <v>4</v>
      </c>
      <c r="H1124">
        <v>1717.78</v>
      </c>
      <c r="I1124">
        <v>0.19</v>
      </c>
      <c r="J1124">
        <v>5565.61</v>
      </c>
      <c r="K1124" t="s">
        <v>33</v>
      </c>
      <c r="L1124" t="s">
        <v>29</v>
      </c>
      <c r="M1124" t="s">
        <v>21</v>
      </c>
      <c r="N1124" t="s">
        <v>59</v>
      </c>
    </row>
    <row r="1125" spans="1:14" x14ac:dyDescent="0.3">
      <c r="A1125" t="s">
        <v>1186</v>
      </c>
      <c r="B1125" s="1">
        <v>45726</v>
      </c>
      <c r="C1125" t="s">
        <v>52</v>
      </c>
      <c r="D1125" t="s">
        <v>43</v>
      </c>
      <c r="E1125" t="s">
        <v>27</v>
      </c>
      <c r="F1125" t="s">
        <v>87</v>
      </c>
      <c r="G1125">
        <v>2</v>
      </c>
      <c r="H1125">
        <v>4946.53</v>
      </c>
      <c r="I1125">
        <v>0.02</v>
      </c>
      <c r="J1125">
        <v>9695.2000000000007</v>
      </c>
      <c r="K1125" t="s">
        <v>19</v>
      </c>
      <c r="L1125" t="s">
        <v>20</v>
      </c>
      <c r="M1125" t="s">
        <v>21</v>
      </c>
      <c r="N1125" t="s">
        <v>22</v>
      </c>
    </row>
    <row r="1126" spans="1:14" x14ac:dyDescent="0.3">
      <c r="A1126" t="s">
        <v>1187</v>
      </c>
      <c r="B1126" s="1">
        <v>45714</v>
      </c>
      <c r="C1126" t="s">
        <v>15</v>
      </c>
      <c r="D1126" t="s">
        <v>25</v>
      </c>
      <c r="E1126" t="s">
        <v>49</v>
      </c>
      <c r="F1126" t="s">
        <v>56</v>
      </c>
      <c r="G1126">
        <v>2</v>
      </c>
      <c r="H1126">
        <v>2607.36</v>
      </c>
      <c r="I1126">
        <v>0.11</v>
      </c>
      <c r="J1126">
        <v>4641.1000000000004</v>
      </c>
      <c r="K1126" t="s">
        <v>58</v>
      </c>
      <c r="L1126" t="s">
        <v>20</v>
      </c>
      <c r="M1126" t="s">
        <v>21</v>
      </c>
      <c r="N1126" t="s">
        <v>22</v>
      </c>
    </row>
    <row r="1127" spans="1:14" x14ac:dyDescent="0.3">
      <c r="A1127" t="s">
        <v>1188</v>
      </c>
      <c r="B1127" s="1">
        <v>45830</v>
      </c>
      <c r="C1127" t="s">
        <v>52</v>
      </c>
      <c r="D1127" t="s">
        <v>39</v>
      </c>
      <c r="E1127" t="s">
        <v>27</v>
      </c>
      <c r="F1127" t="s">
        <v>79</v>
      </c>
      <c r="G1127">
        <v>4</v>
      </c>
      <c r="H1127">
        <v>3892.21</v>
      </c>
      <c r="I1127">
        <v>0.18</v>
      </c>
      <c r="J1127">
        <v>12766.45</v>
      </c>
      <c r="K1127" t="s">
        <v>33</v>
      </c>
      <c r="L1127" t="s">
        <v>34</v>
      </c>
      <c r="M1127" t="s">
        <v>30</v>
      </c>
      <c r="N1127" t="s">
        <v>88</v>
      </c>
    </row>
    <row r="1128" spans="1:14" x14ac:dyDescent="0.3">
      <c r="A1128" t="s">
        <v>1189</v>
      </c>
      <c r="B1128" s="1">
        <v>45775</v>
      </c>
      <c r="C1128" t="s">
        <v>36</v>
      </c>
      <c r="D1128" t="s">
        <v>25</v>
      </c>
      <c r="E1128" t="s">
        <v>99</v>
      </c>
      <c r="F1128" t="s">
        <v>120</v>
      </c>
      <c r="G1128">
        <v>3</v>
      </c>
      <c r="H1128">
        <v>3585.6</v>
      </c>
      <c r="I1128">
        <v>0.21</v>
      </c>
      <c r="J1128">
        <v>8497.8700000000008</v>
      </c>
      <c r="K1128" t="s">
        <v>19</v>
      </c>
      <c r="L1128" t="s">
        <v>20</v>
      </c>
      <c r="M1128" t="s">
        <v>21</v>
      </c>
      <c r="N1128" t="s">
        <v>22</v>
      </c>
    </row>
    <row r="1129" spans="1:14" x14ac:dyDescent="0.3">
      <c r="A1129" t="s">
        <v>1190</v>
      </c>
      <c r="B1129" s="1">
        <v>45796</v>
      </c>
      <c r="C1129" t="s">
        <v>36</v>
      </c>
      <c r="D1129" t="s">
        <v>39</v>
      </c>
      <c r="E1129" t="s">
        <v>99</v>
      </c>
      <c r="F1129" t="s">
        <v>120</v>
      </c>
      <c r="G1129">
        <v>3</v>
      </c>
      <c r="H1129">
        <v>972.26</v>
      </c>
      <c r="I1129">
        <v>0.22</v>
      </c>
      <c r="J1129">
        <v>2275.09</v>
      </c>
      <c r="K1129" t="s">
        <v>41</v>
      </c>
      <c r="L1129" t="s">
        <v>29</v>
      </c>
      <c r="M1129" t="s">
        <v>30</v>
      </c>
      <c r="N1129" t="s">
        <v>22</v>
      </c>
    </row>
    <row r="1130" spans="1:14" x14ac:dyDescent="0.3">
      <c r="A1130" t="s">
        <v>1191</v>
      </c>
      <c r="B1130" s="1">
        <v>45830</v>
      </c>
      <c r="C1130" t="s">
        <v>48</v>
      </c>
      <c r="D1130" t="s">
        <v>16</v>
      </c>
      <c r="E1130" t="s">
        <v>61</v>
      </c>
      <c r="F1130" t="s">
        <v>75</v>
      </c>
      <c r="G1130">
        <v>1</v>
      </c>
      <c r="H1130">
        <v>1059.5999999999999</v>
      </c>
      <c r="I1130">
        <v>0.09</v>
      </c>
      <c r="J1130">
        <v>964.24</v>
      </c>
      <c r="K1130" t="s">
        <v>46</v>
      </c>
      <c r="L1130" t="s">
        <v>20</v>
      </c>
      <c r="M1130" t="s">
        <v>54</v>
      </c>
      <c r="N1130" t="s">
        <v>22</v>
      </c>
    </row>
    <row r="1131" spans="1:14" x14ac:dyDescent="0.3">
      <c r="A1131" t="s">
        <v>1192</v>
      </c>
      <c r="B1131" s="1">
        <v>45713</v>
      </c>
      <c r="C1131" t="s">
        <v>15</v>
      </c>
      <c r="D1131" t="s">
        <v>25</v>
      </c>
      <c r="E1131" t="s">
        <v>99</v>
      </c>
      <c r="F1131" t="s">
        <v>120</v>
      </c>
      <c r="G1131">
        <v>1</v>
      </c>
      <c r="H1131">
        <v>3073.19</v>
      </c>
      <c r="I1131">
        <v>0.01</v>
      </c>
      <c r="J1131">
        <v>3042.46</v>
      </c>
      <c r="K1131" t="s">
        <v>46</v>
      </c>
      <c r="L1131" t="s">
        <v>29</v>
      </c>
      <c r="M1131" t="s">
        <v>30</v>
      </c>
      <c r="N1131" t="s">
        <v>22</v>
      </c>
    </row>
    <row r="1132" spans="1:14" x14ac:dyDescent="0.3">
      <c r="A1132" t="s">
        <v>1193</v>
      </c>
      <c r="B1132" s="1">
        <v>45767</v>
      </c>
      <c r="C1132" t="s">
        <v>24</v>
      </c>
      <c r="D1132" t="s">
        <v>43</v>
      </c>
      <c r="E1132" t="s">
        <v>99</v>
      </c>
      <c r="F1132" t="s">
        <v>111</v>
      </c>
      <c r="G1132">
        <v>4</v>
      </c>
      <c r="H1132">
        <v>4986.43</v>
      </c>
      <c r="I1132">
        <v>0.16</v>
      </c>
      <c r="J1132">
        <v>16754.400000000001</v>
      </c>
      <c r="K1132" t="s">
        <v>33</v>
      </c>
      <c r="L1132" t="s">
        <v>20</v>
      </c>
      <c r="M1132" t="s">
        <v>30</v>
      </c>
      <c r="N1132" t="s">
        <v>22</v>
      </c>
    </row>
    <row r="1133" spans="1:14" x14ac:dyDescent="0.3">
      <c r="A1133" t="s">
        <v>1194</v>
      </c>
      <c r="B1133" s="1">
        <v>45661</v>
      </c>
      <c r="C1133" t="s">
        <v>24</v>
      </c>
      <c r="D1133" t="s">
        <v>43</v>
      </c>
      <c r="E1133" t="s">
        <v>27</v>
      </c>
      <c r="F1133" t="s">
        <v>79</v>
      </c>
      <c r="G1133">
        <v>5</v>
      </c>
      <c r="H1133">
        <v>4481.8999999999996</v>
      </c>
      <c r="I1133">
        <v>0.04</v>
      </c>
      <c r="J1133">
        <v>21513.119999999999</v>
      </c>
      <c r="K1133" t="s">
        <v>46</v>
      </c>
      <c r="L1133" t="s">
        <v>20</v>
      </c>
      <c r="M1133" t="s">
        <v>21</v>
      </c>
      <c r="N1133" t="s">
        <v>37</v>
      </c>
    </row>
    <row r="1134" spans="1:14" x14ac:dyDescent="0.3">
      <c r="A1134" t="s">
        <v>1195</v>
      </c>
      <c r="B1134" s="1">
        <v>45760</v>
      </c>
      <c r="C1134" t="s">
        <v>48</v>
      </c>
      <c r="D1134" t="s">
        <v>39</v>
      </c>
      <c r="E1134" t="s">
        <v>61</v>
      </c>
      <c r="F1134" t="s">
        <v>62</v>
      </c>
      <c r="G1134">
        <v>4</v>
      </c>
      <c r="H1134">
        <v>3223.64</v>
      </c>
      <c r="I1134">
        <v>0.02</v>
      </c>
      <c r="J1134">
        <v>12636.67</v>
      </c>
      <c r="K1134" t="s">
        <v>58</v>
      </c>
      <c r="L1134" t="s">
        <v>20</v>
      </c>
      <c r="M1134" t="s">
        <v>54</v>
      </c>
      <c r="N1134" t="s">
        <v>59</v>
      </c>
    </row>
    <row r="1135" spans="1:14" x14ac:dyDescent="0.3">
      <c r="A1135" t="s">
        <v>1196</v>
      </c>
      <c r="B1135" s="1">
        <v>45697</v>
      </c>
      <c r="C1135" t="s">
        <v>15</v>
      </c>
      <c r="D1135" t="s">
        <v>16</v>
      </c>
      <c r="E1135" t="s">
        <v>61</v>
      </c>
      <c r="F1135" t="s">
        <v>62</v>
      </c>
      <c r="G1135">
        <v>2</v>
      </c>
      <c r="H1135">
        <v>4538.05</v>
      </c>
      <c r="I1135">
        <v>0.15</v>
      </c>
      <c r="J1135">
        <v>7714.69</v>
      </c>
      <c r="K1135" t="s">
        <v>46</v>
      </c>
      <c r="L1135" t="s">
        <v>29</v>
      </c>
      <c r="M1135" t="s">
        <v>30</v>
      </c>
      <c r="N1135" t="s">
        <v>37</v>
      </c>
    </row>
    <row r="1136" spans="1:14" x14ac:dyDescent="0.3">
      <c r="A1136" t="s">
        <v>1197</v>
      </c>
      <c r="B1136" s="1">
        <v>45676</v>
      </c>
      <c r="C1136" t="s">
        <v>24</v>
      </c>
      <c r="D1136" t="s">
        <v>25</v>
      </c>
      <c r="E1136" t="s">
        <v>49</v>
      </c>
      <c r="F1136" t="s">
        <v>50</v>
      </c>
      <c r="G1136">
        <v>5</v>
      </c>
      <c r="H1136">
        <v>822.82</v>
      </c>
      <c r="I1136">
        <v>7.0000000000000007E-2</v>
      </c>
      <c r="J1136">
        <v>3826.11</v>
      </c>
      <c r="K1136" t="s">
        <v>58</v>
      </c>
      <c r="L1136" t="s">
        <v>20</v>
      </c>
      <c r="M1136" t="s">
        <v>54</v>
      </c>
      <c r="N1136" t="s">
        <v>22</v>
      </c>
    </row>
    <row r="1137" spans="1:14" x14ac:dyDescent="0.3">
      <c r="A1137" t="s">
        <v>1198</v>
      </c>
      <c r="B1137" s="1">
        <v>45706</v>
      </c>
      <c r="C1137" t="s">
        <v>36</v>
      </c>
      <c r="D1137" t="s">
        <v>39</v>
      </c>
      <c r="E1137" t="s">
        <v>27</v>
      </c>
      <c r="F1137" t="s">
        <v>68</v>
      </c>
      <c r="G1137">
        <v>1</v>
      </c>
      <c r="H1137">
        <v>1624.71</v>
      </c>
      <c r="I1137">
        <v>0.14000000000000001</v>
      </c>
      <c r="J1137">
        <v>1397.25</v>
      </c>
      <c r="K1137" t="s">
        <v>41</v>
      </c>
      <c r="L1137" t="s">
        <v>20</v>
      </c>
      <c r="M1137" t="s">
        <v>54</v>
      </c>
      <c r="N1137" t="s">
        <v>22</v>
      </c>
    </row>
    <row r="1138" spans="1:14" x14ac:dyDescent="0.3">
      <c r="A1138" t="s">
        <v>1199</v>
      </c>
      <c r="B1138" s="1">
        <v>45799</v>
      </c>
      <c r="C1138" t="s">
        <v>24</v>
      </c>
      <c r="D1138" t="s">
        <v>16</v>
      </c>
      <c r="E1138" t="s">
        <v>17</v>
      </c>
      <c r="F1138" t="s">
        <v>40</v>
      </c>
      <c r="G1138">
        <v>2</v>
      </c>
      <c r="H1138">
        <v>3674.8</v>
      </c>
      <c r="I1138">
        <v>0.05</v>
      </c>
      <c r="J1138">
        <v>6982.12</v>
      </c>
      <c r="K1138" t="s">
        <v>58</v>
      </c>
      <c r="L1138" t="s">
        <v>20</v>
      </c>
      <c r="M1138" t="s">
        <v>21</v>
      </c>
      <c r="N1138" t="s">
        <v>88</v>
      </c>
    </row>
    <row r="1139" spans="1:14" x14ac:dyDescent="0.3">
      <c r="A1139" t="s">
        <v>1200</v>
      </c>
      <c r="B1139" s="1">
        <v>45738</v>
      </c>
      <c r="C1139" t="s">
        <v>15</v>
      </c>
      <c r="D1139" t="s">
        <v>43</v>
      </c>
      <c r="E1139" t="s">
        <v>17</v>
      </c>
      <c r="F1139" t="s">
        <v>44</v>
      </c>
      <c r="G1139">
        <v>2</v>
      </c>
      <c r="H1139">
        <v>1608.13</v>
      </c>
      <c r="I1139">
        <v>0.17</v>
      </c>
      <c r="J1139">
        <v>2669.5</v>
      </c>
      <c r="K1139" t="s">
        <v>41</v>
      </c>
      <c r="L1139" t="s">
        <v>20</v>
      </c>
      <c r="M1139" t="s">
        <v>54</v>
      </c>
      <c r="N1139" t="s">
        <v>22</v>
      </c>
    </row>
    <row r="1140" spans="1:14" x14ac:dyDescent="0.3">
      <c r="A1140" t="s">
        <v>1201</v>
      </c>
      <c r="B1140" s="1">
        <v>45754</v>
      </c>
      <c r="C1140" t="s">
        <v>52</v>
      </c>
      <c r="D1140" t="s">
        <v>39</v>
      </c>
      <c r="E1140" t="s">
        <v>49</v>
      </c>
      <c r="F1140" t="s">
        <v>53</v>
      </c>
      <c r="G1140">
        <v>5</v>
      </c>
      <c r="H1140">
        <v>1646.15</v>
      </c>
      <c r="I1140">
        <v>0.06</v>
      </c>
      <c r="J1140">
        <v>7736.9</v>
      </c>
      <c r="K1140" t="s">
        <v>46</v>
      </c>
      <c r="L1140" t="s">
        <v>20</v>
      </c>
      <c r="M1140" t="s">
        <v>54</v>
      </c>
      <c r="N1140" t="s">
        <v>37</v>
      </c>
    </row>
    <row r="1141" spans="1:14" x14ac:dyDescent="0.3">
      <c r="A1141" t="s">
        <v>1202</v>
      </c>
      <c r="B1141" s="1">
        <v>45767</v>
      </c>
      <c r="C1141" t="s">
        <v>15</v>
      </c>
      <c r="D1141" t="s">
        <v>25</v>
      </c>
      <c r="E1141" t="s">
        <v>61</v>
      </c>
      <c r="F1141" t="s">
        <v>66</v>
      </c>
      <c r="G1141">
        <v>1</v>
      </c>
      <c r="H1141">
        <v>2500.44</v>
      </c>
      <c r="I1141">
        <v>0.14000000000000001</v>
      </c>
      <c r="J1141">
        <v>2150.38</v>
      </c>
      <c r="K1141" t="s">
        <v>41</v>
      </c>
      <c r="L1141" t="s">
        <v>34</v>
      </c>
      <c r="M1141" t="s">
        <v>30</v>
      </c>
      <c r="N1141" t="s">
        <v>88</v>
      </c>
    </row>
    <row r="1142" spans="1:14" x14ac:dyDescent="0.3">
      <c r="A1142" t="s">
        <v>1203</v>
      </c>
      <c r="B1142" s="1">
        <v>45807</v>
      </c>
      <c r="C1142" t="s">
        <v>36</v>
      </c>
      <c r="D1142" t="s">
        <v>39</v>
      </c>
      <c r="E1142" t="s">
        <v>61</v>
      </c>
      <c r="F1142" t="s">
        <v>62</v>
      </c>
      <c r="G1142">
        <v>5</v>
      </c>
      <c r="H1142">
        <v>2886.69</v>
      </c>
      <c r="I1142">
        <v>0.25</v>
      </c>
      <c r="J1142">
        <v>10825.09</v>
      </c>
      <c r="K1142" t="s">
        <v>41</v>
      </c>
      <c r="L1142" t="s">
        <v>20</v>
      </c>
      <c r="M1142" t="s">
        <v>30</v>
      </c>
      <c r="N1142" t="s">
        <v>22</v>
      </c>
    </row>
    <row r="1143" spans="1:14" x14ac:dyDescent="0.3">
      <c r="A1143" t="s">
        <v>1204</v>
      </c>
      <c r="B1143" s="1">
        <v>45706</v>
      </c>
      <c r="C1143" t="s">
        <v>15</v>
      </c>
      <c r="D1143" t="s">
        <v>43</v>
      </c>
      <c r="E1143" t="s">
        <v>99</v>
      </c>
      <c r="F1143" t="s">
        <v>100</v>
      </c>
      <c r="G1143">
        <v>3</v>
      </c>
      <c r="H1143">
        <v>544.71</v>
      </c>
      <c r="I1143">
        <v>0.19</v>
      </c>
      <c r="J1143">
        <v>1323.65</v>
      </c>
      <c r="K1143" t="s">
        <v>33</v>
      </c>
      <c r="L1143" t="s">
        <v>29</v>
      </c>
      <c r="M1143" t="s">
        <v>30</v>
      </c>
      <c r="N1143" t="s">
        <v>22</v>
      </c>
    </row>
    <row r="1144" spans="1:14" x14ac:dyDescent="0.3">
      <c r="A1144" t="s">
        <v>1205</v>
      </c>
      <c r="B1144" s="1">
        <v>45794</v>
      </c>
      <c r="C1144" t="s">
        <v>36</v>
      </c>
      <c r="D1144" t="s">
        <v>25</v>
      </c>
      <c r="E1144" t="s">
        <v>17</v>
      </c>
      <c r="F1144" t="s">
        <v>18</v>
      </c>
      <c r="G1144">
        <v>2</v>
      </c>
      <c r="H1144">
        <v>2389.5100000000002</v>
      </c>
      <c r="I1144">
        <v>0.08</v>
      </c>
      <c r="J1144">
        <v>4396.7</v>
      </c>
      <c r="K1144" t="s">
        <v>19</v>
      </c>
      <c r="L1144" t="s">
        <v>34</v>
      </c>
      <c r="M1144" t="s">
        <v>21</v>
      </c>
      <c r="N1144" t="s">
        <v>22</v>
      </c>
    </row>
    <row r="1145" spans="1:14" x14ac:dyDescent="0.3">
      <c r="A1145" t="s">
        <v>1206</v>
      </c>
      <c r="B1145" s="1">
        <v>45752</v>
      </c>
      <c r="C1145" t="s">
        <v>24</v>
      </c>
      <c r="D1145" t="s">
        <v>16</v>
      </c>
      <c r="E1145" t="s">
        <v>17</v>
      </c>
      <c r="F1145" t="s">
        <v>32</v>
      </c>
      <c r="G1145">
        <v>2</v>
      </c>
      <c r="H1145">
        <v>2164.9</v>
      </c>
      <c r="I1145">
        <v>0.08</v>
      </c>
      <c r="J1145">
        <v>3983.42</v>
      </c>
      <c r="K1145" t="s">
        <v>46</v>
      </c>
      <c r="L1145" t="s">
        <v>20</v>
      </c>
      <c r="M1145" t="s">
        <v>21</v>
      </c>
      <c r="N1145" t="s">
        <v>22</v>
      </c>
    </row>
    <row r="1146" spans="1:14" x14ac:dyDescent="0.3">
      <c r="A1146" t="s">
        <v>1207</v>
      </c>
      <c r="B1146" s="1">
        <v>45785</v>
      </c>
      <c r="C1146" t="s">
        <v>52</v>
      </c>
      <c r="D1146" t="s">
        <v>25</v>
      </c>
      <c r="E1146" t="s">
        <v>99</v>
      </c>
      <c r="F1146" t="s">
        <v>111</v>
      </c>
      <c r="G1146">
        <v>2</v>
      </c>
      <c r="H1146">
        <v>3785.02</v>
      </c>
      <c r="I1146">
        <v>0.11</v>
      </c>
      <c r="J1146">
        <v>6737.34</v>
      </c>
      <c r="K1146" t="s">
        <v>41</v>
      </c>
      <c r="L1146" t="s">
        <v>29</v>
      </c>
      <c r="M1146" t="s">
        <v>21</v>
      </c>
      <c r="N1146" t="s">
        <v>22</v>
      </c>
    </row>
    <row r="1147" spans="1:14" x14ac:dyDescent="0.3">
      <c r="A1147" t="s">
        <v>1208</v>
      </c>
      <c r="B1147" s="1">
        <v>45798</v>
      </c>
      <c r="C1147" t="s">
        <v>48</v>
      </c>
      <c r="D1147" t="s">
        <v>39</v>
      </c>
      <c r="E1147" t="s">
        <v>49</v>
      </c>
      <c r="F1147" t="s">
        <v>50</v>
      </c>
      <c r="G1147">
        <v>3</v>
      </c>
      <c r="H1147">
        <v>3044.62</v>
      </c>
      <c r="I1147">
        <v>0.12</v>
      </c>
      <c r="J1147">
        <v>8037.8</v>
      </c>
      <c r="K1147" t="s">
        <v>19</v>
      </c>
      <c r="L1147" t="s">
        <v>34</v>
      </c>
      <c r="M1147" t="s">
        <v>30</v>
      </c>
      <c r="N1147" t="s">
        <v>22</v>
      </c>
    </row>
    <row r="1148" spans="1:14" x14ac:dyDescent="0.3">
      <c r="A1148" t="s">
        <v>1209</v>
      </c>
      <c r="B1148" s="1">
        <v>45755</v>
      </c>
      <c r="C1148" t="s">
        <v>48</v>
      </c>
      <c r="D1148" t="s">
        <v>43</v>
      </c>
      <c r="E1148" t="s">
        <v>61</v>
      </c>
      <c r="F1148" t="s">
        <v>62</v>
      </c>
      <c r="G1148">
        <v>5</v>
      </c>
      <c r="H1148">
        <v>2063.6799999999998</v>
      </c>
      <c r="I1148">
        <v>0.01</v>
      </c>
      <c r="J1148">
        <v>10215.219999999999</v>
      </c>
      <c r="K1148" t="s">
        <v>41</v>
      </c>
      <c r="L1148" t="s">
        <v>34</v>
      </c>
      <c r="M1148" t="s">
        <v>21</v>
      </c>
      <c r="N1148" t="s">
        <v>37</v>
      </c>
    </row>
    <row r="1149" spans="1:14" x14ac:dyDescent="0.3">
      <c r="A1149" t="s">
        <v>1210</v>
      </c>
      <c r="B1149" s="1">
        <v>45747</v>
      </c>
      <c r="C1149" t="s">
        <v>36</v>
      </c>
      <c r="D1149" t="s">
        <v>39</v>
      </c>
      <c r="E1149" t="s">
        <v>27</v>
      </c>
      <c r="F1149" t="s">
        <v>68</v>
      </c>
      <c r="G1149">
        <v>3</v>
      </c>
      <c r="H1149">
        <v>3963.99</v>
      </c>
      <c r="I1149">
        <v>0.01</v>
      </c>
      <c r="J1149">
        <v>11773.05</v>
      </c>
      <c r="K1149" t="s">
        <v>19</v>
      </c>
      <c r="L1149" t="s">
        <v>20</v>
      </c>
      <c r="M1149" t="s">
        <v>54</v>
      </c>
      <c r="N1149" t="s">
        <v>88</v>
      </c>
    </row>
    <row r="1150" spans="1:14" x14ac:dyDescent="0.3">
      <c r="A1150" t="s">
        <v>1211</v>
      </c>
      <c r="B1150" s="1">
        <v>45813</v>
      </c>
      <c r="C1150" t="s">
        <v>48</v>
      </c>
      <c r="D1150" t="s">
        <v>39</v>
      </c>
      <c r="E1150" t="s">
        <v>61</v>
      </c>
      <c r="F1150" t="s">
        <v>66</v>
      </c>
      <c r="G1150">
        <v>4</v>
      </c>
      <c r="H1150">
        <v>104.13</v>
      </c>
      <c r="I1150">
        <v>0.04</v>
      </c>
      <c r="J1150">
        <v>399.86</v>
      </c>
      <c r="K1150" t="s">
        <v>41</v>
      </c>
      <c r="L1150" t="s">
        <v>20</v>
      </c>
      <c r="M1150" t="s">
        <v>54</v>
      </c>
      <c r="N1150" t="s">
        <v>22</v>
      </c>
    </row>
    <row r="1151" spans="1:14" x14ac:dyDescent="0.3">
      <c r="A1151" t="s">
        <v>1212</v>
      </c>
      <c r="B1151" s="1">
        <v>45663</v>
      </c>
      <c r="C1151" t="s">
        <v>52</v>
      </c>
      <c r="D1151" t="s">
        <v>16</v>
      </c>
      <c r="E1151" t="s">
        <v>61</v>
      </c>
      <c r="F1151" t="s">
        <v>75</v>
      </c>
      <c r="G1151">
        <v>2</v>
      </c>
      <c r="H1151">
        <v>855.28</v>
      </c>
      <c r="I1151">
        <v>0.14000000000000001</v>
      </c>
      <c r="J1151">
        <v>1471.08</v>
      </c>
      <c r="K1151" t="s">
        <v>41</v>
      </c>
      <c r="L1151" t="s">
        <v>20</v>
      </c>
      <c r="M1151" t="s">
        <v>30</v>
      </c>
      <c r="N1151" t="s">
        <v>22</v>
      </c>
    </row>
    <row r="1152" spans="1:14" x14ac:dyDescent="0.3">
      <c r="A1152" t="s">
        <v>1213</v>
      </c>
      <c r="B1152" s="1">
        <v>45678</v>
      </c>
      <c r="C1152" t="s">
        <v>48</v>
      </c>
      <c r="D1152" t="s">
        <v>25</v>
      </c>
      <c r="E1152" t="s">
        <v>99</v>
      </c>
      <c r="F1152" t="s">
        <v>120</v>
      </c>
      <c r="G1152">
        <v>4</v>
      </c>
      <c r="H1152">
        <v>3524.02</v>
      </c>
      <c r="I1152">
        <v>0.23</v>
      </c>
      <c r="J1152">
        <v>10853.98</v>
      </c>
      <c r="K1152" t="s">
        <v>33</v>
      </c>
      <c r="L1152" t="s">
        <v>29</v>
      </c>
      <c r="M1152" t="s">
        <v>21</v>
      </c>
      <c r="N1152" t="s">
        <v>88</v>
      </c>
    </row>
    <row r="1153" spans="1:14" x14ac:dyDescent="0.3">
      <c r="A1153" t="s">
        <v>1214</v>
      </c>
      <c r="B1153" s="1">
        <v>45717</v>
      </c>
      <c r="C1153" t="s">
        <v>48</v>
      </c>
      <c r="D1153" t="s">
        <v>25</v>
      </c>
      <c r="E1153" t="s">
        <v>61</v>
      </c>
      <c r="F1153" t="s">
        <v>62</v>
      </c>
      <c r="G1153">
        <v>2</v>
      </c>
      <c r="H1153">
        <v>2059.4299999999998</v>
      </c>
      <c r="I1153">
        <v>0.08</v>
      </c>
      <c r="J1153">
        <v>3789.35</v>
      </c>
      <c r="K1153" t="s">
        <v>19</v>
      </c>
      <c r="L1153" t="s">
        <v>34</v>
      </c>
      <c r="M1153" t="s">
        <v>30</v>
      </c>
      <c r="N1153" t="s">
        <v>22</v>
      </c>
    </row>
    <row r="1154" spans="1:14" x14ac:dyDescent="0.3">
      <c r="A1154" t="s">
        <v>1215</v>
      </c>
      <c r="B1154" s="1">
        <v>45703</v>
      </c>
      <c r="C1154" t="s">
        <v>15</v>
      </c>
      <c r="D1154" t="s">
        <v>43</v>
      </c>
      <c r="E1154" t="s">
        <v>27</v>
      </c>
      <c r="F1154" t="s">
        <v>79</v>
      </c>
      <c r="G1154">
        <v>5</v>
      </c>
      <c r="H1154">
        <v>231.79</v>
      </c>
      <c r="I1154">
        <v>0.22</v>
      </c>
      <c r="J1154">
        <v>903.98</v>
      </c>
      <c r="K1154" t="s">
        <v>41</v>
      </c>
      <c r="L1154" t="s">
        <v>29</v>
      </c>
      <c r="M1154" t="s">
        <v>54</v>
      </c>
      <c r="N1154" t="s">
        <v>22</v>
      </c>
    </row>
    <row r="1155" spans="1:14" x14ac:dyDescent="0.3">
      <c r="A1155" t="s">
        <v>1216</v>
      </c>
      <c r="B1155" s="1">
        <v>45738</v>
      </c>
      <c r="C1155" t="s">
        <v>36</v>
      </c>
      <c r="D1155" t="s">
        <v>16</v>
      </c>
      <c r="E1155" t="s">
        <v>99</v>
      </c>
      <c r="F1155" t="s">
        <v>120</v>
      </c>
      <c r="G1155">
        <v>1</v>
      </c>
      <c r="H1155">
        <v>3263.33</v>
      </c>
      <c r="I1155">
        <v>0.03</v>
      </c>
      <c r="J1155">
        <v>3165.43</v>
      </c>
      <c r="K1155" t="s">
        <v>33</v>
      </c>
      <c r="L1155" t="s">
        <v>34</v>
      </c>
      <c r="M1155" t="s">
        <v>54</v>
      </c>
      <c r="N1155" t="s">
        <v>22</v>
      </c>
    </row>
    <row r="1156" spans="1:14" x14ac:dyDescent="0.3">
      <c r="A1156" t="s">
        <v>1217</v>
      </c>
      <c r="B1156" s="1">
        <v>45794</v>
      </c>
      <c r="C1156" t="s">
        <v>15</v>
      </c>
      <c r="D1156" t="s">
        <v>25</v>
      </c>
      <c r="E1156" t="s">
        <v>49</v>
      </c>
      <c r="F1156" t="s">
        <v>56</v>
      </c>
      <c r="G1156">
        <v>2</v>
      </c>
      <c r="H1156">
        <v>2185.9899999999998</v>
      </c>
      <c r="I1156">
        <v>7.0000000000000007E-2</v>
      </c>
      <c r="J1156">
        <v>4065.94</v>
      </c>
      <c r="K1156" t="s">
        <v>41</v>
      </c>
      <c r="L1156" t="s">
        <v>29</v>
      </c>
      <c r="M1156" t="s">
        <v>30</v>
      </c>
      <c r="N1156" t="s">
        <v>22</v>
      </c>
    </row>
    <row r="1157" spans="1:14" x14ac:dyDescent="0.3">
      <c r="A1157" t="s">
        <v>1218</v>
      </c>
      <c r="B1157" s="1">
        <v>45707</v>
      </c>
      <c r="C1157" t="s">
        <v>52</v>
      </c>
      <c r="D1157" t="s">
        <v>39</v>
      </c>
      <c r="E1157" t="s">
        <v>49</v>
      </c>
      <c r="F1157" t="s">
        <v>73</v>
      </c>
      <c r="G1157">
        <v>5</v>
      </c>
      <c r="H1157">
        <v>4187.74</v>
      </c>
      <c r="I1157">
        <v>0.12</v>
      </c>
      <c r="J1157">
        <v>18426.060000000001</v>
      </c>
      <c r="K1157" t="s">
        <v>41</v>
      </c>
      <c r="L1157" t="s">
        <v>29</v>
      </c>
      <c r="M1157" t="s">
        <v>54</v>
      </c>
      <c r="N1157" t="s">
        <v>22</v>
      </c>
    </row>
    <row r="1158" spans="1:14" x14ac:dyDescent="0.3">
      <c r="A1158" t="s">
        <v>1219</v>
      </c>
      <c r="B1158" s="1">
        <v>45719</v>
      </c>
      <c r="C1158" t="s">
        <v>24</v>
      </c>
      <c r="D1158" t="s">
        <v>16</v>
      </c>
      <c r="E1158" t="s">
        <v>17</v>
      </c>
      <c r="F1158" t="s">
        <v>40</v>
      </c>
      <c r="G1158">
        <v>2</v>
      </c>
      <c r="H1158">
        <v>2915.94</v>
      </c>
      <c r="I1158">
        <v>0.1</v>
      </c>
      <c r="J1158">
        <v>5248.69</v>
      </c>
      <c r="K1158" t="s">
        <v>19</v>
      </c>
      <c r="L1158" t="s">
        <v>34</v>
      </c>
      <c r="M1158" t="s">
        <v>30</v>
      </c>
      <c r="N1158" t="s">
        <v>22</v>
      </c>
    </row>
    <row r="1159" spans="1:14" x14ac:dyDescent="0.3">
      <c r="A1159" t="s">
        <v>1220</v>
      </c>
      <c r="B1159" s="1">
        <v>45788</v>
      </c>
      <c r="C1159" t="s">
        <v>24</v>
      </c>
      <c r="D1159" t="s">
        <v>39</v>
      </c>
      <c r="E1159" t="s">
        <v>49</v>
      </c>
      <c r="F1159" t="s">
        <v>50</v>
      </c>
      <c r="G1159">
        <v>3</v>
      </c>
      <c r="H1159">
        <v>3736.12</v>
      </c>
      <c r="I1159">
        <v>0.03</v>
      </c>
      <c r="J1159">
        <v>10872.11</v>
      </c>
      <c r="K1159" t="s">
        <v>46</v>
      </c>
      <c r="L1159" t="s">
        <v>34</v>
      </c>
      <c r="M1159" t="s">
        <v>30</v>
      </c>
      <c r="N1159" t="s">
        <v>88</v>
      </c>
    </row>
    <row r="1160" spans="1:14" x14ac:dyDescent="0.3">
      <c r="A1160" t="s">
        <v>1221</v>
      </c>
      <c r="B1160" s="1">
        <v>45772</v>
      </c>
      <c r="C1160" t="s">
        <v>24</v>
      </c>
      <c r="D1160" t="s">
        <v>43</v>
      </c>
      <c r="E1160" t="s">
        <v>99</v>
      </c>
      <c r="F1160" t="s">
        <v>111</v>
      </c>
      <c r="G1160">
        <v>5</v>
      </c>
      <c r="H1160">
        <v>3822.09</v>
      </c>
      <c r="I1160">
        <v>0.22</v>
      </c>
      <c r="J1160">
        <v>14906.15</v>
      </c>
      <c r="K1160" t="s">
        <v>19</v>
      </c>
      <c r="L1160" t="s">
        <v>34</v>
      </c>
      <c r="M1160" t="s">
        <v>54</v>
      </c>
      <c r="N1160" t="s">
        <v>22</v>
      </c>
    </row>
    <row r="1161" spans="1:14" x14ac:dyDescent="0.3">
      <c r="A1161" t="s">
        <v>1222</v>
      </c>
      <c r="B1161" s="1">
        <v>45731</v>
      </c>
      <c r="C1161" t="s">
        <v>52</v>
      </c>
      <c r="D1161" t="s">
        <v>16</v>
      </c>
      <c r="E1161" t="s">
        <v>27</v>
      </c>
      <c r="F1161" t="s">
        <v>28</v>
      </c>
      <c r="G1161">
        <v>4</v>
      </c>
      <c r="H1161">
        <v>2230.9499999999998</v>
      </c>
      <c r="I1161">
        <v>0.12</v>
      </c>
      <c r="J1161">
        <v>7852.94</v>
      </c>
      <c r="K1161" t="s">
        <v>33</v>
      </c>
      <c r="L1161" t="s">
        <v>29</v>
      </c>
      <c r="M1161" t="s">
        <v>54</v>
      </c>
      <c r="N1161" t="s">
        <v>37</v>
      </c>
    </row>
    <row r="1162" spans="1:14" x14ac:dyDescent="0.3">
      <c r="A1162" t="s">
        <v>1223</v>
      </c>
      <c r="B1162" s="1">
        <v>45751</v>
      </c>
      <c r="C1162" t="s">
        <v>24</v>
      </c>
      <c r="D1162" t="s">
        <v>16</v>
      </c>
      <c r="E1162" t="s">
        <v>49</v>
      </c>
      <c r="F1162" t="s">
        <v>53</v>
      </c>
      <c r="G1162">
        <v>3</v>
      </c>
      <c r="H1162">
        <v>1336.4</v>
      </c>
      <c r="I1162">
        <v>0.08</v>
      </c>
      <c r="J1162">
        <v>3688.46</v>
      </c>
      <c r="K1162" t="s">
        <v>33</v>
      </c>
      <c r="L1162" t="s">
        <v>29</v>
      </c>
      <c r="M1162" t="s">
        <v>30</v>
      </c>
      <c r="N1162" t="s">
        <v>22</v>
      </c>
    </row>
    <row r="1163" spans="1:14" x14ac:dyDescent="0.3">
      <c r="A1163" t="s">
        <v>1224</v>
      </c>
      <c r="B1163" s="1">
        <v>45767</v>
      </c>
      <c r="C1163" t="s">
        <v>15</v>
      </c>
      <c r="D1163" t="s">
        <v>16</v>
      </c>
      <c r="E1163" t="s">
        <v>61</v>
      </c>
      <c r="F1163" t="s">
        <v>66</v>
      </c>
      <c r="G1163">
        <v>4</v>
      </c>
      <c r="H1163">
        <v>1690.7</v>
      </c>
      <c r="I1163">
        <v>0.16</v>
      </c>
      <c r="J1163">
        <v>5680.75</v>
      </c>
      <c r="K1163" t="s">
        <v>41</v>
      </c>
      <c r="L1163" t="s">
        <v>20</v>
      </c>
      <c r="M1163" t="s">
        <v>21</v>
      </c>
      <c r="N1163" t="s">
        <v>22</v>
      </c>
    </row>
    <row r="1164" spans="1:14" x14ac:dyDescent="0.3">
      <c r="A1164" t="s">
        <v>1225</v>
      </c>
      <c r="B1164" s="1">
        <v>45763</v>
      </c>
      <c r="C1164" t="s">
        <v>52</v>
      </c>
      <c r="D1164" t="s">
        <v>25</v>
      </c>
      <c r="E1164" t="s">
        <v>17</v>
      </c>
      <c r="F1164" t="s">
        <v>40</v>
      </c>
      <c r="G1164">
        <v>5</v>
      </c>
      <c r="H1164">
        <v>563.41</v>
      </c>
      <c r="I1164">
        <v>0.18</v>
      </c>
      <c r="J1164">
        <v>2309.98</v>
      </c>
      <c r="K1164" t="s">
        <v>19</v>
      </c>
      <c r="L1164" t="s">
        <v>20</v>
      </c>
      <c r="M1164" t="s">
        <v>21</v>
      </c>
      <c r="N1164" t="s">
        <v>22</v>
      </c>
    </row>
    <row r="1165" spans="1:14" x14ac:dyDescent="0.3">
      <c r="A1165" t="s">
        <v>1226</v>
      </c>
      <c r="B1165" s="1">
        <v>45726</v>
      </c>
      <c r="C1165" t="s">
        <v>48</v>
      </c>
      <c r="D1165" t="s">
        <v>39</v>
      </c>
      <c r="E1165" t="s">
        <v>99</v>
      </c>
      <c r="F1165" t="s">
        <v>111</v>
      </c>
      <c r="G1165">
        <v>5</v>
      </c>
      <c r="H1165">
        <v>2888.43</v>
      </c>
      <c r="I1165">
        <v>0.01</v>
      </c>
      <c r="J1165">
        <v>14297.73</v>
      </c>
      <c r="K1165" t="s">
        <v>33</v>
      </c>
      <c r="L1165" t="s">
        <v>20</v>
      </c>
      <c r="M1165" t="s">
        <v>30</v>
      </c>
      <c r="N1165" t="s">
        <v>22</v>
      </c>
    </row>
    <row r="1166" spans="1:14" x14ac:dyDescent="0.3">
      <c r="A1166" t="s">
        <v>1227</v>
      </c>
      <c r="B1166" s="1">
        <v>45742</v>
      </c>
      <c r="C1166" t="s">
        <v>48</v>
      </c>
      <c r="D1166" t="s">
        <v>25</v>
      </c>
      <c r="E1166" t="s">
        <v>27</v>
      </c>
      <c r="F1166" t="s">
        <v>79</v>
      </c>
      <c r="G1166">
        <v>1</v>
      </c>
      <c r="H1166">
        <v>1755.09</v>
      </c>
      <c r="I1166">
        <v>0.16</v>
      </c>
      <c r="J1166">
        <v>1474.28</v>
      </c>
      <c r="K1166" t="s">
        <v>33</v>
      </c>
      <c r="L1166" t="s">
        <v>29</v>
      </c>
      <c r="M1166" t="s">
        <v>30</v>
      </c>
      <c r="N1166" t="s">
        <v>22</v>
      </c>
    </row>
    <row r="1167" spans="1:14" x14ac:dyDescent="0.3">
      <c r="A1167" t="s">
        <v>1228</v>
      </c>
      <c r="B1167" s="1">
        <v>45804</v>
      </c>
      <c r="C1167" t="s">
        <v>24</v>
      </c>
      <c r="D1167" t="s">
        <v>43</v>
      </c>
      <c r="E1167" t="s">
        <v>61</v>
      </c>
      <c r="F1167" t="s">
        <v>66</v>
      </c>
      <c r="G1167">
        <v>2</v>
      </c>
      <c r="H1167">
        <v>2897.39</v>
      </c>
      <c r="I1167">
        <v>0.25</v>
      </c>
      <c r="J1167">
        <v>4346.09</v>
      </c>
      <c r="K1167" t="s">
        <v>41</v>
      </c>
      <c r="L1167" t="s">
        <v>20</v>
      </c>
      <c r="M1167" t="s">
        <v>21</v>
      </c>
      <c r="N1167" t="s">
        <v>22</v>
      </c>
    </row>
    <row r="1168" spans="1:14" x14ac:dyDescent="0.3">
      <c r="A1168" t="s">
        <v>1229</v>
      </c>
      <c r="B1168" s="1">
        <v>45766</v>
      </c>
      <c r="C1168" t="s">
        <v>36</v>
      </c>
      <c r="D1168" t="s">
        <v>39</v>
      </c>
      <c r="E1168" t="s">
        <v>17</v>
      </c>
      <c r="F1168" t="s">
        <v>32</v>
      </c>
      <c r="G1168">
        <v>4</v>
      </c>
      <c r="H1168">
        <v>1446.46</v>
      </c>
      <c r="I1168">
        <v>0.17</v>
      </c>
      <c r="J1168">
        <v>4802.25</v>
      </c>
      <c r="K1168" t="s">
        <v>41</v>
      </c>
      <c r="L1168" t="s">
        <v>20</v>
      </c>
      <c r="M1168" t="s">
        <v>54</v>
      </c>
      <c r="N1168" t="s">
        <v>22</v>
      </c>
    </row>
    <row r="1169" spans="1:14" x14ac:dyDescent="0.3">
      <c r="A1169" t="s">
        <v>1230</v>
      </c>
      <c r="B1169" s="1">
        <v>45724</v>
      </c>
      <c r="C1169" t="s">
        <v>52</v>
      </c>
      <c r="D1169" t="s">
        <v>43</v>
      </c>
      <c r="E1169" t="s">
        <v>17</v>
      </c>
      <c r="F1169" t="s">
        <v>40</v>
      </c>
      <c r="G1169">
        <v>1</v>
      </c>
      <c r="H1169">
        <v>2095.1999999999998</v>
      </c>
      <c r="I1169">
        <v>0</v>
      </c>
      <c r="J1169">
        <v>2095.1999999999998</v>
      </c>
      <c r="K1169" t="s">
        <v>46</v>
      </c>
      <c r="L1169" t="s">
        <v>34</v>
      </c>
      <c r="M1169" t="s">
        <v>30</v>
      </c>
      <c r="N1169" t="s">
        <v>22</v>
      </c>
    </row>
    <row r="1170" spans="1:14" x14ac:dyDescent="0.3">
      <c r="A1170" t="s">
        <v>1231</v>
      </c>
      <c r="B1170" s="1">
        <v>45728</v>
      </c>
      <c r="C1170" t="s">
        <v>24</v>
      </c>
      <c r="D1170" t="s">
        <v>39</v>
      </c>
      <c r="E1170" t="s">
        <v>49</v>
      </c>
      <c r="F1170" t="s">
        <v>53</v>
      </c>
      <c r="G1170">
        <v>1</v>
      </c>
      <c r="H1170">
        <v>3574.14</v>
      </c>
      <c r="I1170">
        <v>0.06</v>
      </c>
      <c r="J1170">
        <v>3359.69</v>
      </c>
      <c r="K1170" t="s">
        <v>19</v>
      </c>
      <c r="L1170" t="s">
        <v>20</v>
      </c>
      <c r="M1170" t="s">
        <v>21</v>
      </c>
      <c r="N1170" t="s">
        <v>22</v>
      </c>
    </row>
    <row r="1171" spans="1:14" x14ac:dyDescent="0.3">
      <c r="A1171" t="s">
        <v>1232</v>
      </c>
      <c r="B1171" s="1">
        <v>45796</v>
      </c>
      <c r="C1171" t="s">
        <v>36</v>
      </c>
      <c r="D1171" t="s">
        <v>16</v>
      </c>
      <c r="E1171" t="s">
        <v>27</v>
      </c>
      <c r="F1171" t="s">
        <v>87</v>
      </c>
      <c r="G1171">
        <v>5</v>
      </c>
      <c r="H1171">
        <v>1710.88</v>
      </c>
      <c r="I1171">
        <v>0.1</v>
      </c>
      <c r="J1171">
        <v>7698.96</v>
      </c>
      <c r="K1171" t="s">
        <v>41</v>
      </c>
      <c r="L1171" t="s">
        <v>29</v>
      </c>
      <c r="M1171" t="s">
        <v>21</v>
      </c>
      <c r="N1171" t="s">
        <v>22</v>
      </c>
    </row>
    <row r="1172" spans="1:14" x14ac:dyDescent="0.3">
      <c r="A1172" t="s">
        <v>1233</v>
      </c>
      <c r="B1172" s="1">
        <v>45748</v>
      </c>
      <c r="C1172" t="s">
        <v>48</v>
      </c>
      <c r="D1172" t="s">
        <v>25</v>
      </c>
      <c r="E1172" t="s">
        <v>99</v>
      </c>
      <c r="F1172" t="s">
        <v>111</v>
      </c>
      <c r="G1172">
        <v>4</v>
      </c>
      <c r="H1172">
        <v>1132.1199999999999</v>
      </c>
      <c r="I1172">
        <v>0.17</v>
      </c>
      <c r="J1172">
        <v>3758.64</v>
      </c>
      <c r="K1172" t="s">
        <v>19</v>
      </c>
      <c r="L1172" t="s">
        <v>34</v>
      </c>
      <c r="M1172" t="s">
        <v>21</v>
      </c>
      <c r="N1172" t="s">
        <v>22</v>
      </c>
    </row>
    <row r="1173" spans="1:14" x14ac:dyDescent="0.3">
      <c r="A1173" t="s">
        <v>1234</v>
      </c>
      <c r="B1173" s="1">
        <v>45712</v>
      </c>
      <c r="C1173" t="s">
        <v>48</v>
      </c>
      <c r="D1173" t="s">
        <v>39</v>
      </c>
      <c r="E1173" t="s">
        <v>17</v>
      </c>
      <c r="F1173" t="s">
        <v>18</v>
      </c>
      <c r="G1173">
        <v>1</v>
      </c>
      <c r="H1173">
        <v>1117</v>
      </c>
      <c r="I1173">
        <v>0.25</v>
      </c>
      <c r="J1173">
        <v>837.75</v>
      </c>
      <c r="K1173" t="s">
        <v>33</v>
      </c>
      <c r="L1173" t="s">
        <v>34</v>
      </c>
      <c r="M1173" t="s">
        <v>30</v>
      </c>
      <c r="N1173" t="s">
        <v>22</v>
      </c>
    </row>
    <row r="1174" spans="1:14" x14ac:dyDescent="0.3">
      <c r="A1174" t="s">
        <v>1235</v>
      </c>
      <c r="B1174" s="1">
        <v>45719</v>
      </c>
      <c r="C1174" t="s">
        <v>48</v>
      </c>
      <c r="D1174" t="s">
        <v>25</v>
      </c>
      <c r="E1174" t="s">
        <v>99</v>
      </c>
      <c r="F1174" t="s">
        <v>115</v>
      </c>
      <c r="G1174">
        <v>5</v>
      </c>
      <c r="H1174">
        <v>2966.19</v>
      </c>
      <c r="I1174">
        <v>0.16</v>
      </c>
      <c r="J1174">
        <v>12458</v>
      </c>
      <c r="K1174" t="s">
        <v>58</v>
      </c>
      <c r="L1174" t="s">
        <v>20</v>
      </c>
      <c r="M1174" t="s">
        <v>21</v>
      </c>
      <c r="N1174" t="s">
        <v>22</v>
      </c>
    </row>
    <row r="1175" spans="1:14" x14ac:dyDescent="0.3">
      <c r="A1175" t="s">
        <v>1236</v>
      </c>
      <c r="B1175" s="1">
        <v>45708</v>
      </c>
      <c r="C1175" t="s">
        <v>36</v>
      </c>
      <c r="D1175" t="s">
        <v>16</v>
      </c>
      <c r="E1175" t="s">
        <v>17</v>
      </c>
      <c r="F1175" t="s">
        <v>32</v>
      </c>
      <c r="G1175">
        <v>4</v>
      </c>
      <c r="H1175">
        <v>4613.76</v>
      </c>
      <c r="I1175">
        <v>0.03</v>
      </c>
      <c r="J1175">
        <v>17901.39</v>
      </c>
      <c r="K1175" t="s">
        <v>41</v>
      </c>
      <c r="L1175" t="s">
        <v>20</v>
      </c>
      <c r="M1175" t="s">
        <v>21</v>
      </c>
      <c r="N1175" t="s">
        <v>22</v>
      </c>
    </row>
    <row r="1176" spans="1:14" x14ac:dyDescent="0.3">
      <c r="A1176" t="s">
        <v>1237</v>
      </c>
      <c r="B1176" s="1">
        <v>45704</v>
      </c>
      <c r="C1176" t="s">
        <v>24</v>
      </c>
      <c r="D1176" t="s">
        <v>25</v>
      </c>
      <c r="E1176" t="s">
        <v>61</v>
      </c>
      <c r="F1176" t="s">
        <v>75</v>
      </c>
      <c r="G1176">
        <v>2</v>
      </c>
      <c r="H1176">
        <v>4337.9799999999996</v>
      </c>
      <c r="I1176">
        <v>0.19</v>
      </c>
      <c r="J1176">
        <v>7027.53</v>
      </c>
      <c r="K1176" t="s">
        <v>33</v>
      </c>
      <c r="L1176" t="s">
        <v>34</v>
      </c>
      <c r="M1176" t="s">
        <v>21</v>
      </c>
      <c r="N1176" t="s">
        <v>22</v>
      </c>
    </row>
    <row r="1177" spans="1:14" x14ac:dyDescent="0.3">
      <c r="A1177" t="s">
        <v>1238</v>
      </c>
      <c r="B1177" s="1">
        <v>45683</v>
      </c>
      <c r="C1177" t="s">
        <v>48</v>
      </c>
      <c r="D1177" t="s">
        <v>39</v>
      </c>
      <c r="E1177" t="s">
        <v>99</v>
      </c>
      <c r="F1177" t="s">
        <v>100</v>
      </c>
      <c r="G1177">
        <v>3</v>
      </c>
      <c r="H1177">
        <v>3875.45</v>
      </c>
      <c r="I1177">
        <v>0.16</v>
      </c>
      <c r="J1177">
        <v>9766.1299999999992</v>
      </c>
      <c r="K1177" t="s">
        <v>33</v>
      </c>
      <c r="L1177" t="s">
        <v>34</v>
      </c>
      <c r="M1177" t="s">
        <v>21</v>
      </c>
      <c r="N1177" t="s">
        <v>22</v>
      </c>
    </row>
    <row r="1178" spans="1:14" x14ac:dyDescent="0.3">
      <c r="A1178" t="s">
        <v>1239</v>
      </c>
      <c r="B1178" s="1">
        <v>45800</v>
      </c>
      <c r="C1178" t="s">
        <v>52</v>
      </c>
      <c r="D1178" t="s">
        <v>43</v>
      </c>
      <c r="E1178" t="s">
        <v>27</v>
      </c>
      <c r="F1178" t="s">
        <v>87</v>
      </c>
      <c r="G1178">
        <v>4</v>
      </c>
      <c r="H1178">
        <v>1502.79</v>
      </c>
      <c r="I1178">
        <v>0.23</v>
      </c>
      <c r="J1178">
        <v>4628.59</v>
      </c>
      <c r="K1178" t="s">
        <v>41</v>
      </c>
      <c r="L1178" t="s">
        <v>34</v>
      </c>
      <c r="M1178" t="s">
        <v>54</v>
      </c>
      <c r="N1178" t="s">
        <v>22</v>
      </c>
    </row>
    <row r="1179" spans="1:14" x14ac:dyDescent="0.3">
      <c r="A1179" t="s">
        <v>1240</v>
      </c>
      <c r="B1179" s="1">
        <v>45697</v>
      </c>
      <c r="C1179" t="s">
        <v>48</v>
      </c>
      <c r="D1179" t="s">
        <v>25</v>
      </c>
      <c r="E1179" t="s">
        <v>17</v>
      </c>
      <c r="F1179" t="s">
        <v>32</v>
      </c>
      <c r="G1179">
        <v>1</v>
      </c>
      <c r="H1179">
        <v>1978.43</v>
      </c>
      <c r="I1179">
        <v>0.16</v>
      </c>
      <c r="J1179">
        <v>1661.88</v>
      </c>
      <c r="K1179" t="s">
        <v>19</v>
      </c>
      <c r="L1179" t="s">
        <v>29</v>
      </c>
      <c r="M1179" t="s">
        <v>30</v>
      </c>
      <c r="N1179" t="s">
        <v>22</v>
      </c>
    </row>
    <row r="1180" spans="1:14" x14ac:dyDescent="0.3">
      <c r="A1180" t="s">
        <v>1241</v>
      </c>
      <c r="B1180" s="1">
        <v>45721</v>
      </c>
      <c r="C1180" t="s">
        <v>52</v>
      </c>
      <c r="D1180" t="s">
        <v>25</v>
      </c>
      <c r="E1180" t="s">
        <v>17</v>
      </c>
      <c r="F1180" t="s">
        <v>44</v>
      </c>
      <c r="G1180">
        <v>5</v>
      </c>
      <c r="H1180">
        <v>4994.66</v>
      </c>
      <c r="I1180">
        <v>0.15</v>
      </c>
      <c r="J1180">
        <v>21227.31</v>
      </c>
      <c r="K1180" t="s">
        <v>33</v>
      </c>
      <c r="L1180" t="s">
        <v>29</v>
      </c>
      <c r="M1180" t="s">
        <v>21</v>
      </c>
      <c r="N1180" t="s">
        <v>37</v>
      </c>
    </row>
    <row r="1181" spans="1:14" x14ac:dyDescent="0.3">
      <c r="A1181" t="s">
        <v>1242</v>
      </c>
      <c r="B1181" s="1">
        <v>45683</v>
      </c>
      <c r="C1181" t="s">
        <v>52</v>
      </c>
      <c r="D1181" t="s">
        <v>25</v>
      </c>
      <c r="E1181" t="s">
        <v>99</v>
      </c>
      <c r="F1181" t="s">
        <v>100</v>
      </c>
      <c r="G1181">
        <v>4</v>
      </c>
      <c r="H1181">
        <v>3453.38</v>
      </c>
      <c r="I1181">
        <v>0.24</v>
      </c>
      <c r="J1181">
        <v>10498.28</v>
      </c>
      <c r="K1181" t="s">
        <v>33</v>
      </c>
      <c r="L1181" t="s">
        <v>29</v>
      </c>
      <c r="M1181" t="s">
        <v>54</v>
      </c>
      <c r="N1181" t="s">
        <v>22</v>
      </c>
    </row>
    <row r="1182" spans="1:14" x14ac:dyDescent="0.3">
      <c r="A1182" t="s">
        <v>1243</v>
      </c>
      <c r="B1182" s="1">
        <v>45804</v>
      </c>
      <c r="C1182" t="s">
        <v>48</v>
      </c>
      <c r="D1182" t="s">
        <v>39</v>
      </c>
      <c r="E1182" t="s">
        <v>61</v>
      </c>
      <c r="F1182" t="s">
        <v>75</v>
      </c>
      <c r="G1182">
        <v>2</v>
      </c>
      <c r="H1182">
        <v>958.53</v>
      </c>
      <c r="I1182">
        <v>0.23</v>
      </c>
      <c r="J1182">
        <v>1476.14</v>
      </c>
      <c r="K1182" t="s">
        <v>46</v>
      </c>
      <c r="L1182" t="s">
        <v>29</v>
      </c>
      <c r="M1182" t="s">
        <v>54</v>
      </c>
      <c r="N1182" t="s">
        <v>22</v>
      </c>
    </row>
    <row r="1183" spans="1:14" x14ac:dyDescent="0.3">
      <c r="A1183" t="s">
        <v>1244</v>
      </c>
      <c r="B1183" s="1">
        <v>45764</v>
      </c>
      <c r="C1183" t="s">
        <v>52</v>
      </c>
      <c r="D1183" t="s">
        <v>43</v>
      </c>
      <c r="E1183" t="s">
        <v>17</v>
      </c>
      <c r="F1183" t="s">
        <v>18</v>
      </c>
      <c r="G1183">
        <v>4</v>
      </c>
      <c r="H1183">
        <v>1300.73</v>
      </c>
      <c r="I1183">
        <v>0.15</v>
      </c>
      <c r="J1183">
        <v>4422.4799999999996</v>
      </c>
      <c r="K1183" t="s">
        <v>33</v>
      </c>
      <c r="L1183" t="s">
        <v>34</v>
      </c>
      <c r="M1183" t="s">
        <v>54</v>
      </c>
      <c r="N1183" t="s">
        <v>59</v>
      </c>
    </row>
    <row r="1184" spans="1:14" x14ac:dyDescent="0.3">
      <c r="A1184" t="s">
        <v>1245</v>
      </c>
      <c r="B1184" s="1">
        <v>45808</v>
      </c>
      <c r="C1184" t="s">
        <v>36</v>
      </c>
      <c r="D1184" t="s">
        <v>16</v>
      </c>
      <c r="E1184" t="s">
        <v>27</v>
      </c>
      <c r="F1184" t="s">
        <v>79</v>
      </c>
      <c r="G1184">
        <v>2</v>
      </c>
      <c r="H1184">
        <v>2364.84</v>
      </c>
      <c r="I1184">
        <v>0.24</v>
      </c>
      <c r="J1184">
        <v>3594.56</v>
      </c>
      <c r="K1184" t="s">
        <v>46</v>
      </c>
      <c r="L1184" t="s">
        <v>20</v>
      </c>
      <c r="M1184" t="s">
        <v>54</v>
      </c>
      <c r="N1184" t="s">
        <v>22</v>
      </c>
    </row>
    <row r="1185" spans="1:14" x14ac:dyDescent="0.3">
      <c r="A1185" t="s">
        <v>1246</v>
      </c>
      <c r="B1185" s="1">
        <v>45794</v>
      </c>
      <c r="C1185" t="s">
        <v>48</v>
      </c>
      <c r="D1185" t="s">
        <v>16</v>
      </c>
      <c r="E1185" t="s">
        <v>49</v>
      </c>
      <c r="F1185" t="s">
        <v>50</v>
      </c>
      <c r="G1185">
        <v>3</v>
      </c>
      <c r="H1185">
        <v>4428.45</v>
      </c>
      <c r="I1185">
        <v>0.13</v>
      </c>
      <c r="J1185">
        <v>11558.25</v>
      </c>
      <c r="K1185" t="s">
        <v>58</v>
      </c>
      <c r="L1185" t="s">
        <v>34</v>
      </c>
      <c r="M1185" t="s">
        <v>21</v>
      </c>
      <c r="N1185" t="s">
        <v>22</v>
      </c>
    </row>
    <row r="1186" spans="1:14" x14ac:dyDescent="0.3">
      <c r="A1186" t="s">
        <v>1247</v>
      </c>
      <c r="B1186" s="1">
        <v>45695</v>
      </c>
      <c r="C1186" t="s">
        <v>48</v>
      </c>
      <c r="D1186" t="s">
        <v>25</v>
      </c>
      <c r="E1186" t="s">
        <v>17</v>
      </c>
      <c r="F1186" t="s">
        <v>32</v>
      </c>
      <c r="G1186">
        <v>4</v>
      </c>
      <c r="H1186">
        <v>3611.46</v>
      </c>
      <c r="I1186">
        <v>0.13</v>
      </c>
      <c r="J1186">
        <v>12567.88</v>
      </c>
      <c r="K1186" t="s">
        <v>58</v>
      </c>
      <c r="L1186" t="s">
        <v>34</v>
      </c>
      <c r="M1186" t="s">
        <v>21</v>
      </c>
      <c r="N1186" t="s">
        <v>22</v>
      </c>
    </row>
    <row r="1187" spans="1:14" x14ac:dyDescent="0.3">
      <c r="A1187" t="s">
        <v>1248</v>
      </c>
      <c r="B1187" s="1">
        <v>45697</v>
      </c>
      <c r="C1187" t="s">
        <v>52</v>
      </c>
      <c r="D1187" t="s">
        <v>39</v>
      </c>
      <c r="E1187" t="s">
        <v>17</v>
      </c>
      <c r="F1187" t="s">
        <v>18</v>
      </c>
      <c r="G1187">
        <v>1</v>
      </c>
      <c r="H1187">
        <v>3637.77</v>
      </c>
      <c r="I1187">
        <v>0.09</v>
      </c>
      <c r="J1187">
        <v>3310.37</v>
      </c>
      <c r="K1187" t="s">
        <v>46</v>
      </c>
      <c r="L1187" t="s">
        <v>29</v>
      </c>
      <c r="M1187" t="s">
        <v>21</v>
      </c>
      <c r="N1187" t="s">
        <v>22</v>
      </c>
    </row>
    <row r="1188" spans="1:14" x14ac:dyDescent="0.3">
      <c r="A1188" t="s">
        <v>1249</v>
      </c>
      <c r="B1188" s="1">
        <v>45702</v>
      </c>
      <c r="C1188" t="s">
        <v>52</v>
      </c>
      <c r="D1188" t="s">
        <v>25</v>
      </c>
      <c r="E1188" t="s">
        <v>61</v>
      </c>
      <c r="F1188" t="s">
        <v>92</v>
      </c>
      <c r="G1188">
        <v>3</v>
      </c>
      <c r="H1188">
        <v>3245.97</v>
      </c>
      <c r="I1188">
        <v>0.02</v>
      </c>
      <c r="J1188">
        <v>9543.15</v>
      </c>
      <c r="K1188" t="s">
        <v>46</v>
      </c>
      <c r="L1188" t="s">
        <v>20</v>
      </c>
      <c r="M1188" t="s">
        <v>21</v>
      </c>
      <c r="N1188" t="s">
        <v>88</v>
      </c>
    </row>
    <row r="1189" spans="1:14" x14ac:dyDescent="0.3">
      <c r="A1189" t="s">
        <v>1250</v>
      </c>
      <c r="B1189" s="1">
        <v>45803</v>
      </c>
      <c r="C1189" t="s">
        <v>15</v>
      </c>
      <c r="D1189" t="s">
        <v>16</v>
      </c>
      <c r="E1189" t="s">
        <v>99</v>
      </c>
      <c r="F1189" t="s">
        <v>111</v>
      </c>
      <c r="G1189">
        <v>4</v>
      </c>
      <c r="H1189">
        <v>3527.85</v>
      </c>
      <c r="I1189">
        <v>0.14000000000000001</v>
      </c>
      <c r="J1189">
        <v>12135.8</v>
      </c>
      <c r="K1189" t="s">
        <v>41</v>
      </c>
      <c r="L1189" t="s">
        <v>34</v>
      </c>
      <c r="M1189" t="s">
        <v>21</v>
      </c>
      <c r="N1189" t="s">
        <v>88</v>
      </c>
    </row>
    <row r="1190" spans="1:14" x14ac:dyDescent="0.3">
      <c r="A1190" t="s">
        <v>1251</v>
      </c>
      <c r="B1190" s="1">
        <v>45754</v>
      </c>
      <c r="C1190" t="s">
        <v>24</v>
      </c>
      <c r="D1190" t="s">
        <v>43</v>
      </c>
      <c r="E1190" t="s">
        <v>61</v>
      </c>
      <c r="F1190" t="s">
        <v>66</v>
      </c>
      <c r="G1190">
        <v>5</v>
      </c>
      <c r="H1190">
        <v>1877.35</v>
      </c>
      <c r="I1190">
        <v>7.0000000000000007E-2</v>
      </c>
      <c r="J1190">
        <v>8729.68</v>
      </c>
      <c r="K1190" t="s">
        <v>19</v>
      </c>
      <c r="L1190" t="s">
        <v>34</v>
      </c>
      <c r="M1190" t="s">
        <v>21</v>
      </c>
      <c r="N1190" t="s">
        <v>22</v>
      </c>
    </row>
    <row r="1191" spans="1:14" x14ac:dyDescent="0.3">
      <c r="A1191" t="s">
        <v>1252</v>
      </c>
      <c r="B1191" s="1">
        <v>45713</v>
      </c>
      <c r="C1191" t="s">
        <v>48</v>
      </c>
      <c r="D1191" t="s">
        <v>39</v>
      </c>
      <c r="E1191" t="s">
        <v>99</v>
      </c>
      <c r="F1191" t="s">
        <v>115</v>
      </c>
      <c r="G1191">
        <v>2</v>
      </c>
      <c r="H1191">
        <v>817.98</v>
      </c>
      <c r="I1191">
        <v>7.0000000000000007E-2</v>
      </c>
      <c r="J1191">
        <v>1521.44</v>
      </c>
      <c r="K1191" t="s">
        <v>46</v>
      </c>
      <c r="L1191" t="s">
        <v>20</v>
      </c>
      <c r="M1191" t="s">
        <v>30</v>
      </c>
      <c r="N1191" t="s">
        <v>22</v>
      </c>
    </row>
    <row r="1192" spans="1:14" x14ac:dyDescent="0.3">
      <c r="A1192" t="s">
        <v>1253</v>
      </c>
      <c r="B1192" s="1">
        <v>45800</v>
      </c>
      <c r="C1192" t="s">
        <v>36</v>
      </c>
      <c r="D1192" t="s">
        <v>25</v>
      </c>
      <c r="E1192" t="s">
        <v>17</v>
      </c>
      <c r="F1192" t="s">
        <v>44</v>
      </c>
      <c r="G1192">
        <v>5</v>
      </c>
      <c r="H1192">
        <v>159.13</v>
      </c>
      <c r="I1192">
        <v>0.09</v>
      </c>
      <c r="J1192">
        <v>724.04</v>
      </c>
      <c r="K1192" t="s">
        <v>46</v>
      </c>
      <c r="L1192" t="s">
        <v>20</v>
      </c>
      <c r="M1192" t="s">
        <v>21</v>
      </c>
      <c r="N1192" t="s">
        <v>22</v>
      </c>
    </row>
    <row r="1193" spans="1:14" x14ac:dyDescent="0.3">
      <c r="A1193" t="s">
        <v>1254</v>
      </c>
      <c r="B1193" s="1">
        <v>45774</v>
      </c>
      <c r="C1193" t="s">
        <v>52</v>
      </c>
      <c r="D1193" t="s">
        <v>43</v>
      </c>
      <c r="E1193" t="s">
        <v>61</v>
      </c>
      <c r="F1193" t="s">
        <v>66</v>
      </c>
      <c r="G1193">
        <v>3</v>
      </c>
      <c r="H1193">
        <v>2664.35</v>
      </c>
      <c r="I1193">
        <v>0.09</v>
      </c>
      <c r="J1193">
        <v>7273.68</v>
      </c>
      <c r="K1193" t="s">
        <v>33</v>
      </c>
      <c r="L1193" t="s">
        <v>29</v>
      </c>
      <c r="M1193" t="s">
        <v>30</v>
      </c>
      <c r="N1193" t="s">
        <v>37</v>
      </c>
    </row>
    <row r="1194" spans="1:14" x14ac:dyDescent="0.3">
      <c r="A1194" t="s">
        <v>1255</v>
      </c>
      <c r="B1194" s="1">
        <v>45807</v>
      </c>
      <c r="C1194" t="s">
        <v>48</v>
      </c>
      <c r="D1194" t="s">
        <v>43</v>
      </c>
      <c r="E1194" t="s">
        <v>49</v>
      </c>
      <c r="F1194" t="s">
        <v>73</v>
      </c>
      <c r="G1194">
        <v>1</v>
      </c>
      <c r="H1194">
        <v>1777.6</v>
      </c>
      <c r="I1194">
        <v>0.08</v>
      </c>
      <c r="J1194">
        <v>1635.39</v>
      </c>
      <c r="K1194" t="s">
        <v>41</v>
      </c>
      <c r="L1194" t="s">
        <v>20</v>
      </c>
      <c r="M1194" t="s">
        <v>54</v>
      </c>
      <c r="N1194" t="s">
        <v>22</v>
      </c>
    </row>
    <row r="1195" spans="1:14" x14ac:dyDescent="0.3">
      <c r="A1195" t="s">
        <v>1256</v>
      </c>
      <c r="B1195" s="1">
        <v>45761</v>
      </c>
      <c r="C1195" t="s">
        <v>15</v>
      </c>
      <c r="D1195" t="s">
        <v>43</v>
      </c>
      <c r="E1195" t="s">
        <v>17</v>
      </c>
      <c r="F1195" t="s">
        <v>44</v>
      </c>
      <c r="G1195">
        <v>5</v>
      </c>
      <c r="H1195">
        <v>4572.24</v>
      </c>
      <c r="I1195">
        <v>0.23</v>
      </c>
      <c r="J1195">
        <v>17603.12</v>
      </c>
      <c r="K1195" t="s">
        <v>41</v>
      </c>
      <c r="L1195" t="s">
        <v>34</v>
      </c>
      <c r="M1195" t="s">
        <v>21</v>
      </c>
      <c r="N1195" t="s">
        <v>22</v>
      </c>
    </row>
    <row r="1196" spans="1:14" x14ac:dyDescent="0.3">
      <c r="A1196" t="s">
        <v>1257</v>
      </c>
      <c r="B1196" s="1">
        <v>45775</v>
      </c>
      <c r="C1196" t="s">
        <v>48</v>
      </c>
      <c r="D1196" t="s">
        <v>16</v>
      </c>
      <c r="E1196" t="s">
        <v>99</v>
      </c>
      <c r="F1196" t="s">
        <v>120</v>
      </c>
      <c r="G1196">
        <v>5</v>
      </c>
      <c r="H1196">
        <v>429.27</v>
      </c>
      <c r="I1196">
        <v>0.14000000000000001</v>
      </c>
      <c r="J1196">
        <v>1845.86</v>
      </c>
      <c r="K1196" t="s">
        <v>58</v>
      </c>
      <c r="L1196" t="s">
        <v>34</v>
      </c>
      <c r="M1196" t="s">
        <v>21</v>
      </c>
      <c r="N1196" t="s">
        <v>59</v>
      </c>
    </row>
    <row r="1197" spans="1:14" x14ac:dyDescent="0.3">
      <c r="A1197" t="s">
        <v>1258</v>
      </c>
      <c r="B1197" s="1">
        <v>45714</v>
      </c>
      <c r="C1197" t="s">
        <v>36</v>
      </c>
      <c r="D1197" t="s">
        <v>43</v>
      </c>
      <c r="E1197" t="s">
        <v>17</v>
      </c>
      <c r="F1197" t="s">
        <v>40</v>
      </c>
      <c r="G1197">
        <v>2</v>
      </c>
      <c r="H1197">
        <v>1354.75</v>
      </c>
      <c r="I1197">
        <v>0.18</v>
      </c>
      <c r="J1197">
        <v>2221.79</v>
      </c>
      <c r="K1197" t="s">
        <v>33</v>
      </c>
      <c r="L1197" t="s">
        <v>20</v>
      </c>
      <c r="M1197" t="s">
        <v>21</v>
      </c>
      <c r="N1197" t="s">
        <v>22</v>
      </c>
    </row>
    <row r="1198" spans="1:14" x14ac:dyDescent="0.3">
      <c r="A1198" t="s">
        <v>1259</v>
      </c>
      <c r="B1198" s="1">
        <v>45679</v>
      </c>
      <c r="C1198" t="s">
        <v>24</v>
      </c>
      <c r="D1198" t="s">
        <v>16</v>
      </c>
      <c r="E1198" t="s">
        <v>49</v>
      </c>
      <c r="F1198" t="s">
        <v>73</v>
      </c>
      <c r="G1198">
        <v>5</v>
      </c>
      <c r="H1198">
        <v>1459.64</v>
      </c>
      <c r="I1198">
        <v>0.19</v>
      </c>
      <c r="J1198">
        <v>5911.54</v>
      </c>
      <c r="K1198" t="s">
        <v>33</v>
      </c>
      <c r="L1198" t="s">
        <v>34</v>
      </c>
      <c r="M1198" t="s">
        <v>21</v>
      </c>
      <c r="N1198" t="s">
        <v>37</v>
      </c>
    </row>
    <row r="1199" spans="1:14" x14ac:dyDescent="0.3">
      <c r="A1199" t="s">
        <v>1260</v>
      </c>
      <c r="B1199" s="1">
        <v>45821</v>
      </c>
      <c r="C1199" t="s">
        <v>24</v>
      </c>
      <c r="D1199" t="s">
        <v>16</v>
      </c>
      <c r="E1199" t="s">
        <v>61</v>
      </c>
      <c r="F1199" t="s">
        <v>66</v>
      </c>
      <c r="G1199">
        <v>2</v>
      </c>
      <c r="H1199">
        <v>2969.82</v>
      </c>
      <c r="I1199">
        <v>0.15</v>
      </c>
      <c r="J1199">
        <v>5048.6899999999996</v>
      </c>
      <c r="K1199" t="s">
        <v>19</v>
      </c>
      <c r="L1199" t="s">
        <v>20</v>
      </c>
      <c r="M1199" t="s">
        <v>30</v>
      </c>
      <c r="N1199" t="s">
        <v>22</v>
      </c>
    </row>
    <row r="1200" spans="1:14" x14ac:dyDescent="0.3">
      <c r="A1200" t="s">
        <v>1261</v>
      </c>
      <c r="B1200" s="1">
        <v>45697</v>
      </c>
      <c r="C1200" t="s">
        <v>24</v>
      </c>
      <c r="D1200" t="s">
        <v>43</v>
      </c>
      <c r="E1200" t="s">
        <v>17</v>
      </c>
      <c r="F1200" t="s">
        <v>32</v>
      </c>
      <c r="G1200">
        <v>1</v>
      </c>
      <c r="H1200">
        <v>2265.3000000000002</v>
      </c>
      <c r="I1200">
        <v>0.12</v>
      </c>
      <c r="J1200">
        <v>1993.46</v>
      </c>
      <c r="K1200" t="s">
        <v>19</v>
      </c>
      <c r="L1200" t="s">
        <v>34</v>
      </c>
      <c r="M1200" t="s">
        <v>54</v>
      </c>
      <c r="N1200" t="s">
        <v>22</v>
      </c>
    </row>
    <row r="1201" spans="1:14" x14ac:dyDescent="0.3">
      <c r="A1201" t="s">
        <v>1262</v>
      </c>
      <c r="B1201" s="1">
        <v>45717</v>
      </c>
      <c r="C1201" t="s">
        <v>36</v>
      </c>
      <c r="D1201" t="s">
        <v>25</v>
      </c>
      <c r="E1201" t="s">
        <v>99</v>
      </c>
      <c r="F1201" t="s">
        <v>120</v>
      </c>
      <c r="G1201">
        <v>4</v>
      </c>
      <c r="H1201">
        <v>3909.24</v>
      </c>
      <c r="I1201">
        <v>0.05</v>
      </c>
      <c r="J1201">
        <v>14855.11</v>
      </c>
      <c r="K1201" t="s">
        <v>41</v>
      </c>
      <c r="L1201" t="s">
        <v>20</v>
      </c>
      <c r="M1201" t="s">
        <v>21</v>
      </c>
      <c r="N1201" t="s">
        <v>59</v>
      </c>
    </row>
    <row r="1202" spans="1:14" x14ac:dyDescent="0.3">
      <c r="A1202" t="s">
        <v>1263</v>
      </c>
      <c r="B1202" s="1">
        <v>45704</v>
      </c>
      <c r="C1202" t="s">
        <v>36</v>
      </c>
      <c r="D1202" t="s">
        <v>39</v>
      </c>
      <c r="E1202" t="s">
        <v>99</v>
      </c>
      <c r="F1202" t="s">
        <v>115</v>
      </c>
      <c r="G1202">
        <v>2</v>
      </c>
      <c r="H1202">
        <v>1710.33</v>
      </c>
      <c r="I1202">
        <v>0.12</v>
      </c>
      <c r="J1202">
        <v>3010.18</v>
      </c>
      <c r="K1202" t="s">
        <v>46</v>
      </c>
      <c r="L1202" t="s">
        <v>34</v>
      </c>
      <c r="M1202" t="s">
        <v>30</v>
      </c>
      <c r="N1202" t="s">
        <v>22</v>
      </c>
    </row>
    <row r="1203" spans="1:14" x14ac:dyDescent="0.3">
      <c r="A1203" t="s">
        <v>1264</v>
      </c>
      <c r="B1203" s="1">
        <v>45730</v>
      </c>
      <c r="C1203" t="s">
        <v>15</v>
      </c>
      <c r="D1203" t="s">
        <v>43</v>
      </c>
      <c r="E1203" t="s">
        <v>27</v>
      </c>
      <c r="F1203" t="s">
        <v>68</v>
      </c>
      <c r="G1203">
        <v>5</v>
      </c>
      <c r="H1203">
        <v>2565.0100000000002</v>
      </c>
      <c r="I1203">
        <v>0.16</v>
      </c>
      <c r="J1203">
        <v>10773.04</v>
      </c>
      <c r="K1203" t="s">
        <v>46</v>
      </c>
      <c r="L1203" t="s">
        <v>29</v>
      </c>
      <c r="M1203" t="s">
        <v>54</v>
      </c>
      <c r="N1203" t="s">
        <v>22</v>
      </c>
    </row>
    <row r="1204" spans="1:14" x14ac:dyDescent="0.3">
      <c r="A1204" t="s">
        <v>1265</v>
      </c>
      <c r="B1204" s="1">
        <v>45694</v>
      </c>
      <c r="C1204" t="s">
        <v>48</v>
      </c>
      <c r="D1204" t="s">
        <v>25</v>
      </c>
      <c r="E1204" t="s">
        <v>99</v>
      </c>
      <c r="F1204" t="s">
        <v>115</v>
      </c>
      <c r="G1204">
        <v>1</v>
      </c>
      <c r="H1204">
        <v>3826.15</v>
      </c>
      <c r="I1204">
        <v>0.17</v>
      </c>
      <c r="J1204">
        <v>3175.7</v>
      </c>
      <c r="K1204" t="s">
        <v>19</v>
      </c>
      <c r="L1204" t="s">
        <v>20</v>
      </c>
      <c r="M1204" t="s">
        <v>54</v>
      </c>
      <c r="N1204" t="s">
        <v>22</v>
      </c>
    </row>
    <row r="1205" spans="1:14" x14ac:dyDescent="0.3">
      <c r="A1205" t="s">
        <v>1266</v>
      </c>
      <c r="B1205" s="1">
        <v>45718</v>
      </c>
      <c r="C1205" t="s">
        <v>52</v>
      </c>
      <c r="D1205" t="s">
        <v>25</v>
      </c>
      <c r="E1205" t="s">
        <v>27</v>
      </c>
      <c r="F1205" t="s">
        <v>68</v>
      </c>
      <c r="G1205">
        <v>2</v>
      </c>
      <c r="H1205">
        <v>1605.28</v>
      </c>
      <c r="I1205">
        <v>0.08</v>
      </c>
      <c r="J1205">
        <v>2953.72</v>
      </c>
      <c r="K1205" t="s">
        <v>58</v>
      </c>
      <c r="L1205" t="s">
        <v>20</v>
      </c>
      <c r="M1205" t="s">
        <v>21</v>
      </c>
      <c r="N1205" t="s">
        <v>22</v>
      </c>
    </row>
    <row r="1206" spans="1:14" x14ac:dyDescent="0.3">
      <c r="A1206" t="s">
        <v>1267</v>
      </c>
      <c r="B1206" s="1">
        <v>45662</v>
      </c>
      <c r="C1206" t="s">
        <v>36</v>
      </c>
      <c r="D1206" t="s">
        <v>43</v>
      </c>
      <c r="E1206" t="s">
        <v>99</v>
      </c>
      <c r="F1206" t="s">
        <v>100</v>
      </c>
      <c r="G1206">
        <v>2</v>
      </c>
      <c r="H1206">
        <v>1040.33</v>
      </c>
      <c r="I1206">
        <v>0.1</v>
      </c>
      <c r="J1206">
        <v>1872.59</v>
      </c>
      <c r="K1206" t="s">
        <v>19</v>
      </c>
      <c r="L1206" t="s">
        <v>34</v>
      </c>
      <c r="M1206" t="s">
        <v>54</v>
      </c>
      <c r="N1206" t="s">
        <v>22</v>
      </c>
    </row>
    <row r="1207" spans="1:14" x14ac:dyDescent="0.3">
      <c r="A1207" t="s">
        <v>1268</v>
      </c>
      <c r="B1207" s="1">
        <v>45797</v>
      </c>
      <c r="C1207" t="s">
        <v>36</v>
      </c>
      <c r="D1207" t="s">
        <v>43</v>
      </c>
      <c r="E1207" t="s">
        <v>61</v>
      </c>
      <c r="F1207" t="s">
        <v>66</v>
      </c>
      <c r="G1207">
        <v>5</v>
      </c>
      <c r="H1207">
        <v>3964.87</v>
      </c>
      <c r="I1207">
        <v>0.19</v>
      </c>
      <c r="J1207">
        <v>16057.72</v>
      </c>
      <c r="K1207" t="s">
        <v>41</v>
      </c>
      <c r="L1207" t="s">
        <v>29</v>
      </c>
      <c r="M1207" t="s">
        <v>30</v>
      </c>
      <c r="N1207" t="s">
        <v>37</v>
      </c>
    </row>
    <row r="1208" spans="1:14" x14ac:dyDescent="0.3">
      <c r="A1208" t="s">
        <v>1269</v>
      </c>
      <c r="B1208" s="1">
        <v>45763</v>
      </c>
      <c r="C1208" t="s">
        <v>15</v>
      </c>
      <c r="D1208" t="s">
        <v>25</v>
      </c>
      <c r="E1208" t="s">
        <v>49</v>
      </c>
      <c r="F1208" t="s">
        <v>53</v>
      </c>
      <c r="G1208">
        <v>3</v>
      </c>
      <c r="H1208">
        <v>3660.88</v>
      </c>
      <c r="I1208">
        <v>0.21</v>
      </c>
      <c r="J1208">
        <v>8676.2900000000009</v>
      </c>
      <c r="K1208" t="s">
        <v>19</v>
      </c>
      <c r="L1208" t="s">
        <v>34</v>
      </c>
      <c r="M1208" t="s">
        <v>30</v>
      </c>
      <c r="N1208" t="s">
        <v>22</v>
      </c>
    </row>
    <row r="1209" spans="1:14" x14ac:dyDescent="0.3">
      <c r="A1209" t="s">
        <v>1270</v>
      </c>
      <c r="B1209" s="1">
        <v>45684</v>
      </c>
      <c r="C1209" t="s">
        <v>48</v>
      </c>
      <c r="D1209" t="s">
        <v>25</v>
      </c>
      <c r="E1209" t="s">
        <v>27</v>
      </c>
      <c r="F1209" t="s">
        <v>87</v>
      </c>
      <c r="G1209">
        <v>1</v>
      </c>
      <c r="H1209">
        <v>4846.53</v>
      </c>
      <c r="I1209">
        <v>0.09</v>
      </c>
      <c r="J1209">
        <v>4410.34</v>
      </c>
      <c r="K1209" t="s">
        <v>58</v>
      </c>
      <c r="L1209" t="s">
        <v>34</v>
      </c>
      <c r="M1209" t="s">
        <v>54</v>
      </c>
      <c r="N1209" t="s">
        <v>88</v>
      </c>
    </row>
    <row r="1210" spans="1:14" x14ac:dyDescent="0.3">
      <c r="A1210" t="s">
        <v>1271</v>
      </c>
      <c r="B1210" s="1">
        <v>45713</v>
      </c>
      <c r="C1210" t="s">
        <v>52</v>
      </c>
      <c r="D1210" t="s">
        <v>39</v>
      </c>
      <c r="E1210" t="s">
        <v>17</v>
      </c>
      <c r="F1210" t="s">
        <v>44</v>
      </c>
      <c r="G1210">
        <v>3</v>
      </c>
      <c r="H1210">
        <v>216.03</v>
      </c>
      <c r="I1210">
        <v>0.11</v>
      </c>
      <c r="J1210">
        <v>576.79999999999995</v>
      </c>
      <c r="K1210" t="s">
        <v>46</v>
      </c>
      <c r="L1210" t="s">
        <v>34</v>
      </c>
      <c r="M1210" t="s">
        <v>30</v>
      </c>
      <c r="N1210" t="s">
        <v>22</v>
      </c>
    </row>
    <row r="1211" spans="1:14" x14ac:dyDescent="0.3">
      <c r="A1211" t="s">
        <v>1272</v>
      </c>
      <c r="B1211" s="1">
        <v>45668</v>
      </c>
      <c r="C1211" t="s">
        <v>36</v>
      </c>
      <c r="D1211" t="s">
        <v>25</v>
      </c>
      <c r="E1211" t="s">
        <v>61</v>
      </c>
      <c r="F1211" t="s">
        <v>75</v>
      </c>
      <c r="G1211">
        <v>3</v>
      </c>
      <c r="H1211">
        <v>623.49</v>
      </c>
      <c r="I1211">
        <v>0.06</v>
      </c>
      <c r="J1211">
        <v>1758.24</v>
      </c>
      <c r="K1211" t="s">
        <v>33</v>
      </c>
      <c r="L1211" t="s">
        <v>34</v>
      </c>
      <c r="M1211" t="s">
        <v>30</v>
      </c>
      <c r="N1211" t="s">
        <v>37</v>
      </c>
    </row>
    <row r="1212" spans="1:14" x14ac:dyDescent="0.3">
      <c r="A1212" t="s">
        <v>1273</v>
      </c>
      <c r="B1212" s="1">
        <v>45670</v>
      </c>
      <c r="C1212" t="s">
        <v>24</v>
      </c>
      <c r="D1212" t="s">
        <v>25</v>
      </c>
      <c r="E1212" t="s">
        <v>27</v>
      </c>
      <c r="F1212" t="s">
        <v>87</v>
      </c>
      <c r="G1212">
        <v>4</v>
      </c>
      <c r="H1212">
        <v>1324.25</v>
      </c>
      <c r="I1212">
        <v>0.25</v>
      </c>
      <c r="J1212">
        <v>3972.75</v>
      </c>
      <c r="K1212" t="s">
        <v>41</v>
      </c>
      <c r="L1212" t="s">
        <v>29</v>
      </c>
      <c r="M1212" t="s">
        <v>21</v>
      </c>
      <c r="N1212" t="s">
        <v>22</v>
      </c>
    </row>
    <row r="1213" spans="1:14" x14ac:dyDescent="0.3">
      <c r="A1213" t="s">
        <v>1274</v>
      </c>
      <c r="B1213" s="1">
        <v>45767</v>
      </c>
      <c r="C1213" t="s">
        <v>15</v>
      </c>
      <c r="D1213" t="s">
        <v>16</v>
      </c>
      <c r="E1213" t="s">
        <v>17</v>
      </c>
      <c r="F1213" t="s">
        <v>32</v>
      </c>
      <c r="G1213">
        <v>4</v>
      </c>
      <c r="H1213">
        <v>4625.67</v>
      </c>
      <c r="I1213">
        <v>0.03</v>
      </c>
      <c r="J1213">
        <v>17947.599999999999</v>
      </c>
      <c r="K1213" t="s">
        <v>33</v>
      </c>
      <c r="L1213" t="s">
        <v>34</v>
      </c>
      <c r="M1213" t="s">
        <v>54</v>
      </c>
      <c r="N1213" t="s">
        <v>22</v>
      </c>
    </row>
    <row r="1214" spans="1:14" x14ac:dyDescent="0.3">
      <c r="A1214" t="s">
        <v>1275</v>
      </c>
      <c r="B1214" s="1">
        <v>45716</v>
      </c>
      <c r="C1214" t="s">
        <v>52</v>
      </c>
      <c r="D1214" t="s">
        <v>39</v>
      </c>
      <c r="E1214" t="s">
        <v>49</v>
      </c>
      <c r="F1214" t="s">
        <v>73</v>
      </c>
      <c r="G1214">
        <v>5</v>
      </c>
      <c r="H1214">
        <v>1079.97</v>
      </c>
      <c r="I1214">
        <v>0.02</v>
      </c>
      <c r="J1214">
        <v>5291.85</v>
      </c>
      <c r="K1214" t="s">
        <v>33</v>
      </c>
      <c r="L1214" t="s">
        <v>34</v>
      </c>
      <c r="M1214" t="s">
        <v>54</v>
      </c>
      <c r="N1214" t="s">
        <v>22</v>
      </c>
    </row>
    <row r="1215" spans="1:14" x14ac:dyDescent="0.3">
      <c r="A1215" t="s">
        <v>1276</v>
      </c>
      <c r="B1215" s="1">
        <v>45795</v>
      </c>
      <c r="C1215" t="s">
        <v>24</v>
      </c>
      <c r="D1215" t="s">
        <v>43</v>
      </c>
      <c r="E1215" t="s">
        <v>99</v>
      </c>
      <c r="F1215" t="s">
        <v>111</v>
      </c>
      <c r="G1215">
        <v>3</v>
      </c>
      <c r="H1215">
        <v>4790.28</v>
      </c>
      <c r="I1215">
        <v>0.09</v>
      </c>
      <c r="J1215">
        <v>13077.46</v>
      </c>
      <c r="K1215" t="s">
        <v>19</v>
      </c>
      <c r="L1215" t="s">
        <v>20</v>
      </c>
      <c r="M1215" t="s">
        <v>30</v>
      </c>
      <c r="N1215" t="s">
        <v>22</v>
      </c>
    </row>
    <row r="1216" spans="1:14" x14ac:dyDescent="0.3">
      <c r="A1216" t="s">
        <v>1277</v>
      </c>
      <c r="B1216" s="1">
        <v>45684</v>
      </c>
      <c r="C1216" t="s">
        <v>48</v>
      </c>
      <c r="D1216" t="s">
        <v>16</v>
      </c>
      <c r="E1216" t="s">
        <v>49</v>
      </c>
      <c r="F1216" t="s">
        <v>73</v>
      </c>
      <c r="G1216">
        <v>2</v>
      </c>
      <c r="H1216">
        <v>3420.58</v>
      </c>
      <c r="I1216">
        <v>0.18</v>
      </c>
      <c r="J1216">
        <v>5609.75</v>
      </c>
      <c r="K1216" t="s">
        <v>46</v>
      </c>
      <c r="L1216" t="s">
        <v>34</v>
      </c>
      <c r="M1216" t="s">
        <v>30</v>
      </c>
      <c r="N1216" t="s">
        <v>22</v>
      </c>
    </row>
    <row r="1217" spans="1:14" x14ac:dyDescent="0.3">
      <c r="A1217" t="s">
        <v>1278</v>
      </c>
      <c r="B1217" s="1">
        <v>45783</v>
      </c>
      <c r="C1217" t="s">
        <v>48</v>
      </c>
      <c r="D1217" t="s">
        <v>16</v>
      </c>
      <c r="E1217" t="s">
        <v>49</v>
      </c>
      <c r="F1217" t="s">
        <v>50</v>
      </c>
      <c r="G1217">
        <v>5</v>
      </c>
      <c r="H1217">
        <v>395.4</v>
      </c>
      <c r="I1217">
        <v>0.25</v>
      </c>
      <c r="J1217">
        <v>1482.75</v>
      </c>
      <c r="K1217" t="s">
        <v>41</v>
      </c>
      <c r="L1217" t="s">
        <v>20</v>
      </c>
      <c r="M1217" t="s">
        <v>30</v>
      </c>
      <c r="N1217" t="s">
        <v>22</v>
      </c>
    </row>
    <row r="1218" spans="1:14" x14ac:dyDescent="0.3">
      <c r="A1218" t="s">
        <v>1279</v>
      </c>
      <c r="B1218" s="1">
        <v>45828</v>
      </c>
      <c r="C1218" t="s">
        <v>36</v>
      </c>
      <c r="D1218" t="s">
        <v>16</v>
      </c>
      <c r="E1218" t="s">
        <v>17</v>
      </c>
      <c r="F1218" t="s">
        <v>32</v>
      </c>
      <c r="G1218">
        <v>5</v>
      </c>
      <c r="H1218">
        <v>1735.39</v>
      </c>
      <c r="I1218">
        <v>0.02</v>
      </c>
      <c r="J1218">
        <v>8503.41</v>
      </c>
      <c r="K1218" t="s">
        <v>41</v>
      </c>
      <c r="L1218" t="s">
        <v>34</v>
      </c>
      <c r="M1218" t="s">
        <v>54</v>
      </c>
      <c r="N1218" t="s">
        <v>59</v>
      </c>
    </row>
    <row r="1219" spans="1:14" x14ac:dyDescent="0.3">
      <c r="A1219" t="s">
        <v>1280</v>
      </c>
      <c r="B1219" s="1">
        <v>45806</v>
      </c>
      <c r="C1219" t="s">
        <v>36</v>
      </c>
      <c r="D1219" t="s">
        <v>25</v>
      </c>
      <c r="E1219" t="s">
        <v>17</v>
      </c>
      <c r="F1219" t="s">
        <v>44</v>
      </c>
      <c r="G1219">
        <v>4</v>
      </c>
      <c r="H1219">
        <v>3089.15</v>
      </c>
      <c r="I1219">
        <v>0.25</v>
      </c>
      <c r="J1219">
        <v>9267.4500000000007</v>
      </c>
      <c r="K1219" t="s">
        <v>58</v>
      </c>
      <c r="L1219" t="s">
        <v>29</v>
      </c>
      <c r="M1219" t="s">
        <v>54</v>
      </c>
      <c r="N1219" t="s">
        <v>88</v>
      </c>
    </row>
    <row r="1220" spans="1:14" x14ac:dyDescent="0.3">
      <c r="A1220" t="s">
        <v>1281</v>
      </c>
      <c r="B1220" s="1">
        <v>45755</v>
      </c>
      <c r="C1220" t="s">
        <v>52</v>
      </c>
      <c r="D1220" t="s">
        <v>25</v>
      </c>
      <c r="E1220" t="s">
        <v>49</v>
      </c>
      <c r="F1220" t="s">
        <v>50</v>
      </c>
      <c r="G1220">
        <v>2</v>
      </c>
      <c r="H1220">
        <v>3274.42</v>
      </c>
      <c r="I1220">
        <v>0.08</v>
      </c>
      <c r="J1220">
        <v>6024.93</v>
      </c>
      <c r="K1220" t="s">
        <v>46</v>
      </c>
      <c r="L1220" t="s">
        <v>20</v>
      </c>
      <c r="M1220" t="s">
        <v>21</v>
      </c>
      <c r="N1220" t="s">
        <v>37</v>
      </c>
    </row>
    <row r="1221" spans="1:14" x14ac:dyDescent="0.3">
      <c r="A1221" t="s">
        <v>1282</v>
      </c>
      <c r="B1221" s="1">
        <v>45679</v>
      </c>
      <c r="C1221" t="s">
        <v>24</v>
      </c>
      <c r="D1221" t="s">
        <v>39</v>
      </c>
      <c r="E1221" t="s">
        <v>49</v>
      </c>
      <c r="F1221" t="s">
        <v>53</v>
      </c>
      <c r="G1221">
        <v>1</v>
      </c>
      <c r="H1221">
        <v>141.84</v>
      </c>
      <c r="I1221">
        <v>0.08</v>
      </c>
      <c r="J1221">
        <v>130.49</v>
      </c>
      <c r="K1221" t="s">
        <v>33</v>
      </c>
      <c r="L1221" t="s">
        <v>34</v>
      </c>
      <c r="M1221" t="s">
        <v>54</v>
      </c>
      <c r="N1221" t="s">
        <v>37</v>
      </c>
    </row>
    <row r="1222" spans="1:14" x14ac:dyDescent="0.3">
      <c r="A1222" t="s">
        <v>1283</v>
      </c>
      <c r="B1222" s="1">
        <v>45829</v>
      </c>
      <c r="C1222" t="s">
        <v>36</v>
      </c>
      <c r="D1222" t="s">
        <v>43</v>
      </c>
      <c r="E1222" t="s">
        <v>27</v>
      </c>
      <c r="F1222" t="s">
        <v>28</v>
      </c>
      <c r="G1222">
        <v>2</v>
      </c>
      <c r="H1222">
        <v>3872.65</v>
      </c>
      <c r="I1222">
        <v>0.14000000000000001</v>
      </c>
      <c r="J1222">
        <v>6660.96</v>
      </c>
      <c r="K1222" t="s">
        <v>41</v>
      </c>
      <c r="L1222" t="s">
        <v>29</v>
      </c>
      <c r="M1222" t="s">
        <v>30</v>
      </c>
      <c r="N1222" t="s">
        <v>22</v>
      </c>
    </row>
    <row r="1223" spans="1:14" x14ac:dyDescent="0.3">
      <c r="A1223" t="s">
        <v>1284</v>
      </c>
      <c r="B1223" s="1">
        <v>45662</v>
      </c>
      <c r="C1223" t="s">
        <v>15</v>
      </c>
      <c r="D1223" t="s">
        <v>43</v>
      </c>
      <c r="E1223" t="s">
        <v>61</v>
      </c>
      <c r="F1223" t="s">
        <v>75</v>
      </c>
      <c r="G1223">
        <v>1</v>
      </c>
      <c r="H1223">
        <v>2713.77</v>
      </c>
      <c r="I1223">
        <v>0.24</v>
      </c>
      <c r="J1223">
        <v>2062.4699999999998</v>
      </c>
      <c r="K1223" t="s">
        <v>19</v>
      </c>
      <c r="L1223" t="s">
        <v>20</v>
      </c>
      <c r="M1223" t="s">
        <v>54</v>
      </c>
      <c r="N1223" t="s">
        <v>22</v>
      </c>
    </row>
    <row r="1224" spans="1:14" x14ac:dyDescent="0.3">
      <c r="A1224" t="s">
        <v>1285</v>
      </c>
      <c r="B1224" s="1">
        <v>45771</v>
      </c>
      <c r="C1224" t="s">
        <v>15</v>
      </c>
      <c r="D1224" t="s">
        <v>43</v>
      </c>
      <c r="E1224" t="s">
        <v>17</v>
      </c>
      <c r="F1224" t="s">
        <v>32</v>
      </c>
      <c r="G1224">
        <v>2</v>
      </c>
      <c r="H1224">
        <v>1088.3399999999999</v>
      </c>
      <c r="I1224">
        <v>0.04</v>
      </c>
      <c r="J1224">
        <v>2089.61</v>
      </c>
      <c r="K1224" t="s">
        <v>19</v>
      </c>
      <c r="L1224" t="s">
        <v>29</v>
      </c>
      <c r="M1224" t="s">
        <v>30</v>
      </c>
      <c r="N1224" t="s">
        <v>37</v>
      </c>
    </row>
    <row r="1225" spans="1:14" x14ac:dyDescent="0.3">
      <c r="A1225" t="s">
        <v>1286</v>
      </c>
      <c r="B1225" s="1">
        <v>45715</v>
      </c>
      <c r="C1225" t="s">
        <v>24</v>
      </c>
      <c r="D1225" t="s">
        <v>43</v>
      </c>
      <c r="E1225" t="s">
        <v>61</v>
      </c>
      <c r="F1225" t="s">
        <v>66</v>
      </c>
      <c r="G1225">
        <v>1</v>
      </c>
      <c r="H1225">
        <v>4187.37</v>
      </c>
      <c r="I1225">
        <v>0.09</v>
      </c>
      <c r="J1225">
        <v>3810.51</v>
      </c>
      <c r="K1225" t="s">
        <v>19</v>
      </c>
      <c r="L1225" t="s">
        <v>34</v>
      </c>
      <c r="M1225" t="s">
        <v>30</v>
      </c>
      <c r="N1225" t="s">
        <v>22</v>
      </c>
    </row>
    <row r="1226" spans="1:14" x14ac:dyDescent="0.3">
      <c r="A1226" t="s">
        <v>1287</v>
      </c>
      <c r="B1226" s="1">
        <v>45751</v>
      </c>
      <c r="C1226" t="s">
        <v>48</v>
      </c>
      <c r="D1226" t="s">
        <v>16</v>
      </c>
      <c r="E1226" t="s">
        <v>49</v>
      </c>
      <c r="F1226" t="s">
        <v>50</v>
      </c>
      <c r="G1226">
        <v>4</v>
      </c>
      <c r="H1226">
        <v>2992.06</v>
      </c>
      <c r="I1226">
        <v>0.03</v>
      </c>
      <c r="J1226">
        <v>11609.19</v>
      </c>
      <c r="K1226" t="s">
        <v>19</v>
      </c>
      <c r="L1226" t="s">
        <v>20</v>
      </c>
      <c r="M1226" t="s">
        <v>54</v>
      </c>
      <c r="N1226" t="s">
        <v>22</v>
      </c>
    </row>
    <row r="1227" spans="1:14" x14ac:dyDescent="0.3">
      <c r="A1227" t="s">
        <v>1288</v>
      </c>
      <c r="B1227" s="1">
        <v>45752</v>
      </c>
      <c r="C1227" t="s">
        <v>48</v>
      </c>
      <c r="D1227" t="s">
        <v>39</v>
      </c>
      <c r="E1227" t="s">
        <v>61</v>
      </c>
      <c r="F1227" t="s">
        <v>62</v>
      </c>
      <c r="G1227">
        <v>3</v>
      </c>
      <c r="H1227">
        <v>2134.13</v>
      </c>
      <c r="I1227">
        <v>0.05</v>
      </c>
      <c r="J1227">
        <v>6082.27</v>
      </c>
      <c r="K1227" t="s">
        <v>33</v>
      </c>
      <c r="L1227" t="s">
        <v>34</v>
      </c>
      <c r="M1227" t="s">
        <v>54</v>
      </c>
      <c r="N1227" t="s">
        <v>22</v>
      </c>
    </row>
    <row r="1228" spans="1:14" x14ac:dyDescent="0.3">
      <c r="A1228" t="s">
        <v>1289</v>
      </c>
      <c r="B1228" s="1">
        <v>45745</v>
      </c>
      <c r="C1228" t="s">
        <v>48</v>
      </c>
      <c r="D1228" t="s">
        <v>39</v>
      </c>
      <c r="E1228" t="s">
        <v>27</v>
      </c>
      <c r="F1228" t="s">
        <v>79</v>
      </c>
      <c r="G1228">
        <v>4</v>
      </c>
      <c r="H1228">
        <v>4036.72</v>
      </c>
      <c r="I1228">
        <v>0.1</v>
      </c>
      <c r="J1228">
        <v>14532.19</v>
      </c>
      <c r="K1228" t="s">
        <v>58</v>
      </c>
      <c r="L1228" t="s">
        <v>20</v>
      </c>
      <c r="M1228" t="s">
        <v>54</v>
      </c>
      <c r="N1228" t="s">
        <v>22</v>
      </c>
    </row>
    <row r="1229" spans="1:14" x14ac:dyDescent="0.3">
      <c r="A1229" t="s">
        <v>1290</v>
      </c>
      <c r="B1229" s="1">
        <v>45726</v>
      </c>
      <c r="C1229" t="s">
        <v>48</v>
      </c>
      <c r="D1229" t="s">
        <v>16</v>
      </c>
      <c r="E1229" t="s">
        <v>99</v>
      </c>
      <c r="F1229" t="s">
        <v>120</v>
      </c>
      <c r="G1229">
        <v>1</v>
      </c>
      <c r="H1229">
        <v>3287.12</v>
      </c>
      <c r="I1229">
        <v>0.2</v>
      </c>
      <c r="J1229">
        <v>2629.7</v>
      </c>
      <c r="K1229" t="s">
        <v>46</v>
      </c>
      <c r="L1229" t="s">
        <v>20</v>
      </c>
      <c r="M1229" t="s">
        <v>30</v>
      </c>
      <c r="N1229" t="s">
        <v>59</v>
      </c>
    </row>
    <row r="1230" spans="1:14" x14ac:dyDescent="0.3">
      <c r="A1230" t="s">
        <v>1291</v>
      </c>
      <c r="B1230" s="1">
        <v>45695</v>
      </c>
      <c r="C1230" t="s">
        <v>24</v>
      </c>
      <c r="D1230" t="s">
        <v>43</v>
      </c>
      <c r="E1230" t="s">
        <v>99</v>
      </c>
      <c r="F1230" t="s">
        <v>111</v>
      </c>
      <c r="G1230">
        <v>2</v>
      </c>
      <c r="H1230">
        <v>2866.44</v>
      </c>
      <c r="I1230">
        <v>0.03</v>
      </c>
      <c r="J1230">
        <v>5560.89</v>
      </c>
      <c r="K1230" t="s">
        <v>19</v>
      </c>
      <c r="L1230" t="s">
        <v>20</v>
      </c>
      <c r="M1230" t="s">
        <v>54</v>
      </c>
      <c r="N1230" t="s">
        <v>22</v>
      </c>
    </row>
    <row r="1231" spans="1:14" x14ac:dyDescent="0.3">
      <c r="A1231" t="s">
        <v>1292</v>
      </c>
      <c r="B1231" s="1">
        <v>45669</v>
      </c>
      <c r="C1231" t="s">
        <v>36</v>
      </c>
      <c r="D1231" t="s">
        <v>25</v>
      </c>
      <c r="E1231" t="s">
        <v>17</v>
      </c>
      <c r="F1231" t="s">
        <v>18</v>
      </c>
      <c r="G1231">
        <v>3</v>
      </c>
      <c r="H1231">
        <v>1921.35</v>
      </c>
      <c r="I1231">
        <v>0.1</v>
      </c>
      <c r="J1231">
        <v>5187.6400000000003</v>
      </c>
      <c r="K1231" t="s">
        <v>19</v>
      </c>
      <c r="L1231" t="s">
        <v>29</v>
      </c>
      <c r="M1231" t="s">
        <v>54</v>
      </c>
      <c r="N1231" t="s">
        <v>22</v>
      </c>
    </row>
    <row r="1232" spans="1:14" x14ac:dyDescent="0.3">
      <c r="A1232" t="s">
        <v>1293</v>
      </c>
      <c r="B1232" s="1">
        <v>45709</v>
      </c>
      <c r="C1232" t="s">
        <v>52</v>
      </c>
      <c r="D1232" t="s">
        <v>39</v>
      </c>
      <c r="E1232" t="s">
        <v>27</v>
      </c>
      <c r="F1232" t="s">
        <v>68</v>
      </c>
      <c r="G1232">
        <v>2</v>
      </c>
      <c r="H1232">
        <v>246.9</v>
      </c>
      <c r="I1232">
        <v>0.05</v>
      </c>
      <c r="J1232">
        <v>469.11</v>
      </c>
      <c r="K1232" t="s">
        <v>46</v>
      </c>
      <c r="L1232" t="s">
        <v>20</v>
      </c>
      <c r="M1232" t="s">
        <v>30</v>
      </c>
      <c r="N1232" t="s">
        <v>37</v>
      </c>
    </row>
    <row r="1233" spans="1:14" x14ac:dyDescent="0.3">
      <c r="A1233" t="s">
        <v>1294</v>
      </c>
      <c r="B1233" s="1">
        <v>45842</v>
      </c>
      <c r="C1233" t="s">
        <v>24</v>
      </c>
      <c r="D1233" t="s">
        <v>25</v>
      </c>
      <c r="E1233" t="s">
        <v>99</v>
      </c>
      <c r="F1233" t="s">
        <v>111</v>
      </c>
      <c r="G1233">
        <v>1</v>
      </c>
      <c r="H1233">
        <v>4455.22</v>
      </c>
      <c r="I1233">
        <v>0.01</v>
      </c>
      <c r="J1233">
        <v>4410.67</v>
      </c>
      <c r="K1233" t="s">
        <v>58</v>
      </c>
      <c r="L1233" t="s">
        <v>34</v>
      </c>
      <c r="M1233" t="s">
        <v>54</v>
      </c>
      <c r="N1233" t="s">
        <v>22</v>
      </c>
    </row>
    <row r="1234" spans="1:14" x14ac:dyDescent="0.3">
      <c r="A1234" t="s">
        <v>1295</v>
      </c>
      <c r="B1234" s="1">
        <v>45827</v>
      </c>
      <c r="C1234" t="s">
        <v>52</v>
      </c>
      <c r="D1234" t="s">
        <v>16</v>
      </c>
      <c r="E1234" t="s">
        <v>49</v>
      </c>
      <c r="F1234" t="s">
        <v>73</v>
      </c>
      <c r="G1234">
        <v>3</v>
      </c>
      <c r="H1234">
        <v>4496.22</v>
      </c>
      <c r="I1234">
        <v>0.02</v>
      </c>
      <c r="J1234">
        <v>13218.89</v>
      </c>
      <c r="K1234" t="s">
        <v>58</v>
      </c>
      <c r="L1234" t="s">
        <v>20</v>
      </c>
      <c r="M1234" t="s">
        <v>54</v>
      </c>
      <c r="N1234" t="s">
        <v>59</v>
      </c>
    </row>
    <row r="1235" spans="1:14" x14ac:dyDescent="0.3">
      <c r="A1235" t="s">
        <v>1296</v>
      </c>
      <c r="B1235" s="1">
        <v>45752</v>
      </c>
      <c r="C1235" t="s">
        <v>36</v>
      </c>
      <c r="D1235" t="s">
        <v>25</v>
      </c>
      <c r="E1235" t="s">
        <v>49</v>
      </c>
      <c r="F1235" t="s">
        <v>50</v>
      </c>
      <c r="G1235">
        <v>5</v>
      </c>
      <c r="H1235">
        <v>4066.18</v>
      </c>
      <c r="I1235">
        <v>0</v>
      </c>
      <c r="J1235">
        <v>20330.900000000001</v>
      </c>
      <c r="K1235" t="s">
        <v>41</v>
      </c>
      <c r="L1235" t="s">
        <v>20</v>
      </c>
      <c r="M1235" t="s">
        <v>30</v>
      </c>
      <c r="N1235" t="s">
        <v>37</v>
      </c>
    </row>
    <row r="1236" spans="1:14" x14ac:dyDescent="0.3">
      <c r="A1236" t="s">
        <v>1297</v>
      </c>
      <c r="B1236" s="1">
        <v>45682</v>
      </c>
      <c r="C1236" t="s">
        <v>15</v>
      </c>
      <c r="D1236" t="s">
        <v>43</v>
      </c>
      <c r="E1236" t="s">
        <v>99</v>
      </c>
      <c r="F1236" t="s">
        <v>100</v>
      </c>
      <c r="G1236">
        <v>5</v>
      </c>
      <c r="H1236">
        <v>3375.32</v>
      </c>
      <c r="I1236">
        <v>0.02</v>
      </c>
      <c r="J1236">
        <v>16539.07</v>
      </c>
      <c r="K1236" t="s">
        <v>33</v>
      </c>
      <c r="L1236" t="s">
        <v>34</v>
      </c>
      <c r="M1236" t="s">
        <v>30</v>
      </c>
      <c r="N1236" t="s">
        <v>22</v>
      </c>
    </row>
    <row r="1237" spans="1:14" x14ac:dyDescent="0.3">
      <c r="A1237" t="s">
        <v>1298</v>
      </c>
      <c r="B1237" s="1">
        <v>45819</v>
      </c>
      <c r="C1237" t="s">
        <v>52</v>
      </c>
      <c r="D1237" t="s">
        <v>16</v>
      </c>
      <c r="E1237" t="s">
        <v>27</v>
      </c>
      <c r="F1237" t="s">
        <v>68</v>
      </c>
      <c r="G1237">
        <v>1</v>
      </c>
      <c r="H1237">
        <v>3741.61</v>
      </c>
      <c r="I1237">
        <v>0.18</v>
      </c>
      <c r="J1237">
        <v>3068.12</v>
      </c>
      <c r="K1237" t="s">
        <v>19</v>
      </c>
      <c r="L1237" t="s">
        <v>29</v>
      </c>
      <c r="M1237" t="s">
        <v>30</v>
      </c>
      <c r="N1237" t="s">
        <v>22</v>
      </c>
    </row>
    <row r="1238" spans="1:14" x14ac:dyDescent="0.3">
      <c r="A1238" t="s">
        <v>1299</v>
      </c>
      <c r="B1238" s="1">
        <v>45672</v>
      </c>
      <c r="C1238" t="s">
        <v>15</v>
      </c>
      <c r="D1238" t="s">
        <v>39</v>
      </c>
      <c r="E1238" t="s">
        <v>99</v>
      </c>
      <c r="F1238" t="s">
        <v>100</v>
      </c>
      <c r="G1238">
        <v>4</v>
      </c>
      <c r="H1238">
        <v>3374.95</v>
      </c>
      <c r="I1238">
        <v>0.13</v>
      </c>
      <c r="J1238">
        <v>11744.83</v>
      </c>
      <c r="K1238" t="s">
        <v>46</v>
      </c>
      <c r="L1238" t="s">
        <v>29</v>
      </c>
      <c r="M1238" t="s">
        <v>21</v>
      </c>
      <c r="N1238" t="s">
        <v>88</v>
      </c>
    </row>
    <row r="1239" spans="1:14" x14ac:dyDescent="0.3">
      <c r="A1239" t="s">
        <v>1300</v>
      </c>
      <c r="B1239" s="1">
        <v>45737</v>
      </c>
      <c r="C1239" t="s">
        <v>48</v>
      </c>
      <c r="D1239" t="s">
        <v>25</v>
      </c>
      <c r="E1239" t="s">
        <v>61</v>
      </c>
      <c r="F1239" t="s">
        <v>66</v>
      </c>
      <c r="G1239">
        <v>2</v>
      </c>
      <c r="H1239">
        <v>2938.91</v>
      </c>
      <c r="I1239">
        <v>0.23</v>
      </c>
      <c r="J1239">
        <v>4525.92</v>
      </c>
      <c r="K1239" t="s">
        <v>46</v>
      </c>
      <c r="L1239" t="s">
        <v>29</v>
      </c>
      <c r="M1239" t="s">
        <v>54</v>
      </c>
      <c r="N1239" t="s">
        <v>22</v>
      </c>
    </row>
    <row r="1240" spans="1:14" x14ac:dyDescent="0.3">
      <c r="A1240" t="s">
        <v>1301</v>
      </c>
      <c r="B1240" s="1">
        <v>45755</v>
      </c>
      <c r="C1240" t="s">
        <v>24</v>
      </c>
      <c r="D1240" t="s">
        <v>39</v>
      </c>
      <c r="E1240" t="s">
        <v>61</v>
      </c>
      <c r="F1240" t="s">
        <v>75</v>
      </c>
      <c r="G1240">
        <v>1</v>
      </c>
      <c r="H1240">
        <v>4193.3599999999997</v>
      </c>
      <c r="I1240">
        <v>0.06</v>
      </c>
      <c r="J1240">
        <v>3941.76</v>
      </c>
      <c r="K1240" t="s">
        <v>19</v>
      </c>
      <c r="L1240" t="s">
        <v>29</v>
      </c>
      <c r="M1240" t="s">
        <v>30</v>
      </c>
      <c r="N1240" t="s">
        <v>22</v>
      </c>
    </row>
    <row r="1241" spans="1:14" x14ac:dyDescent="0.3">
      <c r="A1241" t="s">
        <v>1302</v>
      </c>
      <c r="B1241" s="1">
        <v>45674</v>
      </c>
      <c r="C1241" t="s">
        <v>15</v>
      </c>
      <c r="D1241" t="s">
        <v>39</v>
      </c>
      <c r="E1241" t="s">
        <v>49</v>
      </c>
      <c r="F1241" t="s">
        <v>50</v>
      </c>
      <c r="G1241">
        <v>5</v>
      </c>
      <c r="H1241">
        <v>2087.7199999999998</v>
      </c>
      <c r="I1241">
        <v>0.25</v>
      </c>
      <c r="J1241">
        <v>7828.95</v>
      </c>
      <c r="K1241" t="s">
        <v>19</v>
      </c>
      <c r="L1241" t="s">
        <v>29</v>
      </c>
      <c r="M1241" t="s">
        <v>30</v>
      </c>
      <c r="N1241" t="s">
        <v>22</v>
      </c>
    </row>
    <row r="1242" spans="1:14" x14ac:dyDescent="0.3">
      <c r="A1242" t="s">
        <v>1303</v>
      </c>
      <c r="B1242" s="1">
        <v>45772</v>
      </c>
      <c r="C1242" t="s">
        <v>36</v>
      </c>
      <c r="D1242" t="s">
        <v>25</v>
      </c>
      <c r="E1242" t="s">
        <v>17</v>
      </c>
      <c r="F1242" t="s">
        <v>32</v>
      </c>
      <c r="G1242">
        <v>2</v>
      </c>
      <c r="H1242">
        <v>1350.89</v>
      </c>
      <c r="I1242">
        <v>0.2</v>
      </c>
      <c r="J1242">
        <v>2161.42</v>
      </c>
      <c r="K1242" t="s">
        <v>46</v>
      </c>
      <c r="L1242" t="s">
        <v>34</v>
      </c>
      <c r="M1242" t="s">
        <v>30</v>
      </c>
      <c r="N1242" t="s">
        <v>22</v>
      </c>
    </row>
    <row r="1243" spans="1:14" x14ac:dyDescent="0.3">
      <c r="A1243" t="s">
        <v>1304</v>
      </c>
      <c r="B1243" s="1">
        <v>45782</v>
      </c>
      <c r="C1243" t="s">
        <v>24</v>
      </c>
      <c r="D1243" t="s">
        <v>25</v>
      </c>
      <c r="E1243" t="s">
        <v>99</v>
      </c>
      <c r="F1243" t="s">
        <v>111</v>
      </c>
      <c r="G1243">
        <v>1</v>
      </c>
      <c r="H1243">
        <v>4827.29</v>
      </c>
      <c r="I1243">
        <v>0.03</v>
      </c>
      <c r="J1243">
        <v>4682.47</v>
      </c>
      <c r="K1243" t="s">
        <v>46</v>
      </c>
      <c r="L1243" t="s">
        <v>34</v>
      </c>
      <c r="M1243" t="s">
        <v>54</v>
      </c>
      <c r="N1243" t="s">
        <v>88</v>
      </c>
    </row>
    <row r="1244" spans="1:14" x14ac:dyDescent="0.3">
      <c r="A1244" t="s">
        <v>1305</v>
      </c>
      <c r="B1244" s="1">
        <v>45793</v>
      </c>
      <c r="C1244" t="s">
        <v>52</v>
      </c>
      <c r="D1244" t="s">
        <v>43</v>
      </c>
      <c r="E1244" t="s">
        <v>17</v>
      </c>
      <c r="F1244" t="s">
        <v>32</v>
      </c>
      <c r="G1244">
        <v>4</v>
      </c>
      <c r="H1244">
        <v>2237.1999999999998</v>
      </c>
      <c r="I1244">
        <v>0.25</v>
      </c>
      <c r="J1244">
        <v>6711.6</v>
      </c>
      <c r="K1244" t="s">
        <v>46</v>
      </c>
      <c r="L1244" t="s">
        <v>34</v>
      </c>
      <c r="M1244" t="s">
        <v>54</v>
      </c>
      <c r="N1244" t="s">
        <v>22</v>
      </c>
    </row>
    <row r="1245" spans="1:14" x14ac:dyDescent="0.3">
      <c r="A1245" t="s">
        <v>1306</v>
      </c>
      <c r="B1245" s="1">
        <v>45670</v>
      </c>
      <c r="C1245" t="s">
        <v>52</v>
      </c>
      <c r="D1245" t="s">
        <v>43</v>
      </c>
      <c r="E1245" t="s">
        <v>27</v>
      </c>
      <c r="F1245" t="s">
        <v>68</v>
      </c>
      <c r="G1245">
        <v>2</v>
      </c>
      <c r="H1245">
        <v>3693.72</v>
      </c>
      <c r="I1245">
        <v>0.09</v>
      </c>
      <c r="J1245">
        <v>6722.57</v>
      </c>
      <c r="K1245" t="s">
        <v>19</v>
      </c>
      <c r="L1245" t="s">
        <v>20</v>
      </c>
      <c r="M1245" t="s">
        <v>21</v>
      </c>
      <c r="N1245" t="s">
        <v>22</v>
      </c>
    </row>
    <row r="1246" spans="1:14" x14ac:dyDescent="0.3">
      <c r="A1246" t="s">
        <v>1307</v>
      </c>
      <c r="B1246" s="1">
        <v>45689</v>
      </c>
      <c r="C1246" t="s">
        <v>36</v>
      </c>
      <c r="D1246" t="s">
        <v>39</v>
      </c>
      <c r="E1246" t="s">
        <v>27</v>
      </c>
      <c r="F1246" t="s">
        <v>79</v>
      </c>
      <c r="G1246">
        <v>2</v>
      </c>
      <c r="H1246">
        <v>3499.1</v>
      </c>
      <c r="I1246">
        <v>0.25</v>
      </c>
      <c r="J1246">
        <v>5248.65</v>
      </c>
      <c r="K1246" t="s">
        <v>46</v>
      </c>
      <c r="L1246" t="s">
        <v>29</v>
      </c>
      <c r="M1246" t="s">
        <v>54</v>
      </c>
      <c r="N1246" t="s">
        <v>22</v>
      </c>
    </row>
    <row r="1247" spans="1:14" x14ac:dyDescent="0.3">
      <c r="A1247" t="s">
        <v>1308</v>
      </c>
      <c r="B1247" s="1">
        <v>45688</v>
      </c>
      <c r="C1247" t="s">
        <v>52</v>
      </c>
      <c r="D1247" t="s">
        <v>39</v>
      </c>
      <c r="E1247" t="s">
        <v>61</v>
      </c>
      <c r="F1247" t="s">
        <v>75</v>
      </c>
      <c r="G1247">
        <v>4</v>
      </c>
      <c r="H1247">
        <v>4305.6499999999996</v>
      </c>
      <c r="I1247">
        <v>7.0000000000000007E-2</v>
      </c>
      <c r="J1247">
        <v>16017.02</v>
      </c>
      <c r="K1247" t="s">
        <v>33</v>
      </c>
      <c r="L1247" t="s">
        <v>29</v>
      </c>
      <c r="M1247" t="s">
        <v>30</v>
      </c>
      <c r="N1247" t="s">
        <v>22</v>
      </c>
    </row>
    <row r="1248" spans="1:14" x14ac:dyDescent="0.3">
      <c r="A1248" t="s">
        <v>1309</v>
      </c>
      <c r="B1248" s="1">
        <v>45817</v>
      </c>
      <c r="C1248" t="s">
        <v>48</v>
      </c>
      <c r="D1248" t="s">
        <v>39</v>
      </c>
      <c r="E1248" t="s">
        <v>27</v>
      </c>
      <c r="F1248" t="s">
        <v>87</v>
      </c>
      <c r="G1248">
        <v>2</v>
      </c>
      <c r="H1248">
        <v>3635.58</v>
      </c>
      <c r="I1248">
        <v>7.0000000000000007E-2</v>
      </c>
      <c r="J1248">
        <v>6762.18</v>
      </c>
      <c r="K1248" t="s">
        <v>41</v>
      </c>
      <c r="L1248" t="s">
        <v>34</v>
      </c>
      <c r="M1248" t="s">
        <v>54</v>
      </c>
      <c r="N1248" t="s">
        <v>22</v>
      </c>
    </row>
    <row r="1249" spans="1:14" x14ac:dyDescent="0.3">
      <c r="A1249" t="s">
        <v>1310</v>
      </c>
      <c r="B1249" s="1">
        <v>45769</v>
      </c>
      <c r="C1249" t="s">
        <v>36</v>
      </c>
      <c r="D1249" t="s">
        <v>43</v>
      </c>
      <c r="E1249" t="s">
        <v>99</v>
      </c>
      <c r="F1249" t="s">
        <v>100</v>
      </c>
      <c r="G1249">
        <v>1</v>
      </c>
      <c r="H1249">
        <v>3800.33</v>
      </c>
      <c r="I1249">
        <v>0.04</v>
      </c>
      <c r="J1249">
        <v>3648.32</v>
      </c>
      <c r="K1249" t="s">
        <v>33</v>
      </c>
      <c r="L1249" t="s">
        <v>20</v>
      </c>
      <c r="M1249" t="s">
        <v>30</v>
      </c>
      <c r="N1249" t="s">
        <v>88</v>
      </c>
    </row>
    <row r="1250" spans="1:14" x14ac:dyDescent="0.3">
      <c r="A1250" t="s">
        <v>1311</v>
      </c>
      <c r="B1250" s="1">
        <v>45718</v>
      </c>
      <c r="C1250" t="s">
        <v>52</v>
      </c>
      <c r="D1250" t="s">
        <v>43</v>
      </c>
      <c r="E1250" t="s">
        <v>61</v>
      </c>
      <c r="F1250" t="s">
        <v>92</v>
      </c>
      <c r="G1250">
        <v>5</v>
      </c>
      <c r="H1250">
        <v>1047.52</v>
      </c>
      <c r="I1250">
        <v>0.21</v>
      </c>
      <c r="J1250">
        <v>4137.7</v>
      </c>
      <c r="K1250" t="s">
        <v>41</v>
      </c>
      <c r="L1250" t="s">
        <v>34</v>
      </c>
      <c r="M1250" t="s">
        <v>54</v>
      </c>
      <c r="N1250" t="s">
        <v>59</v>
      </c>
    </row>
    <row r="1251" spans="1:14" x14ac:dyDescent="0.3">
      <c r="A1251" t="s">
        <v>1312</v>
      </c>
      <c r="B1251" s="1">
        <v>45676</v>
      </c>
      <c r="C1251" t="s">
        <v>48</v>
      </c>
      <c r="D1251" t="s">
        <v>43</v>
      </c>
      <c r="E1251" t="s">
        <v>99</v>
      </c>
      <c r="F1251" t="s">
        <v>100</v>
      </c>
      <c r="G1251">
        <v>5</v>
      </c>
      <c r="H1251">
        <v>4727.2700000000004</v>
      </c>
      <c r="I1251">
        <v>0.04</v>
      </c>
      <c r="J1251">
        <v>22690.9</v>
      </c>
      <c r="K1251" t="s">
        <v>58</v>
      </c>
      <c r="L1251" t="s">
        <v>29</v>
      </c>
      <c r="M1251" t="s">
        <v>30</v>
      </c>
      <c r="N1251" t="s">
        <v>22</v>
      </c>
    </row>
    <row r="1252" spans="1:14" x14ac:dyDescent="0.3">
      <c r="A1252" t="s">
        <v>1313</v>
      </c>
      <c r="B1252" s="1">
        <v>45708</v>
      </c>
      <c r="C1252" t="s">
        <v>24</v>
      </c>
      <c r="D1252" t="s">
        <v>43</v>
      </c>
      <c r="E1252" t="s">
        <v>99</v>
      </c>
      <c r="F1252" t="s">
        <v>120</v>
      </c>
      <c r="G1252">
        <v>5</v>
      </c>
      <c r="H1252">
        <v>602.79999999999995</v>
      </c>
      <c r="I1252">
        <v>0.16</v>
      </c>
      <c r="J1252">
        <v>2531.7600000000002</v>
      </c>
      <c r="K1252" t="s">
        <v>33</v>
      </c>
      <c r="L1252" t="s">
        <v>34</v>
      </c>
      <c r="M1252" t="s">
        <v>30</v>
      </c>
      <c r="N1252" t="s">
        <v>22</v>
      </c>
    </row>
    <row r="1253" spans="1:14" x14ac:dyDescent="0.3">
      <c r="A1253" t="s">
        <v>1314</v>
      </c>
      <c r="B1253" s="1">
        <v>45683</v>
      </c>
      <c r="C1253" t="s">
        <v>36</v>
      </c>
      <c r="D1253" t="s">
        <v>39</v>
      </c>
      <c r="E1253" t="s">
        <v>99</v>
      </c>
      <c r="F1253" t="s">
        <v>120</v>
      </c>
      <c r="G1253">
        <v>2</v>
      </c>
      <c r="H1253">
        <v>444.97</v>
      </c>
      <c r="I1253">
        <v>0.24</v>
      </c>
      <c r="J1253">
        <v>676.35</v>
      </c>
      <c r="K1253" t="s">
        <v>33</v>
      </c>
      <c r="L1253" t="s">
        <v>34</v>
      </c>
      <c r="M1253" t="s">
        <v>21</v>
      </c>
      <c r="N1253" t="s">
        <v>37</v>
      </c>
    </row>
    <row r="1254" spans="1:14" x14ac:dyDescent="0.3">
      <c r="A1254" t="s">
        <v>1315</v>
      </c>
      <c r="B1254" s="1">
        <v>45768</v>
      </c>
      <c r="C1254" t="s">
        <v>15</v>
      </c>
      <c r="D1254" t="s">
        <v>25</v>
      </c>
      <c r="E1254" t="s">
        <v>17</v>
      </c>
      <c r="F1254" t="s">
        <v>40</v>
      </c>
      <c r="G1254">
        <v>4</v>
      </c>
      <c r="H1254">
        <v>2186.96</v>
      </c>
      <c r="I1254">
        <v>0.04</v>
      </c>
      <c r="J1254">
        <v>8397.93</v>
      </c>
      <c r="K1254" t="s">
        <v>58</v>
      </c>
      <c r="L1254" t="s">
        <v>29</v>
      </c>
      <c r="M1254" t="s">
        <v>21</v>
      </c>
      <c r="N1254" t="s">
        <v>88</v>
      </c>
    </row>
    <row r="1255" spans="1:14" x14ac:dyDescent="0.3">
      <c r="A1255" t="s">
        <v>1316</v>
      </c>
      <c r="B1255" s="1">
        <v>45808</v>
      </c>
      <c r="C1255" t="s">
        <v>24</v>
      </c>
      <c r="D1255" t="s">
        <v>25</v>
      </c>
      <c r="E1255" t="s">
        <v>61</v>
      </c>
      <c r="F1255" t="s">
        <v>62</v>
      </c>
      <c r="G1255">
        <v>3</v>
      </c>
      <c r="H1255">
        <v>1282.33</v>
      </c>
      <c r="I1255">
        <v>0.21</v>
      </c>
      <c r="J1255">
        <v>3039.12</v>
      </c>
      <c r="K1255" t="s">
        <v>33</v>
      </c>
      <c r="L1255" t="s">
        <v>29</v>
      </c>
      <c r="M1255" t="s">
        <v>30</v>
      </c>
      <c r="N1255" t="s">
        <v>22</v>
      </c>
    </row>
    <row r="1256" spans="1:14" x14ac:dyDescent="0.3">
      <c r="A1256" t="s">
        <v>1317</v>
      </c>
      <c r="B1256" s="1">
        <v>45740</v>
      </c>
      <c r="C1256" t="s">
        <v>15</v>
      </c>
      <c r="D1256" t="s">
        <v>39</v>
      </c>
      <c r="E1256" t="s">
        <v>17</v>
      </c>
      <c r="F1256" t="s">
        <v>32</v>
      </c>
      <c r="G1256">
        <v>5</v>
      </c>
      <c r="H1256">
        <v>1711.27</v>
      </c>
      <c r="I1256">
        <v>0.17</v>
      </c>
      <c r="J1256">
        <v>7101.77</v>
      </c>
      <c r="K1256" t="s">
        <v>46</v>
      </c>
      <c r="L1256" t="s">
        <v>29</v>
      </c>
      <c r="M1256" t="s">
        <v>30</v>
      </c>
      <c r="N1256" t="s">
        <v>22</v>
      </c>
    </row>
    <row r="1257" spans="1:14" x14ac:dyDescent="0.3">
      <c r="A1257" t="s">
        <v>1318</v>
      </c>
      <c r="B1257" s="1">
        <v>45777</v>
      </c>
      <c r="C1257" t="s">
        <v>52</v>
      </c>
      <c r="D1257" t="s">
        <v>25</v>
      </c>
      <c r="E1257" t="s">
        <v>17</v>
      </c>
      <c r="F1257" t="s">
        <v>40</v>
      </c>
      <c r="G1257">
        <v>2</v>
      </c>
      <c r="H1257">
        <v>2996.31</v>
      </c>
      <c r="I1257">
        <v>0.17</v>
      </c>
      <c r="J1257">
        <v>4973.87</v>
      </c>
      <c r="K1257" t="s">
        <v>33</v>
      </c>
      <c r="L1257" t="s">
        <v>34</v>
      </c>
      <c r="M1257" t="s">
        <v>54</v>
      </c>
      <c r="N1257" t="s">
        <v>22</v>
      </c>
    </row>
    <row r="1258" spans="1:14" x14ac:dyDescent="0.3">
      <c r="A1258" t="s">
        <v>1319</v>
      </c>
      <c r="B1258" s="1">
        <v>45775</v>
      </c>
      <c r="C1258" t="s">
        <v>36</v>
      </c>
      <c r="D1258" t="s">
        <v>16</v>
      </c>
      <c r="E1258" t="s">
        <v>27</v>
      </c>
      <c r="F1258" t="s">
        <v>87</v>
      </c>
      <c r="G1258">
        <v>4</v>
      </c>
      <c r="H1258">
        <v>306.3</v>
      </c>
      <c r="I1258">
        <v>0.03</v>
      </c>
      <c r="J1258">
        <v>1188.44</v>
      </c>
      <c r="K1258" t="s">
        <v>33</v>
      </c>
      <c r="L1258" t="s">
        <v>29</v>
      </c>
      <c r="M1258" t="s">
        <v>21</v>
      </c>
      <c r="N1258" t="s">
        <v>22</v>
      </c>
    </row>
    <row r="1259" spans="1:14" x14ac:dyDescent="0.3">
      <c r="A1259" t="s">
        <v>1320</v>
      </c>
      <c r="B1259" s="1">
        <v>45813</v>
      </c>
      <c r="C1259" t="s">
        <v>15</v>
      </c>
      <c r="D1259" t="s">
        <v>16</v>
      </c>
      <c r="E1259" t="s">
        <v>17</v>
      </c>
      <c r="F1259" t="s">
        <v>44</v>
      </c>
      <c r="G1259">
        <v>5</v>
      </c>
      <c r="H1259">
        <v>2166.96</v>
      </c>
      <c r="I1259">
        <v>0.1</v>
      </c>
      <c r="J1259">
        <v>9751.32</v>
      </c>
      <c r="K1259" t="s">
        <v>33</v>
      </c>
      <c r="L1259" t="s">
        <v>29</v>
      </c>
      <c r="M1259" t="s">
        <v>21</v>
      </c>
      <c r="N1259" t="s">
        <v>22</v>
      </c>
    </row>
    <row r="1260" spans="1:14" x14ac:dyDescent="0.3">
      <c r="A1260" t="s">
        <v>1321</v>
      </c>
      <c r="B1260" s="1">
        <v>45780</v>
      </c>
      <c r="C1260" t="s">
        <v>36</v>
      </c>
      <c r="D1260" t="s">
        <v>16</v>
      </c>
      <c r="E1260" t="s">
        <v>49</v>
      </c>
      <c r="F1260" t="s">
        <v>50</v>
      </c>
      <c r="G1260">
        <v>4</v>
      </c>
      <c r="H1260">
        <v>4084.49</v>
      </c>
      <c r="I1260">
        <v>0.16</v>
      </c>
      <c r="J1260">
        <v>13723.89</v>
      </c>
      <c r="K1260" t="s">
        <v>33</v>
      </c>
      <c r="L1260" t="s">
        <v>20</v>
      </c>
      <c r="M1260" t="s">
        <v>30</v>
      </c>
      <c r="N1260" t="s">
        <v>22</v>
      </c>
    </row>
    <row r="1261" spans="1:14" x14ac:dyDescent="0.3">
      <c r="A1261" t="s">
        <v>1322</v>
      </c>
      <c r="B1261" s="1">
        <v>45703</v>
      </c>
      <c r="C1261" t="s">
        <v>15</v>
      </c>
      <c r="D1261" t="s">
        <v>39</v>
      </c>
      <c r="E1261" t="s">
        <v>61</v>
      </c>
      <c r="F1261" t="s">
        <v>62</v>
      </c>
      <c r="G1261">
        <v>4</v>
      </c>
      <c r="H1261">
        <v>4029.29</v>
      </c>
      <c r="I1261">
        <v>0.18</v>
      </c>
      <c r="J1261">
        <v>13216.07</v>
      </c>
      <c r="K1261" t="s">
        <v>58</v>
      </c>
      <c r="L1261" t="s">
        <v>34</v>
      </c>
      <c r="M1261" t="s">
        <v>30</v>
      </c>
      <c r="N1261" t="s">
        <v>88</v>
      </c>
    </row>
    <row r="1262" spans="1:14" x14ac:dyDescent="0.3">
      <c r="A1262" t="s">
        <v>1323</v>
      </c>
      <c r="B1262" s="1">
        <v>45810</v>
      </c>
      <c r="C1262" t="s">
        <v>52</v>
      </c>
      <c r="D1262" t="s">
        <v>39</v>
      </c>
      <c r="E1262" t="s">
        <v>99</v>
      </c>
      <c r="F1262" t="s">
        <v>111</v>
      </c>
      <c r="G1262">
        <v>1</v>
      </c>
      <c r="H1262">
        <v>1690.11</v>
      </c>
      <c r="I1262">
        <v>0.17</v>
      </c>
      <c r="J1262">
        <v>1402.79</v>
      </c>
      <c r="K1262" t="s">
        <v>46</v>
      </c>
      <c r="L1262" t="s">
        <v>34</v>
      </c>
      <c r="M1262" t="s">
        <v>21</v>
      </c>
      <c r="N1262" t="s">
        <v>88</v>
      </c>
    </row>
    <row r="1263" spans="1:14" x14ac:dyDescent="0.3">
      <c r="A1263" t="s">
        <v>1324</v>
      </c>
      <c r="B1263" s="1">
        <v>45761</v>
      </c>
      <c r="C1263" t="s">
        <v>36</v>
      </c>
      <c r="D1263" t="s">
        <v>25</v>
      </c>
      <c r="E1263" t="s">
        <v>61</v>
      </c>
      <c r="F1263" t="s">
        <v>75</v>
      </c>
      <c r="G1263">
        <v>3</v>
      </c>
      <c r="H1263">
        <v>3729.45</v>
      </c>
      <c r="I1263">
        <v>0.19</v>
      </c>
      <c r="J1263">
        <v>9062.56</v>
      </c>
      <c r="K1263" t="s">
        <v>33</v>
      </c>
      <c r="L1263" t="s">
        <v>29</v>
      </c>
      <c r="M1263" t="s">
        <v>54</v>
      </c>
      <c r="N1263" t="s">
        <v>37</v>
      </c>
    </row>
    <row r="1264" spans="1:14" x14ac:dyDescent="0.3">
      <c r="A1264" t="s">
        <v>1325</v>
      </c>
      <c r="B1264" s="1">
        <v>45733</v>
      </c>
      <c r="C1264" t="s">
        <v>36</v>
      </c>
      <c r="D1264" t="s">
        <v>16</v>
      </c>
      <c r="E1264" t="s">
        <v>99</v>
      </c>
      <c r="F1264" t="s">
        <v>111</v>
      </c>
      <c r="G1264">
        <v>2</v>
      </c>
      <c r="H1264">
        <v>1651.02</v>
      </c>
      <c r="I1264">
        <v>0.08</v>
      </c>
      <c r="J1264">
        <v>3037.88</v>
      </c>
      <c r="K1264" t="s">
        <v>33</v>
      </c>
      <c r="L1264" t="s">
        <v>29</v>
      </c>
      <c r="M1264" t="s">
        <v>21</v>
      </c>
      <c r="N1264" t="s">
        <v>22</v>
      </c>
    </row>
    <row r="1265" spans="1:14" x14ac:dyDescent="0.3">
      <c r="A1265" t="s">
        <v>1326</v>
      </c>
      <c r="B1265" s="1">
        <v>45747</v>
      </c>
      <c r="C1265" t="s">
        <v>52</v>
      </c>
      <c r="D1265" t="s">
        <v>25</v>
      </c>
      <c r="E1265" t="s">
        <v>99</v>
      </c>
      <c r="F1265" t="s">
        <v>115</v>
      </c>
      <c r="G1265">
        <v>3</v>
      </c>
      <c r="H1265">
        <v>4294.28</v>
      </c>
      <c r="I1265">
        <v>0.12</v>
      </c>
      <c r="J1265">
        <v>11336.9</v>
      </c>
      <c r="K1265" t="s">
        <v>41</v>
      </c>
      <c r="L1265" t="s">
        <v>20</v>
      </c>
      <c r="M1265" t="s">
        <v>30</v>
      </c>
      <c r="N1265" t="s">
        <v>37</v>
      </c>
    </row>
    <row r="1266" spans="1:14" x14ac:dyDescent="0.3">
      <c r="A1266" t="s">
        <v>1327</v>
      </c>
      <c r="B1266" s="1">
        <v>45836</v>
      </c>
      <c r="C1266" t="s">
        <v>15</v>
      </c>
      <c r="D1266" t="s">
        <v>39</v>
      </c>
      <c r="E1266" t="s">
        <v>61</v>
      </c>
      <c r="F1266" t="s">
        <v>75</v>
      </c>
      <c r="G1266">
        <v>2</v>
      </c>
      <c r="H1266">
        <v>2951.05</v>
      </c>
      <c r="I1266">
        <v>0.23</v>
      </c>
      <c r="J1266">
        <v>4544.62</v>
      </c>
      <c r="K1266" t="s">
        <v>58</v>
      </c>
      <c r="L1266" t="s">
        <v>20</v>
      </c>
      <c r="M1266" t="s">
        <v>21</v>
      </c>
      <c r="N1266" t="s">
        <v>88</v>
      </c>
    </row>
    <row r="1267" spans="1:14" x14ac:dyDescent="0.3">
      <c r="A1267" t="s">
        <v>1328</v>
      </c>
      <c r="B1267" s="1">
        <v>45745</v>
      </c>
      <c r="C1267" t="s">
        <v>48</v>
      </c>
      <c r="D1267" t="s">
        <v>25</v>
      </c>
      <c r="E1267" t="s">
        <v>27</v>
      </c>
      <c r="F1267" t="s">
        <v>68</v>
      </c>
      <c r="G1267">
        <v>1</v>
      </c>
      <c r="H1267">
        <v>1073.24</v>
      </c>
      <c r="I1267">
        <v>0.02</v>
      </c>
      <c r="J1267">
        <v>1051.78</v>
      </c>
      <c r="K1267" t="s">
        <v>33</v>
      </c>
      <c r="L1267" t="s">
        <v>29</v>
      </c>
      <c r="M1267" t="s">
        <v>21</v>
      </c>
      <c r="N1267" t="s">
        <v>37</v>
      </c>
    </row>
    <row r="1268" spans="1:14" x14ac:dyDescent="0.3">
      <c r="A1268" t="s">
        <v>1329</v>
      </c>
      <c r="B1268" s="1">
        <v>45717</v>
      </c>
      <c r="C1268" t="s">
        <v>36</v>
      </c>
      <c r="D1268" t="s">
        <v>39</v>
      </c>
      <c r="E1268" t="s">
        <v>61</v>
      </c>
      <c r="F1268" t="s">
        <v>66</v>
      </c>
      <c r="G1268">
        <v>2</v>
      </c>
      <c r="H1268">
        <v>4614.17</v>
      </c>
      <c r="I1268">
        <v>0.03</v>
      </c>
      <c r="J1268">
        <v>8951.49</v>
      </c>
      <c r="K1268" t="s">
        <v>46</v>
      </c>
      <c r="L1268" t="s">
        <v>34</v>
      </c>
      <c r="M1268" t="s">
        <v>21</v>
      </c>
      <c r="N1268" t="s">
        <v>22</v>
      </c>
    </row>
    <row r="1269" spans="1:14" x14ac:dyDescent="0.3">
      <c r="A1269" t="s">
        <v>1330</v>
      </c>
      <c r="B1269" s="1">
        <v>45827</v>
      </c>
      <c r="C1269" t="s">
        <v>52</v>
      </c>
      <c r="D1269" t="s">
        <v>16</v>
      </c>
      <c r="E1269" t="s">
        <v>17</v>
      </c>
      <c r="F1269" t="s">
        <v>32</v>
      </c>
      <c r="G1269">
        <v>2</v>
      </c>
      <c r="H1269">
        <v>2785.14</v>
      </c>
      <c r="I1269">
        <v>0.17</v>
      </c>
      <c r="J1269">
        <v>4623.33</v>
      </c>
      <c r="K1269" t="s">
        <v>41</v>
      </c>
      <c r="L1269" t="s">
        <v>20</v>
      </c>
      <c r="M1269" t="s">
        <v>30</v>
      </c>
      <c r="N1269" t="s">
        <v>22</v>
      </c>
    </row>
    <row r="1270" spans="1:14" x14ac:dyDescent="0.3">
      <c r="A1270" t="s">
        <v>1331</v>
      </c>
      <c r="B1270" s="1">
        <v>45774</v>
      </c>
      <c r="C1270" t="s">
        <v>52</v>
      </c>
      <c r="D1270" t="s">
        <v>25</v>
      </c>
      <c r="E1270" t="s">
        <v>61</v>
      </c>
      <c r="F1270" t="s">
        <v>75</v>
      </c>
      <c r="G1270">
        <v>2</v>
      </c>
      <c r="H1270">
        <v>812.35</v>
      </c>
      <c r="I1270">
        <v>7.0000000000000007E-2</v>
      </c>
      <c r="J1270">
        <v>1510.97</v>
      </c>
      <c r="K1270" t="s">
        <v>41</v>
      </c>
      <c r="L1270" t="s">
        <v>29</v>
      </c>
      <c r="M1270" t="s">
        <v>54</v>
      </c>
      <c r="N1270" t="s">
        <v>88</v>
      </c>
    </row>
    <row r="1271" spans="1:14" x14ac:dyDescent="0.3">
      <c r="A1271" t="s">
        <v>1332</v>
      </c>
      <c r="B1271" s="1">
        <v>45743</v>
      </c>
      <c r="C1271" t="s">
        <v>48</v>
      </c>
      <c r="D1271" t="s">
        <v>39</v>
      </c>
      <c r="E1271" t="s">
        <v>49</v>
      </c>
      <c r="F1271" t="s">
        <v>73</v>
      </c>
      <c r="G1271">
        <v>5</v>
      </c>
      <c r="H1271">
        <v>2058.12</v>
      </c>
      <c r="I1271">
        <v>0.14000000000000001</v>
      </c>
      <c r="J1271">
        <v>8849.92</v>
      </c>
      <c r="K1271" t="s">
        <v>19</v>
      </c>
      <c r="L1271" t="s">
        <v>29</v>
      </c>
      <c r="M1271" t="s">
        <v>30</v>
      </c>
      <c r="N1271" t="s">
        <v>22</v>
      </c>
    </row>
    <row r="1272" spans="1:14" x14ac:dyDescent="0.3">
      <c r="A1272" t="s">
        <v>1333</v>
      </c>
      <c r="B1272" s="1">
        <v>45719</v>
      </c>
      <c r="C1272" t="s">
        <v>48</v>
      </c>
      <c r="D1272" t="s">
        <v>43</v>
      </c>
      <c r="E1272" t="s">
        <v>99</v>
      </c>
      <c r="F1272" t="s">
        <v>111</v>
      </c>
      <c r="G1272">
        <v>2</v>
      </c>
      <c r="H1272">
        <v>1668.76</v>
      </c>
      <c r="I1272">
        <v>0.09</v>
      </c>
      <c r="J1272">
        <v>3037.14</v>
      </c>
      <c r="K1272" t="s">
        <v>46</v>
      </c>
      <c r="L1272" t="s">
        <v>34</v>
      </c>
      <c r="M1272" t="s">
        <v>21</v>
      </c>
      <c r="N1272" t="s">
        <v>22</v>
      </c>
    </row>
    <row r="1273" spans="1:14" x14ac:dyDescent="0.3">
      <c r="A1273" t="s">
        <v>1334</v>
      </c>
      <c r="B1273" s="1">
        <v>45770</v>
      </c>
      <c r="C1273" t="s">
        <v>24</v>
      </c>
      <c r="D1273" t="s">
        <v>43</v>
      </c>
      <c r="E1273" t="s">
        <v>61</v>
      </c>
      <c r="F1273" t="s">
        <v>75</v>
      </c>
      <c r="G1273">
        <v>4</v>
      </c>
      <c r="H1273">
        <v>2723.26</v>
      </c>
      <c r="I1273">
        <v>0.03</v>
      </c>
      <c r="J1273">
        <v>10566.25</v>
      </c>
      <c r="K1273" t="s">
        <v>33</v>
      </c>
      <c r="L1273" t="s">
        <v>29</v>
      </c>
      <c r="M1273" t="s">
        <v>21</v>
      </c>
      <c r="N1273" t="s">
        <v>22</v>
      </c>
    </row>
    <row r="1274" spans="1:14" x14ac:dyDescent="0.3">
      <c r="A1274" t="s">
        <v>1335</v>
      </c>
      <c r="B1274" s="1">
        <v>45780</v>
      </c>
      <c r="C1274" t="s">
        <v>48</v>
      </c>
      <c r="D1274" t="s">
        <v>25</v>
      </c>
      <c r="E1274" t="s">
        <v>27</v>
      </c>
      <c r="F1274" t="s">
        <v>68</v>
      </c>
      <c r="G1274">
        <v>1</v>
      </c>
      <c r="H1274">
        <v>2355.17</v>
      </c>
      <c r="I1274">
        <v>0.11</v>
      </c>
      <c r="J1274">
        <v>2096.1</v>
      </c>
      <c r="K1274" t="s">
        <v>46</v>
      </c>
      <c r="L1274" t="s">
        <v>29</v>
      </c>
      <c r="M1274" t="s">
        <v>21</v>
      </c>
      <c r="N1274" t="s">
        <v>22</v>
      </c>
    </row>
    <row r="1275" spans="1:14" x14ac:dyDescent="0.3">
      <c r="A1275" t="s">
        <v>1336</v>
      </c>
      <c r="B1275" s="1">
        <v>45671</v>
      </c>
      <c r="C1275" t="s">
        <v>36</v>
      </c>
      <c r="D1275" t="s">
        <v>43</v>
      </c>
      <c r="E1275" t="s">
        <v>61</v>
      </c>
      <c r="F1275" t="s">
        <v>62</v>
      </c>
      <c r="G1275">
        <v>1</v>
      </c>
      <c r="H1275">
        <v>4489.62</v>
      </c>
      <c r="I1275">
        <v>0.12</v>
      </c>
      <c r="J1275">
        <v>3950.87</v>
      </c>
      <c r="K1275" t="s">
        <v>41</v>
      </c>
      <c r="L1275" t="s">
        <v>29</v>
      </c>
      <c r="M1275" t="s">
        <v>21</v>
      </c>
      <c r="N1275" t="s">
        <v>22</v>
      </c>
    </row>
    <row r="1276" spans="1:14" x14ac:dyDescent="0.3">
      <c r="A1276" t="s">
        <v>1337</v>
      </c>
      <c r="B1276" s="1">
        <v>45778</v>
      </c>
      <c r="C1276" t="s">
        <v>15</v>
      </c>
      <c r="D1276" t="s">
        <v>43</v>
      </c>
      <c r="E1276" t="s">
        <v>99</v>
      </c>
      <c r="F1276" t="s">
        <v>120</v>
      </c>
      <c r="G1276">
        <v>1</v>
      </c>
      <c r="H1276">
        <v>3596.7</v>
      </c>
      <c r="I1276">
        <v>0.12</v>
      </c>
      <c r="J1276">
        <v>3165.1</v>
      </c>
      <c r="K1276" t="s">
        <v>33</v>
      </c>
      <c r="L1276" t="s">
        <v>34</v>
      </c>
      <c r="M1276" t="s">
        <v>21</v>
      </c>
      <c r="N1276" t="s">
        <v>59</v>
      </c>
    </row>
    <row r="1277" spans="1:14" x14ac:dyDescent="0.3">
      <c r="A1277" t="s">
        <v>1338</v>
      </c>
      <c r="B1277" s="1">
        <v>45803</v>
      </c>
      <c r="C1277" t="s">
        <v>15</v>
      </c>
      <c r="D1277" t="s">
        <v>25</v>
      </c>
      <c r="E1277" t="s">
        <v>61</v>
      </c>
      <c r="F1277" t="s">
        <v>92</v>
      </c>
      <c r="G1277">
        <v>3</v>
      </c>
      <c r="H1277">
        <v>1719.61</v>
      </c>
      <c r="I1277">
        <v>0.14000000000000001</v>
      </c>
      <c r="J1277">
        <v>4436.59</v>
      </c>
      <c r="K1277" t="s">
        <v>33</v>
      </c>
      <c r="L1277" t="s">
        <v>29</v>
      </c>
      <c r="M1277" t="s">
        <v>21</v>
      </c>
      <c r="N1277" t="s">
        <v>22</v>
      </c>
    </row>
    <row r="1278" spans="1:14" x14ac:dyDescent="0.3">
      <c r="A1278" t="s">
        <v>1339</v>
      </c>
      <c r="B1278" s="1">
        <v>45679</v>
      </c>
      <c r="C1278" t="s">
        <v>24</v>
      </c>
      <c r="D1278" t="s">
        <v>16</v>
      </c>
      <c r="E1278" t="s">
        <v>27</v>
      </c>
      <c r="F1278" t="s">
        <v>28</v>
      </c>
      <c r="G1278">
        <v>3</v>
      </c>
      <c r="H1278">
        <v>2978.49</v>
      </c>
      <c r="I1278">
        <v>0.19</v>
      </c>
      <c r="J1278">
        <v>7237.73</v>
      </c>
      <c r="K1278" t="s">
        <v>33</v>
      </c>
      <c r="L1278" t="s">
        <v>20</v>
      </c>
      <c r="M1278" t="s">
        <v>54</v>
      </c>
      <c r="N1278" t="s">
        <v>22</v>
      </c>
    </row>
    <row r="1279" spans="1:14" x14ac:dyDescent="0.3">
      <c r="A1279" t="s">
        <v>1340</v>
      </c>
      <c r="B1279" s="1">
        <v>45808</v>
      </c>
      <c r="C1279" t="s">
        <v>52</v>
      </c>
      <c r="D1279" t="s">
        <v>16</v>
      </c>
      <c r="E1279" t="s">
        <v>61</v>
      </c>
      <c r="F1279" t="s">
        <v>75</v>
      </c>
      <c r="G1279">
        <v>2</v>
      </c>
      <c r="H1279">
        <v>244.49</v>
      </c>
      <c r="I1279">
        <v>0.23</v>
      </c>
      <c r="J1279">
        <v>376.51</v>
      </c>
      <c r="K1279" t="s">
        <v>33</v>
      </c>
      <c r="L1279" t="s">
        <v>20</v>
      </c>
      <c r="M1279" t="s">
        <v>21</v>
      </c>
      <c r="N1279" t="s">
        <v>22</v>
      </c>
    </row>
    <row r="1280" spans="1:14" x14ac:dyDescent="0.3">
      <c r="A1280" t="s">
        <v>1341</v>
      </c>
      <c r="B1280" s="1">
        <v>45700</v>
      </c>
      <c r="C1280" t="s">
        <v>36</v>
      </c>
      <c r="D1280" t="s">
        <v>43</v>
      </c>
      <c r="E1280" t="s">
        <v>17</v>
      </c>
      <c r="F1280" t="s">
        <v>40</v>
      </c>
      <c r="G1280">
        <v>4</v>
      </c>
      <c r="H1280">
        <v>3512.43</v>
      </c>
      <c r="I1280">
        <v>0.03</v>
      </c>
      <c r="J1280">
        <v>13628.23</v>
      </c>
      <c r="K1280" t="s">
        <v>41</v>
      </c>
      <c r="L1280" t="s">
        <v>34</v>
      </c>
      <c r="M1280" t="s">
        <v>30</v>
      </c>
      <c r="N1280" t="s">
        <v>22</v>
      </c>
    </row>
    <row r="1281" spans="1:14" x14ac:dyDescent="0.3">
      <c r="A1281" t="s">
        <v>1342</v>
      </c>
      <c r="B1281" s="1">
        <v>45781</v>
      </c>
      <c r="C1281" t="s">
        <v>48</v>
      </c>
      <c r="D1281" t="s">
        <v>39</v>
      </c>
      <c r="E1281" t="s">
        <v>99</v>
      </c>
      <c r="F1281" t="s">
        <v>100</v>
      </c>
      <c r="G1281">
        <v>1</v>
      </c>
      <c r="H1281">
        <v>1004.38</v>
      </c>
      <c r="I1281">
        <v>0.1</v>
      </c>
      <c r="J1281">
        <v>903.94</v>
      </c>
      <c r="K1281" t="s">
        <v>46</v>
      </c>
      <c r="L1281" t="s">
        <v>34</v>
      </c>
      <c r="M1281" t="s">
        <v>54</v>
      </c>
      <c r="N1281" t="s">
        <v>59</v>
      </c>
    </row>
    <row r="1282" spans="1:14" x14ac:dyDescent="0.3">
      <c r="A1282" t="s">
        <v>1343</v>
      </c>
      <c r="B1282" s="1">
        <v>45700</v>
      </c>
      <c r="C1282" t="s">
        <v>48</v>
      </c>
      <c r="D1282" t="s">
        <v>16</v>
      </c>
      <c r="E1282" t="s">
        <v>17</v>
      </c>
      <c r="F1282" t="s">
        <v>32</v>
      </c>
      <c r="G1282">
        <v>3</v>
      </c>
      <c r="H1282">
        <v>199.96</v>
      </c>
      <c r="I1282">
        <v>0.15</v>
      </c>
      <c r="J1282">
        <v>509.9</v>
      </c>
      <c r="K1282" t="s">
        <v>58</v>
      </c>
      <c r="L1282" t="s">
        <v>29</v>
      </c>
      <c r="M1282" t="s">
        <v>21</v>
      </c>
      <c r="N1282" t="s">
        <v>22</v>
      </c>
    </row>
    <row r="1283" spans="1:14" x14ac:dyDescent="0.3">
      <c r="A1283" t="s">
        <v>1344</v>
      </c>
      <c r="B1283" s="1">
        <v>45711</v>
      </c>
      <c r="C1283" t="s">
        <v>24</v>
      </c>
      <c r="D1283" t="s">
        <v>39</v>
      </c>
      <c r="E1283" t="s">
        <v>17</v>
      </c>
      <c r="F1283" t="s">
        <v>44</v>
      </c>
      <c r="G1283">
        <v>1</v>
      </c>
      <c r="H1283">
        <v>1701.61</v>
      </c>
      <c r="I1283">
        <v>0.08</v>
      </c>
      <c r="J1283">
        <v>1565.48</v>
      </c>
      <c r="K1283" t="s">
        <v>33</v>
      </c>
      <c r="L1283" t="s">
        <v>20</v>
      </c>
      <c r="M1283" t="s">
        <v>21</v>
      </c>
      <c r="N1283" t="s">
        <v>37</v>
      </c>
    </row>
    <row r="1284" spans="1:14" x14ac:dyDescent="0.3">
      <c r="A1284" t="s">
        <v>1345</v>
      </c>
      <c r="B1284" s="1">
        <v>45788</v>
      </c>
      <c r="C1284" t="s">
        <v>36</v>
      </c>
      <c r="D1284" t="s">
        <v>43</v>
      </c>
      <c r="E1284" t="s">
        <v>61</v>
      </c>
      <c r="F1284" t="s">
        <v>75</v>
      </c>
      <c r="G1284">
        <v>5</v>
      </c>
      <c r="H1284">
        <v>1170.03</v>
      </c>
      <c r="I1284">
        <v>0.09</v>
      </c>
      <c r="J1284">
        <v>5323.64</v>
      </c>
      <c r="K1284" t="s">
        <v>41</v>
      </c>
      <c r="L1284" t="s">
        <v>20</v>
      </c>
      <c r="M1284" t="s">
        <v>21</v>
      </c>
      <c r="N1284" t="s">
        <v>22</v>
      </c>
    </row>
    <row r="1285" spans="1:14" x14ac:dyDescent="0.3">
      <c r="A1285" t="s">
        <v>1346</v>
      </c>
      <c r="B1285" s="1">
        <v>45675</v>
      </c>
      <c r="C1285" t="s">
        <v>48</v>
      </c>
      <c r="D1285" t="s">
        <v>16</v>
      </c>
      <c r="E1285" t="s">
        <v>27</v>
      </c>
      <c r="F1285" t="s">
        <v>68</v>
      </c>
      <c r="G1285">
        <v>2</v>
      </c>
      <c r="H1285">
        <v>4090.37</v>
      </c>
      <c r="I1285">
        <v>0.11</v>
      </c>
      <c r="J1285">
        <v>7280.86</v>
      </c>
      <c r="K1285" t="s">
        <v>19</v>
      </c>
      <c r="L1285" t="s">
        <v>29</v>
      </c>
      <c r="M1285" t="s">
        <v>21</v>
      </c>
      <c r="N1285" t="s">
        <v>37</v>
      </c>
    </row>
    <row r="1286" spans="1:14" x14ac:dyDescent="0.3">
      <c r="A1286" t="s">
        <v>1347</v>
      </c>
      <c r="B1286" s="1">
        <v>45690</v>
      </c>
      <c r="C1286" t="s">
        <v>15</v>
      </c>
      <c r="D1286" t="s">
        <v>25</v>
      </c>
      <c r="E1286" t="s">
        <v>17</v>
      </c>
      <c r="F1286" t="s">
        <v>32</v>
      </c>
      <c r="G1286">
        <v>2</v>
      </c>
      <c r="H1286">
        <v>2991.52</v>
      </c>
      <c r="I1286">
        <v>0.04</v>
      </c>
      <c r="J1286">
        <v>5743.72</v>
      </c>
      <c r="K1286" t="s">
        <v>58</v>
      </c>
      <c r="L1286" t="s">
        <v>34</v>
      </c>
      <c r="M1286" t="s">
        <v>54</v>
      </c>
      <c r="N1286" t="s">
        <v>22</v>
      </c>
    </row>
    <row r="1287" spans="1:14" x14ac:dyDescent="0.3">
      <c r="A1287" t="s">
        <v>1348</v>
      </c>
      <c r="B1287" s="1">
        <v>45706</v>
      </c>
      <c r="C1287" t="s">
        <v>48</v>
      </c>
      <c r="D1287" t="s">
        <v>39</v>
      </c>
      <c r="E1287" t="s">
        <v>61</v>
      </c>
      <c r="F1287" t="s">
        <v>66</v>
      </c>
      <c r="G1287">
        <v>4</v>
      </c>
      <c r="H1287">
        <v>4725.6499999999996</v>
      </c>
      <c r="I1287">
        <v>0.17</v>
      </c>
      <c r="J1287">
        <v>15689.16</v>
      </c>
      <c r="K1287" t="s">
        <v>33</v>
      </c>
      <c r="L1287" t="s">
        <v>34</v>
      </c>
      <c r="M1287" t="s">
        <v>54</v>
      </c>
      <c r="N1287" t="s">
        <v>22</v>
      </c>
    </row>
    <row r="1288" spans="1:14" x14ac:dyDescent="0.3">
      <c r="A1288" t="s">
        <v>1349</v>
      </c>
      <c r="B1288" s="1">
        <v>45693</v>
      </c>
      <c r="C1288" t="s">
        <v>48</v>
      </c>
      <c r="D1288" t="s">
        <v>16</v>
      </c>
      <c r="E1288" t="s">
        <v>61</v>
      </c>
      <c r="F1288" t="s">
        <v>75</v>
      </c>
      <c r="G1288">
        <v>1</v>
      </c>
      <c r="H1288">
        <v>1855.77</v>
      </c>
      <c r="I1288">
        <v>0.23</v>
      </c>
      <c r="J1288">
        <v>1428.94</v>
      </c>
      <c r="K1288" t="s">
        <v>19</v>
      </c>
      <c r="L1288" t="s">
        <v>34</v>
      </c>
      <c r="M1288" t="s">
        <v>30</v>
      </c>
      <c r="N1288" t="s">
        <v>88</v>
      </c>
    </row>
    <row r="1289" spans="1:14" x14ac:dyDescent="0.3">
      <c r="A1289" t="s">
        <v>1350</v>
      </c>
      <c r="B1289" s="1">
        <v>45767</v>
      </c>
      <c r="C1289" t="s">
        <v>36</v>
      </c>
      <c r="D1289" t="s">
        <v>43</v>
      </c>
      <c r="E1289" t="s">
        <v>17</v>
      </c>
      <c r="F1289" t="s">
        <v>32</v>
      </c>
      <c r="G1289">
        <v>5</v>
      </c>
      <c r="H1289">
        <v>2656.2</v>
      </c>
      <c r="I1289">
        <v>0.19</v>
      </c>
      <c r="J1289">
        <v>10757.61</v>
      </c>
      <c r="K1289" t="s">
        <v>33</v>
      </c>
      <c r="L1289" t="s">
        <v>29</v>
      </c>
      <c r="M1289" t="s">
        <v>21</v>
      </c>
      <c r="N1289" t="s">
        <v>22</v>
      </c>
    </row>
    <row r="1290" spans="1:14" x14ac:dyDescent="0.3">
      <c r="A1290" t="s">
        <v>1351</v>
      </c>
      <c r="B1290" s="1">
        <v>45674</v>
      </c>
      <c r="C1290" t="s">
        <v>52</v>
      </c>
      <c r="D1290" t="s">
        <v>16</v>
      </c>
      <c r="E1290" t="s">
        <v>61</v>
      </c>
      <c r="F1290" t="s">
        <v>92</v>
      </c>
      <c r="G1290">
        <v>4</v>
      </c>
      <c r="H1290">
        <v>2080.77</v>
      </c>
      <c r="I1290">
        <v>0.09</v>
      </c>
      <c r="J1290">
        <v>7574</v>
      </c>
      <c r="K1290" t="s">
        <v>46</v>
      </c>
      <c r="L1290" t="s">
        <v>29</v>
      </c>
      <c r="M1290" t="s">
        <v>30</v>
      </c>
      <c r="N1290" t="s">
        <v>22</v>
      </c>
    </row>
    <row r="1291" spans="1:14" x14ac:dyDescent="0.3">
      <c r="A1291" t="s">
        <v>1352</v>
      </c>
      <c r="B1291" s="1">
        <v>45690</v>
      </c>
      <c r="C1291" t="s">
        <v>36</v>
      </c>
      <c r="D1291" t="s">
        <v>16</v>
      </c>
      <c r="E1291" t="s">
        <v>99</v>
      </c>
      <c r="F1291" t="s">
        <v>115</v>
      </c>
      <c r="G1291">
        <v>4</v>
      </c>
      <c r="H1291">
        <v>4962.21</v>
      </c>
      <c r="I1291">
        <v>0.19</v>
      </c>
      <c r="J1291">
        <v>16077.56</v>
      </c>
      <c r="K1291" t="s">
        <v>41</v>
      </c>
      <c r="L1291" t="s">
        <v>34</v>
      </c>
      <c r="M1291" t="s">
        <v>21</v>
      </c>
      <c r="N1291" t="s">
        <v>22</v>
      </c>
    </row>
    <row r="1292" spans="1:14" x14ac:dyDescent="0.3">
      <c r="A1292" t="s">
        <v>1353</v>
      </c>
      <c r="B1292" s="1">
        <v>45660</v>
      </c>
      <c r="C1292" t="s">
        <v>24</v>
      </c>
      <c r="D1292" t="s">
        <v>16</v>
      </c>
      <c r="E1292" t="s">
        <v>17</v>
      </c>
      <c r="F1292" t="s">
        <v>44</v>
      </c>
      <c r="G1292">
        <v>5</v>
      </c>
      <c r="H1292">
        <v>2759.66</v>
      </c>
      <c r="I1292">
        <v>0.16</v>
      </c>
      <c r="J1292">
        <v>11590.57</v>
      </c>
      <c r="K1292" t="s">
        <v>46</v>
      </c>
      <c r="L1292" t="s">
        <v>29</v>
      </c>
      <c r="M1292" t="s">
        <v>21</v>
      </c>
      <c r="N1292" t="s">
        <v>22</v>
      </c>
    </row>
    <row r="1293" spans="1:14" x14ac:dyDescent="0.3">
      <c r="A1293" t="s">
        <v>1354</v>
      </c>
      <c r="B1293" s="1">
        <v>45739</v>
      </c>
      <c r="C1293" t="s">
        <v>48</v>
      </c>
      <c r="D1293" t="s">
        <v>43</v>
      </c>
      <c r="E1293" t="s">
        <v>17</v>
      </c>
      <c r="F1293" t="s">
        <v>32</v>
      </c>
      <c r="G1293">
        <v>5</v>
      </c>
      <c r="H1293">
        <v>356.93</v>
      </c>
      <c r="I1293">
        <v>0.21</v>
      </c>
      <c r="J1293">
        <v>1409.87</v>
      </c>
      <c r="K1293" t="s">
        <v>19</v>
      </c>
      <c r="L1293" t="s">
        <v>34</v>
      </c>
      <c r="M1293" t="s">
        <v>30</v>
      </c>
      <c r="N1293" t="s">
        <v>22</v>
      </c>
    </row>
    <row r="1294" spans="1:14" x14ac:dyDescent="0.3">
      <c r="A1294" t="s">
        <v>1355</v>
      </c>
      <c r="B1294" s="1">
        <v>45747</v>
      </c>
      <c r="C1294" t="s">
        <v>24</v>
      </c>
      <c r="D1294" t="s">
        <v>25</v>
      </c>
      <c r="E1294" t="s">
        <v>17</v>
      </c>
      <c r="F1294" t="s">
        <v>44</v>
      </c>
      <c r="G1294">
        <v>2</v>
      </c>
      <c r="H1294">
        <v>3590.81</v>
      </c>
      <c r="I1294">
        <v>0.02</v>
      </c>
      <c r="J1294">
        <v>7037.99</v>
      </c>
      <c r="K1294" t="s">
        <v>41</v>
      </c>
      <c r="L1294" t="s">
        <v>20</v>
      </c>
      <c r="M1294" t="s">
        <v>54</v>
      </c>
      <c r="N1294" t="s">
        <v>22</v>
      </c>
    </row>
    <row r="1295" spans="1:14" x14ac:dyDescent="0.3">
      <c r="A1295" t="s">
        <v>1356</v>
      </c>
      <c r="B1295" s="1">
        <v>45793</v>
      </c>
      <c r="C1295" t="s">
        <v>24</v>
      </c>
      <c r="D1295" t="s">
        <v>39</v>
      </c>
      <c r="E1295" t="s">
        <v>27</v>
      </c>
      <c r="F1295" t="s">
        <v>79</v>
      </c>
      <c r="G1295">
        <v>1</v>
      </c>
      <c r="H1295">
        <v>4629.13</v>
      </c>
      <c r="I1295">
        <v>0</v>
      </c>
      <c r="J1295">
        <v>4629.13</v>
      </c>
      <c r="K1295" t="s">
        <v>41</v>
      </c>
      <c r="L1295" t="s">
        <v>20</v>
      </c>
      <c r="M1295" t="s">
        <v>54</v>
      </c>
      <c r="N1295" t="s">
        <v>59</v>
      </c>
    </row>
    <row r="1296" spans="1:14" x14ac:dyDescent="0.3">
      <c r="A1296" t="s">
        <v>1357</v>
      </c>
      <c r="B1296" s="1">
        <v>45775</v>
      </c>
      <c r="C1296" t="s">
        <v>15</v>
      </c>
      <c r="D1296" t="s">
        <v>39</v>
      </c>
      <c r="E1296" t="s">
        <v>49</v>
      </c>
      <c r="F1296" t="s">
        <v>73</v>
      </c>
      <c r="G1296">
        <v>2</v>
      </c>
      <c r="H1296">
        <v>794.18</v>
      </c>
      <c r="I1296">
        <v>0.06</v>
      </c>
      <c r="J1296">
        <v>1493.06</v>
      </c>
      <c r="K1296" t="s">
        <v>41</v>
      </c>
      <c r="L1296" t="s">
        <v>20</v>
      </c>
      <c r="M1296" t="s">
        <v>21</v>
      </c>
      <c r="N1296" t="s">
        <v>37</v>
      </c>
    </row>
    <row r="1297" spans="1:14" x14ac:dyDescent="0.3">
      <c r="A1297" t="s">
        <v>1358</v>
      </c>
      <c r="B1297" s="1">
        <v>45751</v>
      </c>
      <c r="C1297" t="s">
        <v>52</v>
      </c>
      <c r="D1297" t="s">
        <v>43</v>
      </c>
      <c r="E1297" t="s">
        <v>49</v>
      </c>
      <c r="F1297" t="s">
        <v>53</v>
      </c>
      <c r="G1297">
        <v>1</v>
      </c>
      <c r="H1297">
        <v>2137.85</v>
      </c>
      <c r="I1297">
        <v>0.1</v>
      </c>
      <c r="J1297">
        <v>1924.07</v>
      </c>
      <c r="K1297" t="s">
        <v>46</v>
      </c>
      <c r="L1297" t="s">
        <v>34</v>
      </c>
      <c r="M1297" t="s">
        <v>30</v>
      </c>
      <c r="N1297" t="s">
        <v>88</v>
      </c>
    </row>
    <row r="1298" spans="1:14" x14ac:dyDescent="0.3">
      <c r="A1298" t="s">
        <v>1359</v>
      </c>
      <c r="B1298" s="1">
        <v>45716</v>
      </c>
      <c r="C1298" t="s">
        <v>36</v>
      </c>
      <c r="D1298" t="s">
        <v>43</v>
      </c>
      <c r="E1298" t="s">
        <v>49</v>
      </c>
      <c r="F1298" t="s">
        <v>53</v>
      </c>
      <c r="G1298">
        <v>4</v>
      </c>
      <c r="H1298">
        <v>304.82</v>
      </c>
      <c r="I1298">
        <v>0.19</v>
      </c>
      <c r="J1298">
        <v>987.62</v>
      </c>
      <c r="K1298" t="s">
        <v>58</v>
      </c>
      <c r="L1298" t="s">
        <v>29</v>
      </c>
      <c r="M1298" t="s">
        <v>54</v>
      </c>
      <c r="N1298" t="s">
        <v>22</v>
      </c>
    </row>
    <row r="1299" spans="1:14" x14ac:dyDescent="0.3">
      <c r="A1299" t="s">
        <v>1360</v>
      </c>
      <c r="B1299" s="1">
        <v>45666</v>
      </c>
      <c r="C1299" t="s">
        <v>52</v>
      </c>
      <c r="D1299" t="s">
        <v>39</v>
      </c>
      <c r="E1299" t="s">
        <v>17</v>
      </c>
      <c r="F1299" t="s">
        <v>18</v>
      </c>
      <c r="G1299">
        <v>2</v>
      </c>
      <c r="H1299">
        <v>2731</v>
      </c>
      <c r="I1299">
        <v>0.04</v>
      </c>
      <c r="J1299">
        <v>5243.52</v>
      </c>
      <c r="K1299" t="s">
        <v>41</v>
      </c>
      <c r="L1299" t="s">
        <v>20</v>
      </c>
      <c r="M1299" t="s">
        <v>21</v>
      </c>
      <c r="N1299" t="s">
        <v>59</v>
      </c>
    </row>
    <row r="1300" spans="1:14" x14ac:dyDescent="0.3">
      <c r="A1300" t="s">
        <v>1361</v>
      </c>
      <c r="B1300" s="1">
        <v>45704</v>
      </c>
      <c r="C1300" t="s">
        <v>36</v>
      </c>
      <c r="D1300" t="s">
        <v>43</v>
      </c>
      <c r="E1300" t="s">
        <v>49</v>
      </c>
      <c r="F1300" t="s">
        <v>53</v>
      </c>
      <c r="G1300">
        <v>5</v>
      </c>
      <c r="H1300">
        <v>1381.35</v>
      </c>
      <c r="I1300">
        <v>0.19</v>
      </c>
      <c r="J1300">
        <v>5594.47</v>
      </c>
      <c r="K1300" t="s">
        <v>46</v>
      </c>
      <c r="L1300" t="s">
        <v>34</v>
      </c>
      <c r="M1300" t="s">
        <v>30</v>
      </c>
      <c r="N1300" t="s">
        <v>59</v>
      </c>
    </row>
    <row r="1301" spans="1:14" x14ac:dyDescent="0.3">
      <c r="A1301" t="s">
        <v>1362</v>
      </c>
      <c r="B1301" s="1">
        <v>45715</v>
      </c>
      <c r="C1301" t="s">
        <v>52</v>
      </c>
      <c r="D1301" t="s">
        <v>16</v>
      </c>
      <c r="E1301" t="s">
        <v>27</v>
      </c>
      <c r="F1301" t="s">
        <v>87</v>
      </c>
      <c r="G1301">
        <v>1</v>
      </c>
      <c r="H1301">
        <v>2397.89</v>
      </c>
      <c r="I1301">
        <v>0.03</v>
      </c>
      <c r="J1301">
        <v>2325.9499999999998</v>
      </c>
      <c r="K1301" t="s">
        <v>19</v>
      </c>
      <c r="L1301" t="s">
        <v>29</v>
      </c>
      <c r="M1301" t="s">
        <v>54</v>
      </c>
      <c r="N1301" t="s">
        <v>88</v>
      </c>
    </row>
    <row r="1302" spans="1:14" x14ac:dyDescent="0.3">
      <c r="A1302" t="s">
        <v>1363</v>
      </c>
      <c r="B1302" s="1">
        <v>45797</v>
      </c>
      <c r="C1302" t="s">
        <v>24</v>
      </c>
      <c r="D1302" t="s">
        <v>16</v>
      </c>
      <c r="E1302" t="s">
        <v>61</v>
      </c>
      <c r="F1302" t="s">
        <v>62</v>
      </c>
      <c r="G1302">
        <v>5</v>
      </c>
      <c r="H1302">
        <v>1917.42</v>
      </c>
      <c r="I1302">
        <v>0.18</v>
      </c>
      <c r="J1302">
        <v>7861.42</v>
      </c>
      <c r="K1302" t="s">
        <v>19</v>
      </c>
      <c r="L1302" t="s">
        <v>34</v>
      </c>
      <c r="M1302" t="s">
        <v>30</v>
      </c>
      <c r="N1302" t="s">
        <v>22</v>
      </c>
    </row>
    <row r="1303" spans="1:14" x14ac:dyDescent="0.3">
      <c r="A1303" t="s">
        <v>1364</v>
      </c>
      <c r="B1303" s="1">
        <v>45714</v>
      </c>
      <c r="C1303" t="s">
        <v>52</v>
      </c>
      <c r="D1303" t="s">
        <v>43</v>
      </c>
      <c r="E1303" t="s">
        <v>27</v>
      </c>
      <c r="F1303" t="s">
        <v>68</v>
      </c>
      <c r="G1303">
        <v>5</v>
      </c>
      <c r="H1303">
        <v>169.63</v>
      </c>
      <c r="I1303">
        <v>0.04</v>
      </c>
      <c r="J1303">
        <v>814.22</v>
      </c>
      <c r="K1303" t="s">
        <v>46</v>
      </c>
      <c r="L1303" t="s">
        <v>20</v>
      </c>
      <c r="M1303" t="s">
        <v>30</v>
      </c>
      <c r="N1303" t="s">
        <v>22</v>
      </c>
    </row>
    <row r="1304" spans="1:14" x14ac:dyDescent="0.3">
      <c r="A1304" t="s">
        <v>1365</v>
      </c>
      <c r="B1304" s="1">
        <v>45796</v>
      </c>
      <c r="C1304" t="s">
        <v>48</v>
      </c>
      <c r="D1304" t="s">
        <v>43</v>
      </c>
      <c r="E1304" t="s">
        <v>61</v>
      </c>
      <c r="F1304" t="s">
        <v>62</v>
      </c>
      <c r="G1304">
        <v>3</v>
      </c>
      <c r="H1304">
        <v>2577.41</v>
      </c>
      <c r="I1304">
        <v>0.06</v>
      </c>
      <c r="J1304">
        <v>7268.3</v>
      </c>
      <c r="K1304" t="s">
        <v>41</v>
      </c>
      <c r="L1304" t="s">
        <v>20</v>
      </c>
      <c r="M1304" t="s">
        <v>21</v>
      </c>
      <c r="N1304" t="s">
        <v>22</v>
      </c>
    </row>
    <row r="1305" spans="1:14" x14ac:dyDescent="0.3">
      <c r="A1305" t="s">
        <v>1366</v>
      </c>
      <c r="B1305" s="1">
        <v>45826</v>
      </c>
      <c r="C1305" t="s">
        <v>48</v>
      </c>
      <c r="D1305" t="s">
        <v>39</v>
      </c>
      <c r="E1305" t="s">
        <v>49</v>
      </c>
      <c r="F1305" t="s">
        <v>56</v>
      </c>
      <c r="G1305">
        <v>5</v>
      </c>
      <c r="H1305">
        <v>2689.93</v>
      </c>
      <c r="I1305">
        <v>0.14000000000000001</v>
      </c>
      <c r="J1305">
        <v>11566.7</v>
      </c>
      <c r="K1305" t="s">
        <v>58</v>
      </c>
      <c r="L1305" t="s">
        <v>20</v>
      </c>
      <c r="M1305" t="s">
        <v>54</v>
      </c>
      <c r="N1305" t="s">
        <v>22</v>
      </c>
    </row>
    <row r="1306" spans="1:14" x14ac:dyDescent="0.3">
      <c r="A1306" t="s">
        <v>1367</v>
      </c>
      <c r="B1306" s="1">
        <v>45748</v>
      </c>
      <c r="C1306" t="s">
        <v>36</v>
      </c>
      <c r="D1306" t="s">
        <v>39</v>
      </c>
      <c r="E1306" t="s">
        <v>17</v>
      </c>
      <c r="F1306" t="s">
        <v>40</v>
      </c>
      <c r="G1306">
        <v>5</v>
      </c>
      <c r="H1306">
        <v>3630.36</v>
      </c>
      <c r="I1306">
        <v>0.18</v>
      </c>
      <c r="J1306">
        <v>14884.48</v>
      </c>
      <c r="K1306" t="s">
        <v>33</v>
      </c>
      <c r="L1306" t="s">
        <v>20</v>
      </c>
      <c r="M1306" t="s">
        <v>30</v>
      </c>
      <c r="N1306" t="s">
        <v>22</v>
      </c>
    </row>
    <row r="1307" spans="1:14" x14ac:dyDescent="0.3">
      <c r="A1307" t="s">
        <v>1368</v>
      </c>
      <c r="B1307" s="1">
        <v>45673</v>
      </c>
      <c r="C1307" t="s">
        <v>24</v>
      </c>
      <c r="D1307" t="s">
        <v>16</v>
      </c>
      <c r="E1307" t="s">
        <v>17</v>
      </c>
      <c r="F1307" t="s">
        <v>44</v>
      </c>
      <c r="G1307">
        <v>5</v>
      </c>
      <c r="H1307">
        <v>386.25</v>
      </c>
      <c r="I1307">
        <v>0.1</v>
      </c>
      <c r="J1307">
        <v>1738.12</v>
      </c>
      <c r="K1307" t="s">
        <v>41</v>
      </c>
      <c r="L1307" t="s">
        <v>20</v>
      </c>
      <c r="M1307" t="s">
        <v>21</v>
      </c>
      <c r="N1307" t="s">
        <v>37</v>
      </c>
    </row>
    <row r="1308" spans="1:14" x14ac:dyDescent="0.3">
      <c r="A1308" t="s">
        <v>1369</v>
      </c>
      <c r="B1308" s="1">
        <v>45793</v>
      </c>
      <c r="C1308" t="s">
        <v>24</v>
      </c>
      <c r="D1308" t="s">
        <v>43</v>
      </c>
      <c r="E1308" t="s">
        <v>17</v>
      </c>
      <c r="F1308" t="s">
        <v>18</v>
      </c>
      <c r="G1308">
        <v>4</v>
      </c>
      <c r="H1308">
        <v>1484.1</v>
      </c>
      <c r="I1308">
        <v>0.15</v>
      </c>
      <c r="J1308">
        <v>5045.9399999999996</v>
      </c>
      <c r="K1308" t="s">
        <v>41</v>
      </c>
      <c r="L1308" t="s">
        <v>29</v>
      </c>
      <c r="M1308" t="s">
        <v>30</v>
      </c>
      <c r="N1308" t="s">
        <v>22</v>
      </c>
    </row>
    <row r="1309" spans="1:14" x14ac:dyDescent="0.3">
      <c r="A1309" t="s">
        <v>1370</v>
      </c>
      <c r="B1309" s="1">
        <v>45705</v>
      </c>
      <c r="C1309" t="s">
        <v>15</v>
      </c>
      <c r="D1309" t="s">
        <v>43</v>
      </c>
      <c r="E1309" t="s">
        <v>27</v>
      </c>
      <c r="F1309" t="s">
        <v>28</v>
      </c>
      <c r="G1309">
        <v>2</v>
      </c>
      <c r="H1309">
        <v>2325.69</v>
      </c>
      <c r="I1309">
        <v>0.22</v>
      </c>
      <c r="J1309">
        <v>3628.08</v>
      </c>
      <c r="K1309" t="s">
        <v>41</v>
      </c>
      <c r="L1309" t="s">
        <v>34</v>
      </c>
      <c r="M1309" t="s">
        <v>54</v>
      </c>
      <c r="N1309" t="s">
        <v>22</v>
      </c>
    </row>
    <row r="1310" spans="1:14" x14ac:dyDescent="0.3">
      <c r="A1310" t="s">
        <v>1371</v>
      </c>
      <c r="B1310" s="1">
        <v>45839</v>
      </c>
      <c r="C1310" t="s">
        <v>15</v>
      </c>
      <c r="D1310" t="s">
        <v>25</v>
      </c>
      <c r="E1310" t="s">
        <v>61</v>
      </c>
      <c r="F1310" t="s">
        <v>92</v>
      </c>
      <c r="G1310">
        <v>1</v>
      </c>
      <c r="H1310">
        <v>2215.5100000000002</v>
      </c>
      <c r="I1310">
        <v>7.0000000000000007E-2</v>
      </c>
      <c r="J1310">
        <v>2060.42</v>
      </c>
      <c r="K1310" t="s">
        <v>19</v>
      </c>
      <c r="L1310" t="s">
        <v>34</v>
      </c>
      <c r="M1310" t="s">
        <v>54</v>
      </c>
      <c r="N1310" t="s">
        <v>22</v>
      </c>
    </row>
    <row r="1311" spans="1:14" x14ac:dyDescent="0.3">
      <c r="A1311" t="s">
        <v>1372</v>
      </c>
      <c r="B1311" s="1">
        <v>45711</v>
      </c>
      <c r="C1311" t="s">
        <v>48</v>
      </c>
      <c r="D1311" t="s">
        <v>25</v>
      </c>
      <c r="E1311" t="s">
        <v>27</v>
      </c>
      <c r="F1311" t="s">
        <v>68</v>
      </c>
      <c r="G1311">
        <v>3</v>
      </c>
      <c r="H1311">
        <v>1119.69</v>
      </c>
      <c r="I1311">
        <v>0.1</v>
      </c>
      <c r="J1311">
        <v>3023.16</v>
      </c>
      <c r="K1311" t="s">
        <v>19</v>
      </c>
      <c r="L1311" t="s">
        <v>29</v>
      </c>
      <c r="M1311" t="s">
        <v>30</v>
      </c>
      <c r="N1311" t="s">
        <v>22</v>
      </c>
    </row>
    <row r="1312" spans="1:14" x14ac:dyDescent="0.3">
      <c r="A1312" t="s">
        <v>1373</v>
      </c>
      <c r="B1312" s="1">
        <v>45812</v>
      </c>
      <c r="C1312" t="s">
        <v>48</v>
      </c>
      <c r="D1312" t="s">
        <v>43</v>
      </c>
      <c r="E1312" t="s">
        <v>49</v>
      </c>
      <c r="F1312" t="s">
        <v>50</v>
      </c>
      <c r="G1312">
        <v>3</v>
      </c>
      <c r="H1312">
        <v>3360.33</v>
      </c>
      <c r="I1312">
        <v>0.03</v>
      </c>
      <c r="J1312">
        <v>9778.56</v>
      </c>
      <c r="K1312" t="s">
        <v>46</v>
      </c>
      <c r="L1312" t="s">
        <v>34</v>
      </c>
      <c r="M1312" t="s">
        <v>21</v>
      </c>
      <c r="N1312" t="s">
        <v>22</v>
      </c>
    </row>
    <row r="1313" spans="1:14" x14ac:dyDescent="0.3">
      <c r="A1313" t="s">
        <v>1374</v>
      </c>
      <c r="B1313" s="1">
        <v>45813</v>
      </c>
      <c r="C1313" t="s">
        <v>36</v>
      </c>
      <c r="D1313" t="s">
        <v>39</v>
      </c>
      <c r="E1313" t="s">
        <v>61</v>
      </c>
      <c r="F1313" t="s">
        <v>75</v>
      </c>
      <c r="G1313">
        <v>5</v>
      </c>
      <c r="H1313">
        <v>4325.95</v>
      </c>
      <c r="I1313">
        <v>0.2</v>
      </c>
      <c r="J1313">
        <v>17303.8</v>
      </c>
      <c r="K1313" t="s">
        <v>46</v>
      </c>
      <c r="L1313" t="s">
        <v>34</v>
      </c>
      <c r="M1313" t="s">
        <v>30</v>
      </c>
      <c r="N1313" t="s">
        <v>22</v>
      </c>
    </row>
    <row r="1314" spans="1:14" x14ac:dyDescent="0.3">
      <c r="A1314" t="s">
        <v>1375</v>
      </c>
      <c r="B1314" s="1">
        <v>45781</v>
      </c>
      <c r="C1314" t="s">
        <v>24</v>
      </c>
      <c r="D1314" t="s">
        <v>25</v>
      </c>
      <c r="E1314" t="s">
        <v>61</v>
      </c>
      <c r="F1314" t="s">
        <v>92</v>
      </c>
      <c r="G1314">
        <v>4</v>
      </c>
      <c r="H1314">
        <v>1571.57</v>
      </c>
      <c r="I1314">
        <v>0.21</v>
      </c>
      <c r="J1314">
        <v>4966.16</v>
      </c>
      <c r="K1314" t="s">
        <v>33</v>
      </c>
      <c r="L1314" t="s">
        <v>29</v>
      </c>
      <c r="M1314" t="s">
        <v>21</v>
      </c>
      <c r="N1314" t="s">
        <v>22</v>
      </c>
    </row>
    <row r="1315" spans="1:14" x14ac:dyDescent="0.3">
      <c r="A1315" t="s">
        <v>1376</v>
      </c>
      <c r="B1315" s="1">
        <v>45774</v>
      </c>
      <c r="C1315" t="s">
        <v>36</v>
      </c>
      <c r="D1315" t="s">
        <v>16</v>
      </c>
      <c r="E1315" t="s">
        <v>61</v>
      </c>
      <c r="F1315" t="s">
        <v>66</v>
      </c>
      <c r="G1315">
        <v>4</v>
      </c>
      <c r="H1315">
        <v>4691.8999999999996</v>
      </c>
      <c r="I1315">
        <v>0.11</v>
      </c>
      <c r="J1315">
        <v>16703.16</v>
      </c>
      <c r="K1315" t="s">
        <v>19</v>
      </c>
      <c r="L1315" t="s">
        <v>29</v>
      </c>
      <c r="M1315" t="s">
        <v>30</v>
      </c>
      <c r="N1315" t="s">
        <v>22</v>
      </c>
    </row>
    <row r="1316" spans="1:14" x14ac:dyDescent="0.3">
      <c r="A1316" t="s">
        <v>1377</v>
      </c>
      <c r="B1316" s="1">
        <v>45788</v>
      </c>
      <c r="C1316" t="s">
        <v>15</v>
      </c>
      <c r="D1316" t="s">
        <v>25</v>
      </c>
      <c r="E1316" t="s">
        <v>49</v>
      </c>
      <c r="F1316" t="s">
        <v>73</v>
      </c>
      <c r="G1316">
        <v>4</v>
      </c>
      <c r="H1316">
        <v>2917.84</v>
      </c>
      <c r="I1316">
        <v>0.2</v>
      </c>
      <c r="J1316">
        <v>9337.09</v>
      </c>
      <c r="K1316" t="s">
        <v>33</v>
      </c>
      <c r="L1316" t="s">
        <v>20</v>
      </c>
      <c r="M1316" t="s">
        <v>54</v>
      </c>
      <c r="N1316" t="s">
        <v>22</v>
      </c>
    </row>
    <row r="1317" spans="1:14" x14ac:dyDescent="0.3">
      <c r="A1317" t="s">
        <v>1378</v>
      </c>
      <c r="B1317" s="1">
        <v>45816</v>
      </c>
      <c r="C1317" t="s">
        <v>48</v>
      </c>
      <c r="D1317" t="s">
        <v>16</v>
      </c>
      <c r="E1317" t="s">
        <v>61</v>
      </c>
      <c r="F1317" t="s">
        <v>75</v>
      </c>
      <c r="G1317">
        <v>5</v>
      </c>
      <c r="H1317">
        <v>2699.88</v>
      </c>
      <c r="I1317">
        <v>0.16</v>
      </c>
      <c r="J1317">
        <v>11339.5</v>
      </c>
      <c r="K1317" t="s">
        <v>46</v>
      </c>
      <c r="L1317" t="s">
        <v>29</v>
      </c>
      <c r="M1317" t="s">
        <v>54</v>
      </c>
      <c r="N1317" t="s">
        <v>88</v>
      </c>
    </row>
    <row r="1318" spans="1:14" x14ac:dyDescent="0.3">
      <c r="A1318" t="s">
        <v>1379</v>
      </c>
      <c r="B1318" s="1">
        <v>45841</v>
      </c>
      <c r="C1318" t="s">
        <v>24</v>
      </c>
      <c r="D1318" t="s">
        <v>43</v>
      </c>
      <c r="E1318" t="s">
        <v>17</v>
      </c>
      <c r="F1318" t="s">
        <v>18</v>
      </c>
      <c r="G1318">
        <v>1</v>
      </c>
      <c r="H1318">
        <v>1635.14</v>
      </c>
      <c r="I1318">
        <v>0.23</v>
      </c>
      <c r="J1318">
        <v>1259.06</v>
      </c>
      <c r="K1318" t="s">
        <v>58</v>
      </c>
      <c r="L1318" t="s">
        <v>34</v>
      </c>
      <c r="M1318" t="s">
        <v>54</v>
      </c>
      <c r="N1318" t="s">
        <v>59</v>
      </c>
    </row>
    <row r="1319" spans="1:14" x14ac:dyDescent="0.3">
      <c r="A1319" t="s">
        <v>1380</v>
      </c>
      <c r="B1319" s="1">
        <v>45698</v>
      </c>
      <c r="C1319" t="s">
        <v>15</v>
      </c>
      <c r="D1319" t="s">
        <v>43</v>
      </c>
      <c r="E1319" t="s">
        <v>99</v>
      </c>
      <c r="F1319" t="s">
        <v>120</v>
      </c>
      <c r="G1319">
        <v>5</v>
      </c>
      <c r="H1319">
        <v>4532.12</v>
      </c>
      <c r="I1319">
        <v>0.11</v>
      </c>
      <c r="J1319">
        <v>20167.93</v>
      </c>
      <c r="K1319" t="s">
        <v>33</v>
      </c>
      <c r="L1319" t="s">
        <v>34</v>
      </c>
      <c r="M1319" t="s">
        <v>30</v>
      </c>
      <c r="N1319" t="s">
        <v>22</v>
      </c>
    </row>
    <row r="1320" spans="1:14" x14ac:dyDescent="0.3">
      <c r="A1320" t="s">
        <v>1381</v>
      </c>
      <c r="B1320" s="1">
        <v>45742</v>
      </c>
      <c r="C1320" t="s">
        <v>52</v>
      </c>
      <c r="D1320" t="s">
        <v>25</v>
      </c>
      <c r="E1320" t="s">
        <v>17</v>
      </c>
      <c r="F1320" t="s">
        <v>44</v>
      </c>
      <c r="G1320">
        <v>1</v>
      </c>
      <c r="H1320">
        <v>2708.3</v>
      </c>
      <c r="I1320">
        <v>0.15</v>
      </c>
      <c r="J1320">
        <v>2302.06</v>
      </c>
      <c r="K1320" t="s">
        <v>19</v>
      </c>
      <c r="L1320" t="s">
        <v>34</v>
      </c>
      <c r="M1320" t="s">
        <v>54</v>
      </c>
      <c r="N1320" t="s">
        <v>22</v>
      </c>
    </row>
    <row r="1321" spans="1:14" x14ac:dyDescent="0.3">
      <c r="A1321" t="s">
        <v>1382</v>
      </c>
      <c r="B1321" s="1">
        <v>45682</v>
      </c>
      <c r="C1321" t="s">
        <v>24</v>
      </c>
      <c r="D1321" t="s">
        <v>25</v>
      </c>
      <c r="E1321" t="s">
        <v>99</v>
      </c>
      <c r="F1321" t="s">
        <v>100</v>
      </c>
      <c r="G1321">
        <v>1</v>
      </c>
      <c r="H1321">
        <v>3802.8</v>
      </c>
      <c r="I1321">
        <v>0.03</v>
      </c>
      <c r="J1321">
        <v>3688.72</v>
      </c>
      <c r="K1321" t="s">
        <v>19</v>
      </c>
      <c r="L1321" t="s">
        <v>34</v>
      </c>
      <c r="M1321" t="s">
        <v>30</v>
      </c>
      <c r="N1321" t="s">
        <v>22</v>
      </c>
    </row>
    <row r="1322" spans="1:14" x14ac:dyDescent="0.3">
      <c r="A1322" t="s">
        <v>1383</v>
      </c>
      <c r="B1322" s="1">
        <v>45765</v>
      </c>
      <c r="C1322" t="s">
        <v>36</v>
      </c>
      <c r="D1322" t="s">
        <v>25</v>
      </c>
      <c r="E1322" t="s">
        <v>61</v>
      </c>
      <c r="F1322" t="s">
        <v>62</v>
      </c>
      <c r="G1322">
        <v>5</v>
      </c>
      <c r="H1322">
        <v>2902.36</v>
      </c>
      <c r="I1322">
        <v>0.11</v>
      </c>
      <c r="J1322">
        <v>12915.5</v>
      </c>
      <c r="K1322" t="s">
        <v>46</v>
      </c>
      <c r="L1322" t="s">
        <v>34</v>
      </c>
      <c r="M1322" t="s">
        <v>54</v>
      </c>
      <c r="N1322" t="s">
        <v>37</v>
      </c>
    </row>
    <row r="1323" spans="1:14" x14ac:dyDescent="0.3">
      <c r="A1323" t="s">
        <v>1384</v>
      </c>
      <c r="B1323" s="1">
        <v>45703</v>
      </c>
      <c r="C1323" t="s">
        <v>15</v>
      </c>
      <c r="D1323" t="s">
        <v>25</v>
      </c>
      <c r="E1323" t="s">
        <v>27</v>
      </c>
      <c r="F1323" t="s">
        <v>28</v>
      </c>
      <c r="G1323">
        <v>1</v>
      </c>
      <c r="H1323">
        <v>968.45</v>
      </c>
      <c r="I1323">
        <v>0.16</v>
      </c>
      <c r="J1323">
        <v>813.5</v>
      </c>
      <c r="K1323" t="s">
        <v>58</v>
      </c>
      <c r="L1323" t="s">
        <v>34</v>
      </c>
      <c r="M1323" t="s">
        <v>21</v>
      </c>
      <c r="N1323" t="s">
        <v>37</v>
      </c>
    </row>
    <row r="1324" spans="1:14" x14ac:dyDescent="0.3">
      <c r="A1324" t="s">
        <v>1385</v>
      </c>
      <c r="B1324" s="1">
        <v>45785</v>
      </c>
      <c r="C1324" t="s">
        <v>15</v>
      </c>
      <c r="D1324" t="s">
        <v>16</v>
      </c>
      <c r="E1324" t="s">
        <v>17</v>
      </c>
      <c r="F1324" t="s">
        <v>44</v>
      </c>
      <c r="G1324">
        <v>1</v>
      </c>
      <c r="H1324">
        <v>1838.09</v>
      </c>
      <c r="I1324">
        <v>0.25</v>
      </c>
      <c r="J1324">
        <v>1378.57</v>
      </c>
      <c r="K1324" t="s">
        <v>46</v>
      </c>
      <c r="L1324" t="s">
        <v>29</v>
      </c>
      <c r="M1324" t="s">
        <v>30</v>
      </c>
      <c r="N1324" t="s">
        <v>22</v>
      </c>
    </row>
    <row r="1325" spans="1:14" x14ac:dyDescent="0.3">
      <c r="A1325" t="s">
        <v>1386</v>
      </c>
      <c r="B1325" s="1">
        <v>45688</v>
      </c>
      <c r="C1325" t="s">
        <v>52</v>
      </c>
      <c r="D1325" t="s">
        <v>25</v>
      </c>
      <c r="E1325" t="s">
        <v>27</v>
      </c>
      <c r="F1325" t="s">
        <v>87</v>
      </c>
      <c r="G1325">
        <v>2</v>
      </c>
      <c r="H1325">
        <v>2615.77</v>
      </c>
      <c r="I1325">
        <v>0.25</v>
      </c>
      <c r="J1325">
        <v>3923.65</v>
      </c>
      <c r="K1325" t="s">
        <v>46</v>
      </c>
      <c r="L1325" t="s">
        <v>34</v>
      </c>
      <c r="M1325" t="s">
        <v>54</v>
      </c>
      <c r="N1325" t="s">
        <v>22</v>
      </c>
    </row>
    <row r="1326" spans="1:14" x14ac:dyDescent="0.3">
      <c r="A1326" t="s">
        <v>1387</v>
      </c>
      <c r="B1326" s="1">
        <v>45836</v>
      </c>
      <c r="C1326" t="s">
        <v>52</v>
      </c>
      <c r="D1326" t="s">
        <v>25</v>
      </c>
      <c r="E1326" t="s">
        <v>61</v>
      </c>
      <c r="F1326" t="s">
        <v>62</v>
      </c>
      <c r="G1326">
        <v>4</v>
      </c>
      <c r="H1326">
        <v>4981.1499999999996</v>
      </c>
      <c r="I1326">
        <v>0.08</v>
      </c>
      <c r="J1326">
        <v>18330.63</v>
      </c>
      <c r="K1326" t="s">
        <v>46</v>
      </c>
      <c r="L1326" t="s">
        <v>34</v>
      </c>
      <c r="M1326" t="s">
        <v>30</v>
      </c>
      <c r="N1326" t="s">
        <v>22</v>
      </c>
    </row>
    <row r="1327" spans="1:14" x14ac:dyDescent="0.3">
      <c r="A1327" t="s">
        <v>1388</v>
      </c>
      <c r="B1327" s="1">
        <v>45711</v>
      </c>
      <c r="C1327" t="s">
        <v>52</v>
      </c>
      <c r="D1327" t="s">
        <v>25</v>
      </c>
      <c r="E1327" t="s">
        <v>99</v>
      </c>
      <c r="F1327" t="s">
        <v>120</v>
      </c>
      <c r="G1327">
        <v>5</v>
      </c>
      <c r="H1327">
        <v>194.14</v>
      </c>
      <c r="I1327">
        <v>0.1</v>
      </c>
      <c r="J1327">
        <v>873.63</v>
      </c>
      <c r="K1327" t="s">
        <v>33</v>
      </c>
      <c r="L1327" t="s">
        <v>20</v>
      </c>
      <c r="M1327" t="s">
        <v>30</v>
      </c>
      <c r="N1327" t="s">
        <v>22</v>
      </c>
    </row>
    <row r="1328" spans="1:14" x14ac:dyDescent="0.3">
      <c r="A1328" t="s">
        <v>1389</v>
      </c>
      <c r="B1328" s="1">
        <v>45820</v>
      </c>
      <c r="C1328" t="s">
        <v>15</v>
      </c>
      <c r="D1328" t="s">
        <v>39</v>
      </c>
      <c r="E1328" t="s">
        <v>99</v>
      </c>
      <c r="F1328" t="s">
        <v>115</v>
      </c>
      <c r="G1328">
        <v>4</v>
      </c>
      <c r="H1328">
        <v>2095.2600000000002</v>
      </c>
      <c r="I1328">
        <v>0.09</v>
      </c>
      <c r="J1328">
        <v>7626.75</v>
      </c>
      <c r="K1328" t="s">
        <v>46</v>
      </c>
      <c r="L1328" t="s">
        <v>29</v>
      </c>
      <c r="M1328" t="s">
        <v>30</v>
      </c>
      <c r="N1328" t="s">
        <v>22</v>
      </c>
    </row>
    <row r="1329" spans="1:14" x14ac:dyDescent="0.3">
      <c r="A1329" t="s">
        <v>1390</v>
      </c>
      <c r="B1329" s="1">
        <v>45687</v>
      </c>
      <c r="C1329" t="s">
        <v>15</v>
      </c>
      <c r="D1329" t="s">
        <v>16</v>
      </c>
      <c r="E1329" t="s">
        <v>49</v>
      </c>
      <c r="F1329" t="s">
        <v>53</v>
      </c>
      <c r="G1329">
        <v>1</v>
      </c>
      <c r="H1329">
        <v>4046.83</v>
      </c>
      <c r="I1329">
        <v>0.23</v>
      </c>
      <c r="J1329">
        <v>3116.06</v>
      </c>
      <c r="K1329" t="s">
        <v>58</v>
      </c>
      <c r="L1329" t="s">
        <v>34</v>
      </c>
      <c r="M1329" t="s">
        <v>21</v>
      </c>
      <c r="N1329" t="s">
        <v>22</v>
      </c>
    </row>
    <row r="1330" spans="1:14" x14ac:dyDescent="0.3">
      <c r="A1330" t="s">
        <v>1391</v>
      </c>
      <c r="B1330" s="1">
        <v>45673</v>
      </c>
      <c r="C1330" t="s">
        <v>52</v>
      </c>
      <c r="D1330" t="s">
        <v>16</v>
      </c>
      <c r="E1330" t="s">
        <v>61</v>
      </c>
      <c r="F1330" t="s">
        <v>62</v>
      </c>
      <c r="G1330">
        <v>3</v>
      </c>
      <c r="H1330">
        <v>418.3</v>
      </c>
      <c r="I1330">
        <v>0.14000000000000001</v>
      </c>
      <c r="J1330">
        <v>1079.21</v>
      </c>
      <c r="K1330" t="s">
        <v>58</v>
      </c>
      <c r="L1330" t="s">
        <v>20</v>
      </c>
      <c r="M1330" t="s">
        <v>54</v>
      </c>
      <c r="N1330" t="s">
        <v>37</v>
      </c>
    </row>
    <row r="1331" spans="1:14" x14ac:dyDescent="0.3">
      <c r="A1331" t="s">
        <v>1392</v>
      </c>
      <c r="B1331" s="1">
        <v>45671</v>
      </c>
      <c r="C1331" t="s">
        <v>15</v>
      </c>
      <c r="D1331" t="s">
        <v>39</v>
      </c>
      <c r="E1331" t="s">
        <v>17</v>
      </c>
      <c r="F1331" t="s">
        <v>18</v>
      </c>
      <c r="G1331">
        <v>2</v>
      </c>
      <c r="H1331">
        <v>2955.5</v>
      </c>
      <c r="I1331">
        <v>0.24</v>
      </c>
      <c r="J1331">
        <v>4492.3599999999997</v>
      </c>
      <c r="K1331" t="s">
        <v>33</v>
      </c>
      <c r="L1331" t="s">
        <v>20</v>
      </c>
      <c r="M1331" t="s">
        <v>30</v>
      </c>
      <c r="N1331" t="s">
        <v>88</v>
      </c>
    </row>
    <row r="1332" spans="1:14" x14ac:dyDescent="0.3">
      <c r="A1332" t="s">
        <v>1393</v>
      </c>
      <c r="B1332" s="1">
        <v>45692</v>
      </c>
      <c r="C1332" t="s">
        <v>24</v>
      </c>
      <c r="D1332" t="s">
        <v>16</v>
      </c>
      <c r="E1332" t="s">
        <v>17</v>
      </c>
      <c r="F1332" t="s">
        <v>18</v>
      </c>
      <c r="G1332">
        <v>1</v>
      </c>
      <c r="H1332">
        <v>1009.32</v>
      </c>
      <c r="I1332">
        <v>0.18</v>
      </c>
      <c r="J1332">
        <v>827.64</v>
      </c>
      <c r="K1332" t="s">
        <v>19</v>
      </c>
      <c r="L1332" t="s">
        <v>20</v>
      </c>
      <c r="M1332" t="s">
        <v>54</v>
      </c>
      <c r="N1332" t="s">
        <v>22</v>
      </c>
    </row>
    <row r="1333" spans="1:14" x14ac:dyDescent="0.3">
      <c r="A1333" t="s">
        <v>1394</v>
      </c>
      <c r="B1333" s="1">
        <v>45813</v>
      </c>
      <c r="C1333" t="s">
        <v>24</v>
      </c>
      <c r="D1333" t="s">
        <v>25</v>
      </c>
      <c r="E1333" t="s">
        <v>61</v>
      </c>
      <c r="F1333" t="s">
        <v>75</v>
      </c>
      <c r="G1333">
        <v>3</v>
      </c>
      <c r="H1333">
        <v>3164.71</v>
      </c>
      <c r="I1333">
        <v>0.05</v>
      </c>
      <c r="J1333">
        <v>9019.42</v>
      </c>
      <c r="K1333" t="s">
        <v>58</v>
      </c>
      <c r="L1333" t="s">
        <v>34</v>
      </c>
      <c r="M1333" t="s">
        <v>54</v>
      </c>
      <c r="N1333" t="s">
        <v>22</v>
      </c>
    </row>
    <row r="1334" spans="1:14" x14ac:dyDescent="0.3">
      <c r="A1334" t="s">
        <v>1395</v>
      </c>
      <c r="B1334" s="1">
        <v>45719</v>
      </c>
      <c r="C1334" t="s">
        <v>15</v>
      </c>
      <c r="D1334" t="s">
        <v>43</v>
      </c>
      <c r="E1334" t="s">
        <v>61</v>
      </c>
      <c r="F1334" t="s">
        <v>92</v>
      </c>
      <c r="G1334">
        <v>4</v>
      </c>
      <c r="H1334">
        <v>1006.15</v>
      </c>
      <c r="I1334">
        <v>0</v>
      </c>
      <c r="J1334">
        <v>4024.6</v>
      </c>
      <c r="K1334" t="s">
        <v>33</v>
      </c>
      <c r="L1334" t="s">
        <v>20</v>
      </c>
      <c r="M1334" t="s">
        <v>54</v>
      </c>
      <c r="N1334" t="s">
        <v>22</v>
      </c>
    </row>
    <row r="1335" spans="1:14" x14ac:dyDescent="0.3">
      <c r="A1335" t="s">
        <v>1396</v>
      </c>
      <c r="B1335" s="1">
        <v>45775</v>
      </c>
      <c r="C1335" t="s">
        <v>24</v>
      </c>
      <c r="D1335" t="s">
        <v>43</v>
      </c>
      <c r="E1335" t="s">
        <v>27</v>
      </c>
      <c r="F1335" t="s">
        <v>68</v>
      </c>
      <c r="G1335">
        <v>2</v>
      </c>
      <c r="H1335">
        <v>4258.22</v>
      </c>
      <c r="I1335">
        <v>0.19</v>
      </c>
      <c r="J1335">
        <v>6898.32</v>
      </c>
      <c r="K1335" t="s">
        <v>58</v>
      </c>
      <c r="L1335" t="s">
        <v>20</v>
      </c>
      <c r="M1335" t="s">
        <v>54</v>
      </c>
      <c r="N1335" t="s">
        <v>22</v>
      </c>
    </row>
    <row r="1336" spans="1:14" x14ac:dyDescent="0.3">
      <c r="A1336" t="s">
        <v>1397</v>
      </c>
      <c r="B1336" s="1">
        <v>45805</v>
      </c>
      <c r="C1336" t="s">
        <v>36</v>
      </c>
      <c r="D1336" t="s">
        <v>43</v>
      </c>
      <c r="E1336" t="s">
        <v>27</v>
      </c>
      <c r="F1336" t="s">
        <v>28</v>
      </c>
      <c r="G1336">
        <v>3</v>
      </c>
      <c r="H1336">
        <v>1169.47</v>
      </c>
      <c r="I1336">
        <v>0.06</v>
      </c>
      <c r="J1336">
        <v>3297.91</v>
      </c>
      <c r="K1336" t="s">
        <v>41</v>
      </c>
      <c r="L1336" t="s">
        <v>29</v>
      </c>
      <c r="M1336" t="s">
        <v>30</v>
      </c>
      <c r="N1336" t="s">
        <v>22</v>
      </c>
    </row>
    <row r="1337" spans="1:14" x14ac:dyDescent="0.3">
      <c r="A1337" t="s">
        <v>1398</v>
      </c>
      <c r="B1337" s="1">
        <v>45820</v>
      </c>
      <c r="C1337" t="s">
        <v>52</v>
      </c>
      <c r="D1337" t="s">
        <v>25</v>
      </c>
      <c r="E1337" t="s">
        <v>99</v>
      </c>
      <c r="F1337" t="s">
        <v>111</v>
      </c>
      <c r="G1337">
        <v>1</v>
      </c>
      <c r="H1337">
        <v>2520.2199999999998</v>
      </c>
      <c r="I1337">
        <v>0.23</v>
      </c>
      <c r="J1337">
        <v>1940.57</v>
      </c>
      <c r="K1337" t="s">
        <v>58</v>
      </c>
      <c r="L1337" t="s">
        <v>20</v>
      </c>
      <c r="M1337" t="s">
        <v>54</v>
      </c>
      <c r="N1337" t="s">
        <v>22</v>
      </c>
    </row>
    <row r="1338" spans="1:14" x14ac:dyDescent="0.3">
      <c r="A1338" t="s">
        <v>1399</v>
      </c>
      <c r="B1338" s="1">
        <v>45770</v>
      </c>
      <c r="C1338" t="s">
        <v>24</v>
      </c>
      <c r="D1338" t="s">
        <v>39</v>
      </c>
      <c r="E1338" t="s">
        <v>49</v>
      </c>
      <c r="F1338" t="s">
        <v>56</v>
      </c>
      <c r="G1338">
        <v>3</v>
      </c>
      <c r="H1338">
        <v>3520.57</v>
      </c>
      <c r="I1338">
        <v>0.15</v>
      </c>
      <c r="J1338">
        <v>8977.4500000000007</v>
      </c>
      <c r="K1338" t="s">
        <v>46</v>
      </c>
      <c r="L1338" t="s">
        <v>29</v>
      </c>
      <c r="M1338" t="s">
        <v>54</v>
      </c>
      <c r="N1338" t="s">
        <v>22</v>
      </c>
    </row>
    <row r="1339" spans="1:14" x14ac:dyDescent="0.3">
      <c r="A1339" t="s">
        <v>1400</v>
      </c>
      <c r="B1339" s="1">
        <v>45838</v>
      </c>
      <c r="C1339" t="s">
        <v>15</v>
      </c>
      <c r="D1339" t="s">
        <v>43</v>
      </c>
      <c r="E1339" t="s">
        <v>99</v>
      </c>
      <c r="F1339" t="s">
        <v>115</v>
      </c>
      <c r="G1339">
        <v>4</v>
      </c>
      <c r="H1339">
        <v>1571.21</v>
      </c>
      <c r="I1339">
        <v>0.12</v>
      </c>
      <c r="J1339">
        <v>5530.66</v>
      </c>
      <c r="K1339" t="s">
        <v>41</v>
      </c>
      <c r="L1339" t="s">
        <v>34</v>
      </c>
      <c r="M1339" t="s">
        <v>21</v>
      </c>
      <c r="N1339" t="s">
        <v>22</v>
      </c>
    </row>
    <row r="1340" spans="1:14" x14ac:dyDescent="0.3">
      <c r="A1340" t="s">
        <v>1401</v>
      </c>
      <c r="B1340" s="1">
        <v>45716</v>
      </c>
      <c r="C1340" t="s">
        <v>15</v>
      </c>
      <c r="D1340" t="s">
        <v>25</v>
      </c>
      <c r="E1340" t="s">
        <v>61</v>
      </c>
      <c r="F1340" t="s">
        <v>62</v>
      </c>
      <c r="G1340">
        <v>4</v>
      </c>
      <c r="H1340">
        <v>1689.4</v>
      </c>
      <c r="I1340">
        <v>0.2</v>
      </c>
      <c r="J1340">
        <v>5406.08</v>
      </c>
      <c r="K1340" t="s">
        <v>41</v>
      </c>
      <c r="L1340" t="s">
        <v>34</v>
      </c>
      <c r="M1340" t="s">
        <v>30</v>
      </c>
      <c r="N1340" t="s">
        <v>37</v>
      </c>
    </row>
    <row r="1341" spans="1:14" x14ac:dyDescent="0.3">
      <c r="A1341" t="s">
        <v>1402</v>
      </c>
      <c r="B1341" s="1">
        <v>45745</v>
      </c>
      <c r="C1341" t="s">
        <v>52</v>
      </c>
      <c r="D1341" t="s">
        <v>39</v>
      </c>
      <c r="E1341" t="s">
        <v>49</v>
      </c>
      <c r="F1341" t="s">
        <v>50</v>
      </c>
      <c r="G1341">
        <v>4</v>
      </c>
      <c r="H1341">
        <v>2156.0300000000002</v>
      </c>
      <c r="I1341">
        <v>0.01</v>
      </c>
      <c r="J1341">
        <v>8537.8799999999992</v>
      </c>
      <c r="K1341" t="s">
        <v>19</v>
      </c>
      <c r="L1341" t="s">
        <v>29</v>
      </c>
      <c r="M1341" t="s">
        <v>54</v>
      </c>
      <c r="N1341" t="s">
        <v>22</v>
      </c>
    </row>
    <row r="1342" spans="1:14" x14ac:dyDescent="0.3">
      <c r="A1342" t="s">
        <v>1403</v>
      </c>
      <c r="B1342" s="1">
        <v>45684</v>
      </c>
      <c r="C1342" t="s">
        <v>15</v>
      </c>
      <c r="D1342" t="s">
        <v>16</v>
      </c>
      <c r="E1342" t="s">
        <v>61</v>
      </c>
      <c r="F1342" t="s">
        <v>92</v>
      </c>
      <c r="G1342">
        <v>2</v>
      </c>
      <c r="H1342">
        <v>840.09</v>
      </c>
      <c r="I1342">
        <v>0.24</v>
      </c>
      <c r="J1342">
        <v>1276.94</v>
      </c>
      <c r="K1342" t="s">
        <v>58</v>
      </c>
      <c r="L1342" t="s">
        <v>34</v>
      </c>
      <c r="M1342" t="s">
        <v>54</v>
      </c>
      <c r="N1342" t="s">
        <v>22</v>
      </c>
    </row>
    <row r="1343" spans="1:14" x14ac:dyDescent="0.3">
      <c r="A1343" t="s">
        <v>1404</v>
      </c>
      <c r="B1343" s="1">
        <v>45751</v>
      </c>
      <c r="C1343" t="s">
        <v>15</v>
      </c>
      <c r="D1343" t="s">
        <v>39</v>
      </c>
      <c r="E1343" t="s">
        <v>49</v>
      </c>
      <c r="F1343" t="s">
        <v>73</v>
      </c>
      <c r="G1343">
        <v>1</v>
      </c>
      <c r="H1343">
        <v>2536.88</v>
      </c>
      <c r="I1343">
        <v>0.04</v>
      </c>
      <c r="J1343">
        <v>2435.4</v>
      </c>
      <c r="K1343" t="s">
        <v>46</v>
      </c>
      <c r="L1343" t="s">
        <v>20</v>
      </c>
      <c r="M1343" t="s">
        <v>21</v>
      </c>
      <c r="N1343" t="s">
        <v>22</v>
      </c>
    </row>
    <row r="1344" spans="1:14" x14ac:dyDescent="0.3">
      <c r="A1344" t="s">
        <v>1405</v>
      </c>
      <c r="B1344" s="1">
        <v>45793</v>
      </c>
      <c r="C1344" t="s">
        <v>48</v>
      </c>
      <c r="D1344" t="s">
        <v>16</v>
      </c>
      <c r="E1344" t="s">
        <v>49</v>
      </c>
      <c r="F1344" t="s">
        <v>50</v>
      </c>
      <c r="G1344">
        <v>4</v>
      </c>
      <c r="H1344">
        <v>4848.59</v>
      </c>
      <c r="I1344">
        <v>0.01</v>
      </c>
      <c r="J1344">
        <v>19200.419999999998</v>
      </c>
      <c r="K1344" t="s">
        <v>41</v>
      </c>
      <c r="L1344" t="s">
        <v>20</v>
      </c>
      <c r="M1344" t="s">
        <v>54</v>
      </c>
      <c r="N1344" t="s">
        <v>59</v>
      </c>
    </row>
    <row r="1345" spans="1:14" x14ac:dyDescent="0.3">
      <c r="A1345" t="s">
        <v>1406</v>
      </c>
      <c r="B1345" s="1">
        <v>45719</v>
      </c>
      <c r="C1345" t="s">
        <v>52</v>
      </c>
      <c r="D1345" t="s">
        <v>39</v>
      </c>
      <c r="E1345" t="s">
        <v>49</v>
      </c>
      <c r="F1345" t="s">
        <v>53</v>
      </c>
      <c r="G1345">
        <v>4</v>
      </c>
      <c r="H1345">
        <v>4037.75</v>
      </c>
      <c r="I1345">
        <v>0.1</v>
      </c>
      <c r="J1345">
        <v>14535.9</v>
      </c>
      <c r="K1345" t="s">
        <v>19</v>
      </c>
      <c r="L1345" t="s">
        <v>29</v>
      </c>
      <c r="M1345" t="s">
        <v>54</v>
      </c>
      <c r="N1345" t="s">
        <v>22</v>
      </c>
    </row>
    <row r="1346" spans="1:14" x14ac:dyDescent="0.3">
      <c r="A1346" t="s">
        <v>1407</v>
      </c>
      <c r="B1346" s="1">
        <v>45795</v>
      </c>
      <c r="C1346" t="s">
        <v>36</v>
      </c>
      <c r="D1346" t="s">
        <v>39</v>
      </c>
      <c r="E1346" t="s">
        <v>99</v>
      </c>
      <c r="F1346" t="s">
        <v>111</v>
      </c>
      <c r="G1346">
        <v>1</v>
      </c>
      <c r="H1346">
        <v>3035.67</v>
      </c>
      <c r="I1346">
        <v>0.13</v>
      </c>
      <c r="J1346">
        <v>2641.03</v>
      </c>
      <c r="K1346" t="s">
        <v>41</v>
      </c>
      <c r="L1346" t="s">
        <v>29</v>
      </c>
      <c r="M1346" t="s">
        <v>30</v>
      </c>
      <c r="N1346" t="s">
        <v>88</v>
      </c>
    </row>
    <row r="1347" spans="1:14" x14ac:dyDescent="0.3">
      <c r="A1347" t="s">
        <v>1408</v>
      </c>
      <c r="B1347" s="1">
        <v>45738</v>
      </c>
      <c r="C1347" t="s">
        <v>36</v>
      </c>
      <c r="D1347" t="s">
        <v>39</v>
      </c>
      <c r="E1347" t="s">
        <v>61</v>
      </c>
      <c r="F1347" t="s">
        <v>66</v>
      </c>
      <c r="G1347">
        <v>1</v>
      </c>
      <c r="H1347">
        <v>2290.6799999999998</v>
      </c>
      <c r="I1347">
        <v>0.1</v>
      </c>
      <c r="J1347">
        <v>2061.61</v>
      </c>
      <c r="K1347" t="s">
        <v>41</v>
      </c>
      <c r="L1347" t="s">
        <v>20</v>
      </c>
      <c r="M1347" t="s">
        <v>54</v>
      </c>
      <c r="N1347" t="s">
        <v>22</v>
      </c>
    </row>
    <row r="1348" spans="1:14" x14ac:dyDescent="0.3">
      <c r="A1348" t="s">
        <v>1409</v>
      </c>
      <c r="B1348" s="1">
        <v>45712</v>
      </c>
      <c r="C1348" t="s">
        <v>15</v>
      </c>
      <c r="D1348" t="s">
        <v>39</v>
      </c>
      <c r="E1348" t="s">
        <v>99</v>
      </c>
      <c r="F1348" t="s">
        <v>115</v>
      </c>
      <c r="G1348">
        <v>5</v>
      </c>
      <c r="H1348">
        <v>3989.71</v>
      </c>
      <c r="I1348">
        <v>0.17</v>
      </c>
      <c r="J1348">
        <v>16557.3</v>
      </c>
      <c r="K1348" t="s">
        <v>33</v>
      </c>
      <c r="L1348" t="s">
        <v>34</v>
      </c>
      <c r="M1348" t="s">
        <v>54</v>
      </c>
      <c r="N1348" t="s">
        <v>88</v>
      </c>
    </row>
    <row r="1349" spans="1:14" x14ac:dyDescent="0.3">
      <c r="A1349" t="s">
        <v>1410</v>
      </c>
      <c r="B1349" s="1">
        <v>45757</v>
      </c>
      <c r="C1349" t="s">
        <v>36</v>
      </c>
      <c r="D1349" t="s">
        <v>39</v>
      </c>
      <c r="E1349" t="s">
        <v>27</v>
      </c>
      <c r="F1349" t="s">
        <v>68</v>
      </c>
      <c r="G1349">
        <v>2</v>
      </c>
      <c r="H1349">
        <v>2494.08</v>
      </c>
      <c r="I1349">
        <v>0.12</v>
      </c>
      <c r="J1349">
        <v>4389.58</v>
      </c>
      <c r="K1349" t="s">
        <v>33</v>
      </c>
      <c r="L1349" t="s">
        <v>20</v>
      </c>
      <c r="M1349" t="s">
        <v>54</v>
      </c>
      <c r="N1349" t="s">
        <v>22</v>
      </c>
    </row>
    <row r="1350" spans="1:14" x14ac:dyDescent="0.3">
      <c r="A1350" t="s">
        <v>1411</v>
      </c>
      <c r="B1350" s="1">
        <v>45764</v>
      </c>
      <c r="C1350" t="s">
        <v>52</v>
      </c>
      <c r="D1350" t="s">
        <v>39</v>
      </c>
      <c r="E1350" t="s">
        <v>17</v>
      </c>
      <c r="F1350" t="s">
        <v>40</v>
      </c>
      <c r="G1350">
        <v>1</v>
      </c>
      <c r="H1350">
        <v>2693.25</v>
      </c>
      <c r="I1350">
        <v>0.12</v>
      </c>
      <c r="J1350">
        <v>2370.06</v>
      </c>
      <c r="K1350" t="s">
        <v>33</v>
      </c>
      <c r="L1350" t="s">
        <v>34</v>
      </c>
      <c r="M1350" t="s">
        <v>21</v>
      </c>
      <c r="N1350" t="s">
        <v>22</v>
      </c>
    </row>
    <row r="1351" spans="1:14" x14ac:dyDescent="0.3">
      <c r="A1351" t="s">
        <v>1412</v>
      </c>
      <c r="B1351" s="1">
        <v>45755</v>
      </c>
      <c r="C1351" t="s">
        <v>15</v>
      </c>
      <c r="D1351" t="s">
        <v>39</v>
      </c>
      <c r="E1351" t="s">
        <v>49</v>
      </c>
      <c r="F1351" t="s">
        <v>73</v>
      </c>
      <c r="G1351">
        <v>1</v>
      </c>
      <c r="H1351">
        <v>2421.36</v>
      </c>
      <c r="I1351">
        <v>0.06</v>
      </c>
      <c r="J1351">
        <v>2276.08</v>
      </c>
      <c r="K1351" t="s">
        <v>19</v>
      </c>
      <c r="L1351" t="s">
        <v>34</v>
      </c>
      <c r="M1351" t="s">
        <v>54</v>
      </c>
      <c r="N1351" t="s">
        <v>22</v>
      </c>
    </row>
    <row r="1352" spans="1:14" x14ac:dyDescent="0.3">
      <c r="A1352" t="s">
        <v>1413</v>
      </c>
      <c r="B1352" s="1">
        <v>45745</v>
      </c>
      <c r="C1352" t="s">
        <v>36</v>
      </c>
      <c r="D1352" t="s">
        <v>43</v>
      </c>
      <c r="E1352" t="s">
        <v>27</v>
      </c>
      <c r="F1352" t="s">
        <v>87</v>
      </c>
      <c r="G1352">
        <v>3</v>
      </c>
      <c r="H1352">
        <v>2475.02</v>
      </c>
      <c r="I1352">
        <v>0.08</v>
      </c>
      <c r="J1352">
        <v>6831.06</v>
      </c>
      <c r="K1352" t="s">
        <v>19</v>
      </c>
      <c r="L1352" t="s">
        <v>34</v>
      </c>
      <c r="M1352" t="s">
        <v>21</v>
      </c>
      <c r="N1352" t="s">
        <v>88</v>
      </c>
    </row>
    <row r="1353" spans="1:14" x14ac:dyDescent="0.3">
      <c r="A1353" t="s">
        <v>1414</v>
      </c>
      <c r="B1353" s="1">
        <v>45675</v>
      </c>
      <c r="C1353" t="s">
        <v>15</v>
      </c>
      <c r="D1353" t="s">
        <v>25</v>
      </c>
      <c r="E1353" t="s">
        <v>61</v>
      </c>
      <c r="F1353" t="s">
        <v>62</v>
      </c>
      <c r="G1353">
        <v>2</v>
      </c>
      <c r="H1353">
        <v>2665.16</v>
      </c>
      <c r="I1353">
        <v>0.13</v>
      </c>
      <c r="J1353">
        <v>4637.38</v>
      </c>
      <c r="K1353" t="s">
        <v>58</v>
      </c>
      <c r="L1353" t="s">
        <v>29</v>
      </c>
      <c r="M1353" t="s">
        <v>54</v>
      </c>
      <c r="N1353" t="s">
        <v>22</v>
      </c>
    </row>
    <row r="1354" spans="1:14" x14ac:dyDescent="0.3">
      <c r="A1354" t="s">
        <v>1415</v>
      </c>
      <c r="B1354" s="1">
        <v>45776</v>
      </c>
      <c r="C1354" t="s">
        <v>15</v>
      </c>
      <c r="D1354" t="s">
        <v>16</v>
      </c>
      <c r="E1354" t="s">
        <v>17</v>
      </c>
      <c r="F1354" t="s">
        <v>32</v>
      </c>
      <c r="G1354">
        <v>3</v>
      </c>
      <c r="H1354">
        <v>223.89</v>
      </c>
      <c r="I1354">
        <v>0.16</v>
      </c>
      <c r="J1354">
        <v>564.20000000000005</v>
      </c>
      <c r="K1354" t="s">
        <v>19</v>
      </c>
      <c r="L1354" t="s">
        <v>20</v>
      </c>
      <c r="M1354" t="s">
        <v>30</v>
      </c>
      <c r="N1354" t="s">
        <v>22</v>
      </c>
    </row>
    <row r="1355" spans="1:14" x14ac:dyDescent="0.3">
      <c r="A1355" t="s">
        <v>1416</v>
      </c>
      <c r="B1355" s="1">
        <v>45667</v>
      </c>
      <c r="C1355" t="s">
        <v>48</v>
      </c>
      <c r="D1355" t="s">
        <v>25</v>
      </c>
      <c r="E1355" t="s">
        <v>61</v>
      </c>
      <c r="F1355" t="s">
        <v>92</v>
      </c>
      <c r="G1355">
        <v>5</v>
      </c>
      <c r="H1355">
        <v>2276.2800000000002</v>
      </c>
      <c r="I1355">
        <v>0.08</v>
      </c>
      <c r="J1355">
        <v>10470.89</v>
      </c>
      <c r="K1355" t="s">
        <v>33</v>
      </c>
      <c r="L1355" t="s">
        <v>20</v>
      </c>
      <c r="M1355" t="s">
        <v>30</v>
      </c>
      <c r="N1355" t="s">
        <v>22</v>
      </c>
    </row>
    <row r="1356" spans="1:14" x14ac:dyDescent="0.3">
      <c r="A1356" t="s">
        <v>1417</v>
      </c>
      <c r="B1356" s="1">
        <v>45832</v>
      </c>
      <c r="C1356" t="s">
        <v>15</v>
      </c>
      <c r="D1356" t="s">
        <v>39</v>
      </c>
      <c r="E1356" t="s">
        <v>27</v>
      </c>
      <c r="F1356" t="s">
        <v>87</v>
      </c>
      <c r="G1356">
        <v>2</v>
      </c>
      <c r="H1356">
        <v>1681.74</v>
      </c>
      <c r="I1356">
        <v>0</v>
      </c>
      <c r="J1356">
        <v>3363.48</v>
      </c>
      <c r="K1356" t="s">
        <v>19</v>
      </c>
      <c r="L1356" t="s">
        <v>29</v>
      </c>
      <c r="M1356" t="s">
        <v>54</v>
      </c>
      <c r="N1356" t="s">
        <v>22</v>
      </c>
    </row>
    <row r="1357" spans="1:14" x14ac:dyDescent="0.3">
      <c r="A1357" t="s">
        <v>1418</v>
      </c>
      <c r="B1357" s="1">
        <v>45743</v>
      </c>
      <c r="C1357" t="s">
        <v>15</v>
      </c>
      <c r="D1357" t="s">
        <v>43</v>
      </c>
      <c r="E1357" t="s">
        <v>99</v>
      </c>
      <c r="F1357" t="s">
        <v>100</v>
      </c>
      <c r="G1357">
        <v>1</v>
      </c>
      <c r="H1357">
        <v>3181.56</v>
      </c>
      <c r="I1357">
        <v>0.16</v>
      </c>
      <c r="J1357">
        <v>2672.51</v>
      </c>
      <c r="K1357" t="s">
        <v>41</v>
      </c>
      <c r="L1357" t="s">
        <v>29</v>
      </c>
      <c r="M1357" t="s">
        <v>30</v>
      </c>
      <c r="N1357" t="s">
        <v>22</v>
      </c>
    </row>
    <row r="1358" spans="1:14" x14ac:dyDescent="0.3">
      <c r="A1358" t="s">
        <v>1419</v>
      </c>
      <c r="B1358" s="1">
        <v>45802</v>
      </c>
      <c r="C1358" t="s">
        <v>15</v>
      </c>
      <c r="D1358" t="s">
        <v>43</v>
      </c>
      <c r="E1358" t="s">
        <v>17</v>
      </c>
      <c r="F1358" t="s">
        <v>32</v>
      </c>
      <c r="G1358">
        <v>1</v>
      </c>
      <c r="H1358">
        <v>4427.97</v>
      </c>
      <c r="I1358">
        <v>0.01</v>
      </c>
      <c r="J1358">
        <v>4383.6899999999996</v>
      </c>
      <c r="K1358" t="s">
        <v>33</v>
      </c>
      <c r="L1358" t="s">
        <v>29</v>
      </c>
      <c r="M1358" t="s">
        <v>21</v>
      </c>
      <c r="N1358" t="s">
        <v>22</v>
      </c>
    </row>
    <row r="1359" spans="1:14" x14ac:dyDescent="0.3">
      <c r="A1359" t="s">
        <v>1420</v>
      </c>
      <c r="B1359" s="1">
        <v>45722</v>
      </c>
      <c r="C1359" t="s">
        <v>52</v>
      </c>
      <c r="D1359" t="s">
        <v>39</v>
      </c>
      <c r="E1359" t="s">
        <v>17</v>
      </c>
      <c r="F1359" t="s">
        <v>44</v>
      </c>
      <c r="G1359">
        <v>2</v>
      </c>
      <c r="H1359">
        <v>4706.6000000000004</v>
      </c>
      <c r="I1359">
        <v>0.06</v>
      </c>
      <c r="J1359">
        <v>8848.41</v>
      </c>
      <c r="K1359" t="s">
        <v>58</v>
      </c>
      <c r="L1359" t="s">
        <v>29</v>
      </c>
      <c r="M1359" t="s">
        <v>30</v>
      </c>
      <c r="N1359" t="s">
        <v>22</v>
      </c>
    </row>
    <row r="1360" spans="1:14" x14ac:dyDescent="0.3">
      <c r="A1360" t="s">
        <v>1421</v>
      </c>
      <c r="B1360" s="1">
        <v>45777</v>
      </c>
      <c r="C1360" t="s">
        <v>24</v>
      </c>
      <c r="D1360" t="s">
        <v>43</v>
      </c>
      <c r="E1360" t="s">
        <v>49</v>
      </c>
      <c r="F1360" t="s">
        <v>53</v>
      </c>
      <c r="G1360">
        <v>5</v>
      </c>
      <c r="H1360">
        <v>404.54</v>
      </c>
      <c r="I1360">
        <v>0.1</v>
      </c>
      <c r="J1360">
        <v>1820.43</v>
      </c>
      <c r="K1360" t="s">
        <v>41</v>
      </c>
      <c r="L1360" t="s">
        <v>34</v>
      </c>
      <c r="M1360" t="s">
        <v>30</v>
      </c>
      <c r="N1360" t="s">
        <v>22</v>
      </c>
    </row>
    <row r="1361" spans="1:14" x14ac:dyDescent="0.3">
      <c r="A1361" t="s">
        <v>1422</v>
      </c>
      <c r="B1361" s="1">
        <v>45708</v>
      </c>
      <c r="C1361" t="s">
        <v>48</v>
      </c>
      <c r="D1361" t="s">
        <v>16</v>
      </c>
      <c r="E1361" t="s">
        <v>17</v>
      </c>
      <c r="F1361" t="s">
        <v>44</v>
      </c>
      <c r="G1361">
        <v>3</v>
      </c>
      <c r="H1361">
        <v>1214.24</v>
      </c>
      <c r="I1361">
        <v>0.01</v>
      </c>
      <c r="J1361">
        <v>3606.29</v>
      </c>
      <c r="K1361" t="s">
        <v>19</v>
      </c>
      <c r="L1361" t="s">
        <v>20</v>
      </c>
      <c r="M1361" t="s">
        <v>21</v>
      </c>
      <c r="N1361" t="s">
        <v>22</v>
      </c>
    </row>
    <row r="1362" spans="1:14" x14ac:dyDescent="0.3">
      <c r="A1362" t="s">
        <v>1423</v>
      </c>
      <c r="B1362" s="1">
        <v>45665</v>
      </c>
      <c r="C1362" t="s">
        <v>24</v>
      </c>
      <c r="D1362" t="s">
        <v>39</v>
      </c>
      <c r="E1362" t="s">
        <v>61</v>
      </c>
      <c r="F1362" t="s">
        <v>92</v>
      </c>
      <c r="G1362">
        <v>2</v>
      </c>
      <c r="H1362">
        <v>4754.83</v>
      </c>
      <c r="I1362">
        <v>0.24</v>
      </c>
      <c r="J1362">
        <v>7227.34</v>
      </c>
      <c r="K1362" t="s">
        <v>58</v>
      </c>
      <c r="L1362" t="s">
        <v>20</v>
      </c>
      <c r="M1362" t="s">
        <v>54</v>
      </c>
      <c r="N1362" t="s">
        <v>22</v>
      </c>
    </row>
    <row r="1363" spans="1:14" x14ac:dyDescent="0.3">
      <c r="A1363" t="s">
        <v>1424</v>
      </c>
      <c r="B1363" s="1">
        <v>45677</v>
      </c>
      <c r="C1363" t="s">
        <v>36</v>
      </c>
      <c r="D1363" t="s">
        <v>16</v>
      </c>
      <c r="E1363" t="s">
        <v>49</v>
      </c>
      <c r="F1363" t="s">
        <v>56</v>
      </c>
      <c r="G1363">
        <v>1</v>
      </c>
      <c r="H1363">
        <v>3381.25</v>
      </c>
      <c r="I1363">
        <v>0.17</v>
      </c>
      <c r="J1363">
        <v>2806.44</v>
      </c>
      <c r="K1363" t="s">
        <v>46</v>
      </c>
      <c r="L1363" t="s">
        <v>34</v>
      </c>
      <c r="M1363" t="s">
        <v>21</v>
      </c>
      <c r="N1363" t="s">
        <v>22</v>
      </c>
    </row>
    <row r="1364" spans="1:14" x14ac:dyDescent="0.3">
      <c r="A1364" t="s">
        <v>1425</v>
      </c>
      <c r="B1364" s="1">
        <v>45704</v>
      </c>
      <c r="C1364" t="s">
        <v>52</v>
      </c>
      <c r="D1364" t="s">
        <v>39</v>
      </c>
      <c r="E1364" t="s">
        <v>27</v>
      </c>
      <c r="F1364" t="s">
        <v>79</v>
      </c>
      <c r="G1364">
        <v>4</v>
      </c>
      <c r="H1364">
        <v>135.05000000000001</v>
      </c>
      <c r="I1364">
        <v>0.18</v>
      </c>
      <c r="J1364">
        <v>442.96</v>
      </c>
      <c r="K1364" t="s">
        <v>19</v>
      </c>
      <c r="L1364" t="s">
        <v>29</v>
      </c>
      <c r="M1364" t="s">
        <v>21</v>
      </c>
      <c r="N1364" t="s">
        <v>22</v>
      </c>
    </row>
    <row r="1365" spans="1:14" x14ac:dyDescent="0.3">
      <c r="A1365" t="s">
        <v>1426</v>
      </c>
      <c r="B1365" s="1">
        <v>45790</v>
      </c>
      <c r="C1365" t="s">
        <v>52</v>
      </c>
      <c r="D1365" t="s">
        <v>39</v>
      </c>
      <c r="E1365" t="s">
        <v>61</v>
      </c>
      <c r="F1365" t="s">
        <v>92</v>
      </c>
      <c r="G1365">
        <v>1</v>
      </c>
      <c r="H1365">
        <v>4584.4799999999996</v>
      </c>
      <c r="I1365">
        <v>0.19</v>
      </c>
      <c r="J1365">
        <v>3713.43</v>
      </c>
      <c r="K1365" t="s">
        <v>19</v>
      </c>
      <c r="L1365" t="s">
        <v>29</v>
      </c>
      <c r="M1365" t="s">
        <v>30</v>
      </c>
      <c r="N1365" t="s">
        <v>22</v>
      </c>
    </row>
    <row r="1366" spans="1:14" x14ac:dyDescent="0.3">
      <c r="A1366" t="s">
        <v>1427</v>
      </c>
      <c r="B1366" s="1">
        <v>45822</v>
      </c>
      <c r="C1366" t="s">
        <v>52</v>
      </c>
      <c r="D1366" t="s">
        <v>25</v>
      </c>
      <c r="E1366" t="s">
        <v>27</v>
      </c>
      <c r="F1366" t="s">
        <v>87</v>
      </c>
      <c r="G1366">
        <v>3</v>
      </c>
      <c r="H1366">
        <v>1738.98</v>
      </c>
      <c r="I1366">
        <v>0.08</v>
      </c>
      <c r="J1366">
        <v>4799.58</v>
      </c>
      <c r="K1366" t="s">
        <v>19</v>
      </c>
      <c r="L1366" t="s">
        <v>29</v>
      </c>
      <c r="M1366" t="s">
        <v>30</v>
      </c>
      <c r="N1366" t="s">
        <v>22</v>
      </c>
    </row>
    <row r="1367" spans="1:14" x14ac:dyDescent="0.3">
      <c r="A1367" t="s">
        <v>1428</v>
      </c>
      <c r="B1367" s="1">
        <v>45827</v>
      </c>
      <c r="C1367" t="s">
        <v>24</v>
      </c>
      <c r="D1367" t="s">
        <v>16</v>
      </c>
      <c r="E1367" t="s">
        <v>99</v>
      </c>
      <c r="F1367" t="s">
        <v>115</v>
      </c>
      <c r="G1367">
        <v>5</v>
      </c>
      <c r="H1367">
        <v>3873.08</v>
      </c>
      <c r="I1367">
        <v>0.05</v>
      </c>
      <c r="J1367">
        <v>18397.13</v>
      </c>
      <c r="K1367" t="s">
        <v>41</v>
      </c>
      <c r="L1367" t="s">
        <v>29</v>
      </c>
      <c r="M1367" t="s">
        <v>54</v>
      </c>
      <c r="N1367" t="s">
        <v>22</v>
      </c>
    </row>
    <row r="1368" spans="1:14" x14ac:dyDescent="0.3">
      <c r="A1368" t="s">
        <v>1429</v>
      </c>
      <c r="B1368" s="1">
        <v>45771</v>
      </c>
      <c r="C1368" t="s">
        <v>52</v>
      </c>
      <c r="D1368" t="s">
        <v>39</v>
      </c>
      <c r="E1368" t="s">
        <v>17</v>
      </c>
      <c r="F1368" t="s">
        <v>44</v>
      </c>
      <c r="G1368">
        <v>3</v>
      </c>
      <c r="H1368">
        <v>4181.3599999999997</v>
      </c>
      <c r="I1368">
        <v>0.17</v>
      </c>
      <c r="J1368">
        <v>10411.59</v>
      </c>
      <c r="K1368" t="s">
        <v>33</v>
      </c>
      <c r="L1368" t="s">
        <v>29</v>
      </c>
      <c r="M1368" t="s">
        <v>21</v>
      </c>
      <c r="N1368" t="s">
        <v>22</v>
      </c>
    </row>
    <row r="1369" spans="1:14" x14ac:dyDescent="0.3">
      <c r="A1369" t="s">
        <v>1430</v>
      </c>
      <c r="B1369" s="1">
        <v>45774</v>
      </c>
      <c r="C1369" t="s">
        <v>36</v>
      </c>
      <c r="D1369" t="s">
        <v>39</v>
      </c>
      <c r="E1369" t="s">
        <v>17</v>
      </c>
      <c r="F1369" t="s">
        <v>44</v>
      </c>
      <c r="G1369">
        <v>5</v>
      </c>
      <c r="H1369">
        <v>216.68</v>
      </c>
      <c r="I1369">
        <v>0</v>
      </c>
      <c r="J1369">
        <v>1083.4000000000001</v>
      </c>
      <c r="K1369" t="s">
        <v>46</v>
      </c>
      <c r="L1369" t="s">
        <v>20</v>
      </c>
      <c r="M1369" t="s">
        <v>54</v>
      </c>
      <c r="N1369" t="s">
        <v>22</v>
      </c>
    </row>
    <row r="1370" spans="1:14" x14ac:dyDescent="0.3">
      <c r="A1370" t="s">
        <v>1431</v>
      </c>
      <c r="B1370" s="1">
        <v>45664</v>
      </c>
      <c r="C1370" t="s">
        <v>48</v>
      </c>
      <c r="D1370" t="s">
        <v>39</v>
      </c>
      <c r="E1370" t="s">
        <v>49</v>
      </c>
      <c r="F1370" t="s">
        <v>53</v>
      </c>
      <c r="G1370">
        <v>2</v>
      </c>
      <c r="H1370">
        <v>4612.01</v>
      </c>
      <c r="I1370">
        <v>0.12</v>
      </c>
      <c r="J1370">
        <v>8117.14</v>
      </c>
      <c r="K1370" t="s">
        <v>41</v>
      </c>
      <c r="L1370" t="s">
        <v>29</v>
      </c>
      <c r="M1370" t="s">
        <v>21</v>
      </c>
      <c r="N1370" t="s">
        <v>88</v>
      </c>
    </row>
    <row r="1371" spans="1:14" x14ac:dyDescent="0.3">
      <c r="A1371" t="s">
        <v>1432</v>
      </c>
      <c r="B1371" s="1">
        <v>45808</v>
      </c>
      <c r="C1371" t="s">
        <v>36</v>
      </c>
      <c r="D1371" t="s">
        <v>16</v>
      </c>
      <c r="E1371" t="s">
        <v>61</v>
      </c>
      <c r="F1371" t="s">
        <v>62</v>
      </c>
      <c r="G1371">
        <v>1</v>
      </c>
      <c r="H1371">
        <v>3134.46</v>
      </c>
      <c r="I1371">
        <v>0.21</v>
      </c>
      <c r="J1371">
        <v>2476.2199999999998</v>
      </c>
      <c r="K1371" t="s">
        <v>58</v>
      </c>
      <c r="L1371" t="s">
        <v>20</v>
      </c>
      <c r="M1371" t="s">
        <v>30</v>
      </c>
      <c r="N1371" t="s">
        <v>22</v>
      </c>
    </row>
    <row r="1372" spans="1:14" x14ac:dyDescent="0.3">
      <c r="A1372" t="s">
        <v>1433</v>
      </c>
      <c r="B1372" s="1">
        <v>45790</v>
      </c>
      <c r="C1372" t="s">
        <v>24</v>
      </c>
      <c r="D1372" t="s">
        <v>39</v>
      </c>
      <c r="E1372" t="s">
        <v>49</v>
      </c>
      <c r="F1372" t="s">
        <v>73</v>
      </c>
      <c r="G1372">
        <v>2</v>
      </c>
      <c r="H1372">
        <v>3264.28</v>
      </c>
      <c r="I1372">
        <v>0.24</v>
      </c>
      <c r="J1372">
        <v>4961.71</v>
      </c>
      <c r="K1372" t="s">
        <v>58</v>
      </c>
      <c r="L1372" t="s">
        <v>34</v>
      </c>
      <c r="M1372" t="s">
        <v>21</v>
      </c>
      <c r="N1372" t="s">
        <v>22</v>
      </c>
    </row>
    <row r="1373" spans="1:14" x14ac:dyDescent="0.3">
      <c r="A1373" t="s">
        <v>1434</v>
      </c>
      <c r="B1373" s="1">
        <v>45819</v>
      </c>
      <c r="C1373" t="s">
        <v>15</v>
      </c>
      <c r="D1373" t="s">
        <v>16</v>
      </c>
      <c r="E1373" t="s">
        <v>49</v>
      </c>
      <c r="F1373" t="s">
        <v>56</v>
      </c>
      <c r="G1373">
        <v>3</v>
      </c>
      <c r="H1373">
        <v>795.01</v>
      </c>
      <c r="I1373">
        <v>0.11</v>
      </c>
      <c r="J1373">
        <v>2122.6799999999998</v>
      </c>
      <c r="K1373" t="s">
        <v>58</v>
      </c>
      <c r="L1373" t="s">
        <v>20</v>
      </c>
      <c r="M1373" t="s">
        <v>54</v>
      </c>
      <c r="N1373" t="s">
        <v>37</v>
      </c>
    </row>
    <row r="1374" spans="1:14" x14ac:dyDescent="0.3">
      <c r="A1374" t="s">
        <v>1435</v>
      </c>
      <c r="B1374" s="1">
        <v>45712</v>
      </c>
      <c r="C1374" t="s">
        <v>52</v>
      </c>
      <c r="D1374" t="s">
        <v>39</v>
      </c>
      <c r="E1374" t="s">
        <v>17</v>
      </c>
      <c r="F1374" t="s">
        <v>40</v>
      </c>
      <c r="G1374">
        <v>1</v>
      </c>
      <c r="H1374">
        <v>3651.56</v>
      </c>
      <c r="I1374">
        <v>0.11</v>
      </c>
      <c r="J1374">
        <v>3249.89</v>
      </c>
      <c r="K1374" t="s">
        <v>58</v>
      </c>
      <c r="L1374" t="s">
        <v>20</v>
      </c>
      <c r="M1374" t="s">
        <v>21</v>
      </c>
      <c r="N1374" t="s">
        <v>22</v>
      </c>
    </row>
    <row r="1375" spans="1:14" x14ac:dyDescent="0.3">
      <c r="A1375" t="s">
        <v>1436</v>
      </c>
      <c r="B1375" s="1">
        <v>45771</v>
      </c>
      <c r="C1375" t="s">
        <v>24</v>
      </c>
      <c r="D1375" t="s">
        <v>25</v>
      </c>
      <c r="E1375" t="s">
        <v>27</v>
      </c>
      <c r="F1375" t="s">
        <v>87</v>
      </c>
      <c r="G1375">
        <v>1</v>
      </c>
      <c r="H1375">
        <v>2047.94</v>
      </c>
      <c r="I1375">
        <v>0.09</v>
      </c>
      <c r="J1375">
        <v>1863.63</v>
      </c>
      <c r="K1375" t="s">
        <v>19</v>
      </c>
      <c r="L1375" t="s">
        <v>20</v>
      </c>
      <c r="M1375" t="s">
        <v>54</v>
      </c>
      <c r="N1375" t="s">
        <v>22</v>
      </c>
    </row>
    <row r="1376" spans="1:14" x14ac:dyDescent="0.3">
      <c r="A1376" t="s">
        <v>1437</v>
      </c>
      <c r="B1376" s="1">
        <v>45667</v>
      </c>
      <c r="C1376" t="s">
        <v>52</v>
      </c>
      <c r="D1376" t="s">
        <v>39</v>
      </c>
      <c r="E1376" t="s">
        <v>49</v>
      </c>
      <c r="F1376" t="s">
        <v>50</v>
      </c>
      <c r="G1376">
        <v>1</v>
      </c>
      <c r="H1376">
        <v>3317.39</v>
      </c>
      <c r="I1376">
        <v>0.24</v>
      </c>
      <c r="J1376">
        <v>2521.2199999999998</v>
      </c>
      <c r="K1376" t="s">
        <v>58</v>
      </c>
      <c r="L1376" t="s">
        <v>29</v>
      </c>
      <c r="M1376" t="s">
        <v>30</v>
      </c>
      <c r="N1376" t="s">
        <v>22</v>
      </c>
    </row>
    <row r="1377" spans="1:14" x14ac:dyDescent="0.3">
      <c r="A1377" t="s">
        <v>1438</v>
      </c>
      <c r="B1377" s="1">
        <v>45808</v>
      </c>
      <c r="C1377" t="s">
        <v>24</v>
      </c>
      <c r="D1377" t="s">
        <v>16</v>
      </c>
      <c r="E1377" t="s">
        <v>61</v>
      </c>
      <c r="F1377" t="s">
        <v>66</v>
      </c>
      <c r="G1377">
        <v>2</v>
      </c>
      <c r="H1377">
        <v>3479.41</v>
      </c>
      <c r="I1377">
        <v>0.2</v>
      </c>
      <c r="J1377">
        <v>5567.06</v>
      </c>
      <c r="K1377" t="s">
        <v>46</v>
      </c>
      <c r="L1377" t="s">
        <v>20</v>
      </c>
      <c r="M1377" t="s">
        <v>21</v>
      </c>
      <c r="N1377" t="s">
        <v>37</v>
      </c>
    </row>
    <row r="1378" spans="1:14" x14ac:dyDescent="0.3">
      <c r="A1378" t="s">
        <v>1439</v>
      </c>
      <c r="B1378" s="1">
        <v>45806</v>
      </c>
      <c r="C1378" t="s">
        <v>52</v>
      </c>
      <c r="D1378" t="s">
        <v>43</v>
      </c>
      <c r="E1378" t="s">
        <v>49</v>
      </c>
      <c r="F1378" t="s">
        <v>50</v>
      </c>
      <c r="G1378">
        <v>3</v>
      </c>
      <c r="H1378">
        <v>533.24</v>
      </c>
      <c r="I1378">
        <v>0.09</v>
      </c>
      <c r="J1378">
        <v>1455.75</v>
      </c>
      <c r="K1378" t="s">
        <v>58</v>
      </c>
      <c r="L1378" t="s">
        <v>34</v>
      </c>
      <c r="M1378" t="s">
        <v>30</v>
      </c>
      <c r="N1378" t="s">
        <v>22</v>
      </c>
    </row>
    <row r="1379" spans="1:14" x14ac:dyDescent="0.3">
      <c r="A1379" t="s">
        <v>1440</v>
      </c>
      <c r="B1379" s="1">
        <v>45694</v>
      </c>
      <c r="C1379" t="s">
        <v>15</v>
      </c>
      <c r="D1379" t="s">
        <v>39</v>
      </c>
      <c r="E1379" t="s">
        <v>99</v>
      </c>
      <c r="F1379" t="s">
        <v>100</v>
      </c>
      <c r="G1379">
        <v>2</v>
      </c>
      <c r="H1379">
        <v>2943.04</v>
      </c>
      <c r="I1379">
        <v>0.09</v>
      </c>
      <c r="J1379">
        <v>5356.33</v>
      </c>
      <c r="K1379" t="s">
        <v>46</v>
      </c>
      <c r="L1379" t="s">
        <v>34</v>
      </c>
      <c r="M1379" t="s">
        <v>30</v>
      </c>
      <c r="N1379" t="s">
        <v>22</v>
      </c>
    </row>
    <row r="1380" spans="1:14" x14ac:dyDescent="0.3">
      <c r="A1380" t="s">
        <v>1441</v>
      </c>
      <c r="B1380" s="1">
        <v>45751</v>
      </c>
      <c r="C1380" t="s">
        <v>15</v>
      </c>
      <c r="D1380" t="s">
        <v>25</v>
      </c>
      <c r="E1380" t="s">
        <v>49</v>
      </c>
      <c r="F1380" t="s">
        <v>50</v>
      </c>
      <c r="G1380">
        <v>5</v>
      </c>
      <c r="H1380">
        <v>1340.68</v>
      </c>
      <c r="I1380">
        <v>0.03</v>
      </c>
      <c r="J1380">
        <v>6502.3</v>
      </c>
      <c r="K1380" t="s">
        <v>41</v>
      </c>
      <c r="L1380" t="s">
        <v>20</v>
      </c>
      <c r="M1380" t="s">
        <v>30</v>
      </c>
      <c r="N1380" t="s">
        <v>22</v>
      </c>
    </row>
    <row r="1381" spans="1:14" x14ac:dyDescent="0.3">
      <c r="A1381" t="s">
        <v>1442</v>
      </c>
      <c r="B1381" s="1">
        <v>45760</v>
      </c>
      <c r="C1381" t="s">
        <v>24</v>
      </c>
      <c r="D1381" t="s">
        <v>43</v>
      </c>
      <c r="E1381" t="s">
        <v>27</v>
      </c>
      <c r="F1381" t="s">
        <v>68</v>
      </c>
      <c r="G1381">
        <v>2</v>
      </c>
      <c r="H1381">
        <v>3034.08</v>
      </c>
      <c r="I1381">
        <v>0.14000000000000001</v>
      </c>
      <c r="J1381">
        <v>5218.62</v>
      </c>
      <c r="K1381" t="s">
        <v>46</v>
      </c>
      <c r="L1381" t="s">
        <v>29</v>
      </c>
      <c r="M1381" t="s">
        <v>21</v>
      </c>
      <c r="N1381" t="s">
        <v>37</v>
      </c>
    </row>
    <row r="1382" spans="1:14" x14ac:dyDescent="0.3">
      <c r="A1382" t="s">
        <v>1443</v>
      </c>
      <c r="B1382" s="1">
        <v>45786</v>
      </c>
      <c r="C1382" t="s">
        <v>52</v>
      </c>
      <c r="D1382" t="s">
        <v>16</v>
      </c>
      <c r="E1382" t="s">
        <v>27</v>
      </c>
      <c r="F1382" t="s">
        <v>68</v>
      </c>
      <c r="G1382">
        <v>4</v>
      </c>
      <c r="H1382">
        <v>4415.54</v>
      </c>
      <c r="I1382">
        <v>0.25</v>
      </c>
      <c r="J1382">
        <v>13246.62</v>
      </c>
      <c r="K1382" t="s">
        <v>41</v>
      </c>
      <c r="L1382" t="s">
        <v>20</v>
      </c>
      <c r="M1382" t="s">
        <v>21</v>
      </c>
      <c r="N1382" t="s">
        <v>22</v>
      </c>
    </row>
    <row r="1383" spans="1:14" x14ac:dyDescent="0.3">
      <c r="A1383" t="s">
        <v>1444</v>
      </c>
      <c r="B1383" s="1">
        <v>45745</v>
      </c>
      <c r="C1383" t="s">
        <v>15</v>
      </c>
      <c r="D1383" t="s">
        <v>25</v>
      </c>
      <c r="E1383" t="s">
        <v>27</v>
      </c>
      <c r="F1383" t="s">
        <v>79</v>
      </c>
      <c r="G1383">
        <v>2</v>
      </c>
      <c r="H1383">
        <v>3724.59</v>
      </c>
      <c r="I1383">
        <v>0.17</v>
      </c>
      <c r="J1383">
        <v>6182.82</v>
      </c>
      <c r="K1383" t="s">
        <v>33</v>
      </c>
      <c r="L1383" t="s">
        <v>29</v>
      </c>
      <c r="M1383" t="s">
        <v>30</v>
      </c>
      <c r="N1383" t="s">
        <v>22</v>
      </c>
    </row>
    <row r="1384" spans="1:14" x14ac:dyDescent="0.3">
      <c r="A1384" t="s">
        <v>1445</v>
      </c>
      <c r="B1384" s="1">
        <v>45837</v>
      </c>
      <c r="C1384" t="s">
        <v>36</v>
      </c>
      <c r="D1384" t="s">
        <v>43</v>
      </c>
      <c r="E1384" t="s">
        <v>99</v>
      </c>
      <c r="F1384" t="s">
        <v>115</v>
      </c>
      <c r="G1384">
        <v>5</v>
      </c>
      <c r="H1384">
        <v>1820.56</v>
      </c>
      <c r="I1384">
        <v>0.1</v>
      </c>
      <c r="J1384">
        <v>8192.52</v>
      </c>
      <c r="K1384" t="s">
        <v>41</v>
      </c>
      <c r="L1384" t="s">
        <v>20</v>
      </c>
      <c r="M1384" t="s">
        <v>54</v>
      </c>
      <c r="N1384" t="s">
        <v>22</v>
      </c>
    </row>
    <row r="1385" spans="1:14" x14ac:dyDescent="0.3">
      <c r="A1385" t="s">
        <v>1446</v>
      </c>
      <c r="B1385" s="1">
        <v>45714</v>
      </c>
      <c r="C1385" t="s">
        <v>52</v>
      </c>
      <c r="D1385" t="s">
        <v>39</v>
      </c>
      <c r="E1385" t="s">
        <v>49</v>
      </c>
      <c r="F1385" t="s">
        <v>73</v>
      </c>
      <c r="G1385">
        <v>1</v>
      </c>
      <c r="H1385">
        <v>2526.4899999999998</v>
      </c>
      <c r="I1385">
        <v>0.23</v>
      </c>
      <c r="J1385">
        <v>1945.4</v>
      </c>
      <c r="K1385" t="s">
        <v>58</v>
      </c>
      <c r="L1385" t="s">
        <v>29</v>
      </c>
      <c r="M1385" t="s">
        <v>21</v>
      </c>
      <c r="N1385" t="s">
        <v>22</v>
      </c>
    </row>
    <row r="1386" spans="1:14" x14ac:dyDescent="0.3">
      <c r="A1386" t="s">
        <v>1447</v>
      </c>
      <c r="B1386" s="1">
        <v>45695</v>
      </c>
      <c r="C1386" t="s">
        <v>52</v>
      </c>
      <c r="D1386" t="s">
        <v>16</v>
      </c>
      <c r="E1386" t="s">
        <v>49</v>
      </c>
      <c r="F1386" t="s">
        <v>53</v>
      </c>
      <c r="G1386">
        <v>1</v>
      </c>
      <c r="H1386">
        <v>4762.6000000000004</v>
      </c>
      <c r="I1386">
        <v>0.05</v>
      </c>
      <c r="J1386">
        <v>4524.47</v>
      </c>
      <c r="K1386" t="s">
        <v>33</v>
      </c>
      <c r="L1386" t="s">
        <v>29</v>
      </c>
      <c r="M1386" t="s">
        <v>54</v>
      </c>
      <c r="N1386" t="s">
        <v>22</v>
      </c>
    </row>
    <row r="1387" spans="1:14" x14ac:dyDescent="0.3">
      <c r="A1387" t="s">
        <v>1448</v>
      </c>
      <c r="B1387" s="1">
        <v>45773</v>
      </c>
      <c r="C1387" t="s">
        <v>24</v>
      </c>
      <c r="D1387" t="s">
        <v>25</v>
      </c>
      <c r="E1387" t="s">
        <v>61</v>
      </c>
      <c r="F1387" t="s">
        <v>75</v>
      </c>
      <c r="G1387">
        <v>4</v>
      </c>
      <c r="H1387">
        <v>4759.96</v>
      </c>
      <c r="I1387">
        <v>0.11</v>
      </c>
      <c r="J1387">
        <v>16945.46</v>
      </c>
      <c r="K1387" t="s">
        <v>58</v>
      </c>
      <c r="L1387" t="s">
        <v>34</v>
      </c>
      <c r="M1387" t="s">
        <v>30</v>
      </c>
      <c r="N1387" t="s">
        <v>22</v>
      </c>
    </row>
    <row r="1388" spans="1:14" x14ac:dyDescent="0.3">
      <c r="A1388" t="s">
        <v>1449</v>
      </c>
      <c r="B1388" s="1">
        <v>45744</v>
      </c>
      <c r="C1388" t="s">
        <v>15</v>
      </c>
      <c r="D1388" t="s">
        <v>16</v>
      </c>
      <c r="E1388" t="s">
        <v>27</v>
      </c>
      <c r="F1388" t="s">
        <v>28</v>
      </c>
      <c r="G1388">
        <v>2</v>
      </c>
      <c r="H1388">
        <v>1588.55</v>
      </c>
      <c r="I1388">
        <v>0.15</v>
      </c>
      <c r="J1388">
        <v>2700.53</v>
      </c>
      <c r="K1388" t="s">
        <v>41</v>
      </c>
      <c r="L1388" t="s">
        <v>34</v>
      </c>
      <c r="M1388" t="s">
        <v>30</v>
      </c>
      <c r="N1388" t="s">
        <v>22</v>
      </c>
    </row>
    <row r="1389" spans="1:14" x14ac:dyDescent="0.3">
      <c r="A1389" t="s">
        <v>1450</v>
      </c>
      <c r="B1389" s="1">
        <v>45783</v>
      </c>
      <c r="C1389" t="s">
        <v>15</v>
      </c>
      <c r="D1389" t="s">
        <v>16</v>
      </c>
      <c r="E1389" t="s">
        <v>17</v>
      </c>
      <c r="F1389" t="s">
        <v>40</v>
      </c>
      <c r="G1389">
        <v>3</v>
      </c>
      <c r="H1389">
        <v>3533.09</v>
      </c>
      <c r="I1389">
        <v>0.22</v>
      </c>
      <c r="J1389">
        <v>8267.43</v>
      </c>
      <c r="K1389" t="s">
        <v>46</v>
      </c>
      <c r="L1389" t="s">
        <v>20</v>
      </c>
      <c r="M1389" t="s">
        <v>30</v>
      </c>
      <c r="N1389" t="s">
        <v>22</v>
      </c>
    </row>
    <row r="1390" spans="1:14" x14ac:dyDescent="0.3">
      <c r="A1390" t="s">
        <v>1451</v>
      </c>
      <c r="B1390" s="1">
        <v>45818</v>
      </c>
      <c r="C1390" t="s">
        <v>48</v>
      </c>
      <c r="D1390" t="s">
        <v>25</v>
      </c>
      <c r="E1390" t="s">
        <v>27</v>
      </c>
      <c r="F1390" t="s">
        <v>28</v>
      </c>
      <c r="G1390">
        <v>1</v>
      </c>
      <c r="H1390">
        <v>4817.5600000000004</v>
      </c>
      <c r="I1390">
        <v>0.19</v>
      </c>
      <c r="J1390">
        <v>3902.22</v>
      </c>
      <c r="K1390" t="s">
        <v>58</v>
      </c>
      <c r="L1390" t="s">
        <v>34</v>
      </c>
      <c r="M1390" t="s">
        <v>54</v>
      </c>
      <c r="N1390" t="s">
        <v>22</v>
      </c>
    </row>
    <row r="1391" spans="1:14" x14ac:dyDescent="0.3">
      <c r="A1391" t="s">
        <v>1452</v>
      </c>
      <c r="B1391" s="1">
        <v>45755</v>
      </c>
      <c r="C1391" t="s">
        <v>52</v>
      </c>
      <c r="D1391" t="s">
        <v>16</v>
      </c>
      <c r="E1391" t="s">
        <v>17</v>
      </c>
      <c r="F1391" t="s">
        <v>18</v>
      </c>
      <c r="G1391">
        <v>4</v>
      </c>
      <c r="H1391">
        <v>3770.36</v>
      </c>
      <c r="I1391">
        <v>0.06</v>
      </c>
      <c r="J1391">
        <v>14176.55</v>
      </c>
      <c r="K1391" t="s">
        <v>58</v>
      </c>
      <c r="L1391" t="s">
        <v>34</v>
      </c>
      <c r="M1391" t="s">
        <v>30</v>
      </c>
      <c r="N1391" t="s">
        <v>22</v>
      </c>
    </row>
    <row r="1392" spans="1:14" x14ac:dyDescent="0.3">
      <c r="A1392" t="s">
        <v>1453</v>
      </c>
      <c r="B1392" s="1">
        <v>45677</v>
      </c>
      <c r="C1392" t="s">
        <v>52</v>
      </c>
      <c r="D1392" t="s">
        <v>16</v>
      </c>
      <c r="E1392" t="s">
        <v>27</v>
      </c>
      <c r="F1392" t="s">
        <v>87</v>
      </c>
      <c r="G1392">
        <v>1</v>
      </c>
      <c r="H1392">
        <v>150.44</v>
      </c>
      <c r="I1392">
        <v>0.03</v>
      </c>
      <c r="J1392">
        <v>145.93</v>
      </c>
      <c r="K1392" t="s">
        <v>33</v>
      </c>
      <c r="L1392" t="s">
        <v>34</v>
      </c>
      <c r="M1392" t="s">
        <v>21</v>
      </c>
      <c r="N1392" t="s">
        <v>37</v>
      </c>
    </row>
    <row r="1393" spans="1:14" x14ac:dyDescent="0.3">
      <c r="A1393" t="s">
        <v>1454</v>
      </c>
      <c r="B1393" s="1">
        <v>45751</v>
      </c>
      <c r="C1393" t="s">
        <v>36</v>
      </c>
      <c r="D1393" t="s">
        <v>16</v>
      </c>
      <c r="E1393" t="s">
        <v>49</v>
      </c>
      <c r="F1393" t="s">
        <v>56</v>
      </c>
      <c r="G1393">
        <v>3</v>
      </c>
      <c r="H1393">
        <v>3515.94</v>
      </c>
      <c r="I1393">
        <v>0.1</v>
      </c>
      <c r="J1393">
        <v>9493.0400000000009</v>
      </c>
      <c r="K1393" t="s">
        <v>19</v>
      </c>
      <c r="L1393" t="s">
        <v>34</v>
      </c>
      <c r="M1393" t="s">
        <v>21</v>
      </c>
      <c r="N1393" t="s">
        <v>22</v>
      </c>
    </row>
    <row r="1394" spans="1:14" x14ac:dyDescent="0.3">
      <c r="A1394" t="s">
        <v>1455</v>
      </c>
      <c r="B1394" s="1">
        <v>45727</v>
      </c>
      <c r="C1394" t="s">
        <v>52</v>
      </c>
      <c r="D1394" t="s">
        <v>16</v>
      </c>
      <c r="E1394" t="s">
        <v>17</v>
      </c>
      <c r="F1394" t="s">
        <v>40</v>
      </c>
      <c r="G1394">
        <v>2</v>
      </c>
      <c r="H1394">
        <v>295.10000000000002</v>
      </c>
      <c r="I1394">
        <v>0.15</v>
      </c>
      <c r="J1394">
        <v>501.67</v>
      </c>
      <c r="K1394" t="s">
        <v>41</v>
      </c>
      <c r="L1394" t="s">
        <v>34</v>
      </c>
      <c r="M1394" t="s">
        <v>30</v>
      </c>
      <c r="N1394" t="s">
        <v>22</v>
      </c>
    </row>
    <row r="1395" spans="1:14" x14ac:dyDescent="0.3">
      <c r="A1395" t="s">
        <v>1456</v>
      </c>
      <c r="B1395" s="1">
        <v>45739</v>
      </c>
      <c r="C1395" t="s">
        <v>48</v>
      </c>
      <c r="D1395" t="s">
        <v>43</v>
      </c>
      <c r="E1395" t="s">
        <v>17</v>
      </c>
      <c r="F1395" t="s">
        <v>44</v>
      </c>
      <c r="G1395">
        <v>1</v>
      </c>
      <c r="H1395">
        <v>1997.79</v>
      </c>
      <c r="I1395">
        <v>0.19</v>
      </c>
      <c r="J1395">
        <v>1618.21</v>
      </c>
      <c r="K1395" t="s">
        <v>41</v>
      </c>
      <c r="L1395" t="s">
        <v>20</v>
      </c>
      <c r="M1395" t="s">
        <v>21</v>
      </c>
      <c r="N1395" t="s">
        <v>88</v>
      </c>
    </row>
    <row r="1396" spans="1:14" x14ac:dyDescent="0.3">
      <c r="A1396" t="s">
        <v>1457</v>
      </c>
      <c r="B1396" s="1">
        <v>45724</v>
      </c>
      <c r="C1396" t="s">
        <v>52</v>
      </c>
      <c r="D1396" t="s">
        <v>16</v>
      </c>
      <c r="E1396" t="s">
        <v>17</v>
      </c>
      <c r="F1396" t="s">
        <v>32</v>
      </c>
      <c r="G1396">
        <v>5</v>
      </c>
      <c r="H1396">
        <v>4243.1400000000003</v>
      </c>
      <c r="I1396">
        <v>0.06</v>
      </c>
      <c r="J1396">
        <v>19942.759999999998</v>
      </c>
      <c r="K1396" t="s">
        <v>19</v>
      </c>
      <c r="L1396" t="s">
        <v>34</v>
      </c>
      <c r="M1396" t="s">
        <v>30</v>
      </c>
      <c r="N1396" t="s">
        <v>22</v>
      </c>
    </row>
    <row r="1397" spans="1:14" x14ac:dyDescent="0.3">
      <c r="A1397" t="s">
        <v>1458</v>
      </c>
      <c r="B1397" s="1">
        <v>45722</v>
      </c>
      <c r="C1397" t="s">
        <v>36</v>
      </c>
      <c r="D1397" t="s">
        <v>16</v>
      </c>
      <c r="E1397" t="s">
        <v>61</v>
      </c>
      <c r="F1397" t="s">
        <v>75</v>
      </c>
      <c r="G1397">
        <v>4</v>
      </c>
      <c r="H1397">
        <v>2531.11</v>
      </c>
      <c r="I1397">
        <v>0.2</v>
      </c>
      <c r="J1397">
        <v>8099.55</v>
      </c>
      <c r="K1397" t="s">
        <v>33</v>
      </c>
      <c r="L1397" t="s">
        <v>20</v>
      </c>
      <c r="M1397" t="s">
        <v>30</v>
      </c>
      <c r="N1397" t="s">
        <v>22</v>
      </c>
    </row>
    <row r="1398" spans="1:14" x14ac:dyDescent="0.3">
      <c r="A1398" t="s">
        <v>1459</v>
      </c>
      <c r="B1398" s="1">
        <v>45790</v>
      </c>
      <c r="C1398" t="s">
        <v>48</v>
      </c>
      <c r="D1398" t="s">
        <v>16</v>
      </c>
      <c r="E1398" t="s">
        <v>99</v>
      </c>
      <c r="F1398" t="s">
        <v>120</v>
      </c>
      <c r="G1398">
        <v>3</v>
      </c>
      <c r="H1398">
        <v>2237.83</v>
      </c>
      <c r="I1398">
        <v>0.18</v>
      </c>
      <c r="J1398">
        <v>5505.06</v>
      </c>
      <c r="K1398" t="s">
        <v>41</v>
      </c>
      <c r="L1398" t="s">
        <v>20</v>
      </c>
      <c r="M1398" t="s">
        <v>54</v>
      </c>
      <c r="N1398" t="s">
        <v>22</v>
      </c>
    </row>
    <row r="1399" spans="1:14" x14ac:dyDescent="0.3">
      <c r="A1399" t="s">
        <v>1460</v>
      </c>
      <c r="B1399" s="1">
        <v>45680</v>
      </c>
      <c r="C1399" t="s">
        <v>48</v>
      </c>
      <c r="D1399" t="s">
        <v>43</v>
      </c>
      <c r="E1399" t="s">
        <v>99</v>
      </c>
      <c r="F1399" t="s">
        <v>115</v>
      </c>
      <c r="G1399">
        <v>2</v>
      </c>
      <c r="H1399">
        <v>692.95</v>
      </c>
      <c r="I1399">
        <v>0.04</v>
      </c>
      <c r="J1399">
        <v>1330.46</v>
      </c>
      <c r="K1399" t="s">
        <v>33</v>
      </c>
      <c r="L1399" t="s">
        <v>20</v>
      </c>
      <c r="M1399" t="s">
        <v>21</v>
      </c>
      <c r="N1399" t="s">
        <v>22</v>
      </c>
    </row>
    <row r="1400" spans="1:14" x14ac:dyDescent="0.3">
      <c r="A1400" t="s">
        <v>1461</v>
      </c>
      <c r="B1400" s="1">
        <v>45826</v>
      </c>
      <c r="C1400" t="s">
        <v>36</v>
      </c>
      <c r="D1400" t="s">
        <v>25</v>
      </c>
      <c r="E1400" t="s">
        <v>49</v>
      </c>
      <c r="F1400" t="s">
        <v>53</v>
      </c>
      <c r="G1400">
        <v>1</v>
      </c>
      <c r="H1400">
        <v>4857.24</v>
      </c>
      <c r="I1400">
        <v>0.16</v>
      </c>
      <c r="J1400">
        <v>4080.08</v>
      </c>
      <c r="K1400" t="s">
        <v>46</v>
      </c>
      <c r="L1400" t="s">
        <v>34</v>
      </c>
      <c r="M1400" t="s">
        <v>21</v>
      </c>
      <c r="N1400" t="s">
        <v>22</v>
      </c>
    </row>
    <row r="1401" spans="1:14" x14ac:dyDescent="0.3">
      <c r="A1401" t="s">
        <v>1462</v>
      </c>
      <c r="B1401" s="1">
        <v>45691</v>
      </c>
      <c r="C1401" t="s">
        <v>52</v>
      </c>
      <c r="D1401" t="s">
        <v>16</v>
      </c>
      <c r="E1401" t="s">
        <v>17</v>
      </c>
      <c r="F1401" t="s">
        <v>44</v>
      </c>
      <c r="G1401">
        <v>2</v>
      </c>
      <c r="H1401">
        <v>3758.55</v>
      </c>
      <c r="I1401">
        <v>0.1</v>
      </c>
      <c r="J1401">
        <v>6765.39</v>
      </c>
      <c r="K1401" t="s">
        <v>19</v>
      </c>
      <c r="L1401" t="s">
        <v>34</v>
      </c>
      <c r="M1401" t="s">
        <v>30</v>
      </c>
      <c r="N1401" t="s">
        <v>22</v>
      </c>
    </row>
    <row r="1402" spans="1:14" x14ac:dyDescent="0.3">
      <c r="A1402" t="s">
        <v>1463</v>
      </c>
      <c r="B1402" s="1">
        <v>45724</v>
      </c>
      <c r="C1402" t="s">
        <v>36</v>
      </c>
      <c r="D1402" t="s">
        <v>39</v>
      </c>
      <c r="E1402" t="s">
        <v>17</v>
      </c>
      <c r="F1402" t="s">
        <v>18</v>
      </c>
      <c r="G1402">
        <v>5</v>
      </c>
      <c r="H1402">
        <v>143.4</v>
      </c>
      <c r="I1402">
        <v>0.22</v>
      </c>
      <c r="J1402">
        <v>559.26</v>
      </c>
      <c r="K1402" t="s">
        <v>46</v>
      </c>
      <c r="L1402" t="s">
        <v>29</v>
      </c>
      <c r="M1402" t="s">
        <v>54</v>
      </c>
      <c r="N1402" t="s">
        <v>37</v>
      </c>
    </row>
    <row r="1403" spans="1:14" x14ac:dyDescent="0.3">
      <c r="A1403" t="s">
        <v>1464</v>
      </c>
      <c r="B1403" s="1">
        <v>45739</v>
      </c>
      <c r="C1403" t="s">
        <v>52</v>
      </c>
      <c r="D1403" t="s">
        <v>16</v>
      </c>
      <c r="E1403" t="s">
        <v>49</v>
      </c>
      <c r="F1403" t="s">
        <v>73</v>
      </c>
      <c r="G1403">
        <v>4</v>
      </c>
      <c r="H1403">
        <v>1149.2</v>
      </c>
      <c r="I1403">
        <v>0.04</v>
      </c>
      <c r="J1403">
        <v>4412.93</v>
      </c>
      <c r="K1403" t="s">
        <v>41</v>
      </c>
      <c r="L1403" t="s">
        <v>34</v>
      </c>
      <c r="M1403" t="s">
        <v>21</v>
      </c>
      <c r="N1403" t="s">
        <v>22</v>
      </c>
    </row>
    <row r="1404" spans="1:14" x14ac:dyDescent="0.3">
      <c r="A1404" t="s">
        <v>1465</v>
      </c>
      <c r="B1404" s="1">
        <v>45794</v>
      </c>
      <c r="C1404" t="s">
        <v>24</v>
      </c>
      <c r="D1404" t="s">
        <v>39</v>
      </c>
      <c r="E1404" t="s">
        <v>61</v>
      </c>
      <c r="F1404" t="s">
        <v>75</v>
      </c>
      <c r="G1404">
        <v>1</v>
      </c>
      <c r="H1404">
        <v>2874.17</v>
      </c>
      <c r="I1404">
        <v>0.06</v>
      </c>
      <c r="J1404">
        <v>2701.72</v>
      </c>
      <c r="K1404" t="s">
        <v>41</v>
      </c>
      <c r="L1404" t="s">
        <v>29</v>
      </c>
      <c r="M1404" t="s">
        <v>30</v>
      </c>
      <c r="N1404" t="s">
        <v>37</v>
      </c>
    </row>
    <row r="1405" spans="1:14" x14ac:dyDescent="0.3">
      <c r="A1405" t="s">
        <v>1466</v>
      </c>
      <c r="B1405" s="1">
        <v>45756</v>
      </c>
      <c r="C1405" t="s">
        <v>24</v>
      </c>
      <c r="D1405" t="s">
        <v>39</v>
      </c>
      <c r="E1405" t="s">
        <v>99</v>
      </c>
      <c r="F1405" t="s">
        <v>115</v>
      </c>
      <c r="G1405">
        <v>3</v>
      </c>
      <c r="H1405">
        <v>3925.1</v>
      </c>
      <c r="I1405">
        <v>0.01</v>
      </c>
      <c r="J1405">
        <v>11657.55</v>
      </c>
      <c r="K1405" t="s">
        <v>41</v>
      </c>
      <c r="L1405" t="s">
        <v>20</v>
      </c>
      <c r="M1405" t="s">
        <v>21</v>
      </c>
      <c r="N1405" t="s">
        <v>22</v>
      </c>
    </row>
    <row r="1406" spans="1:14" x14ac:dyDescent="0.3">
      <c r="A1406" t="s">
        <v>1467</v>
      </c>
      <c r="B1406" s="1">
        <v>45715</v>
      </c>
      <c r="C1406" t="s">
        <v>52</v>
      </c>
      <c r="D1406" t="s">
        <v>43</v>
      </c>
      <c r="E1406" t="s">
        <v>27</v>
      </c>
      <c r="F1406" t="s">
        <v>68</v>
      </c>
      <c r="G1406">
        <v>5</v>
      </c>
      <c r="H1406">
        <v>4454.8500000000004</v>
      </c>
      <c r="I1406">
        <v>0.16</v>
      </c>
      <c r="J1406">
        <v>18710.37</v>
      </c>
      <c r="K1406" t="s">
        <v>41</v>
      </c>
      <c r="L1406" t="s">
        <v>29</v>
      </c>
      <c r="M1406" t="s">
        <v>21</v>
      </c>
      <c r="N1406" t="s">
        <v>22</v>
      </c>
    </row>
    <row r="1407" spans="1:14" x14ac:dyDescent="0.3">
      <c r="A1407" t="s">
        <v>1468</v>
      </c>
      <c r="B1407" s="1">
        <v>45788</v>
      </c>
      <c r="C1407" t="s">
        <v>48</v>
      </c>
      <c r="D1407" t="s">
        <v>43</v>
      </c>
      <c r="E1407" t="s">
        <v>27</v>
      </c>
      <c r="F1407" t="s">
        <v>28</v>
      </c>
      <c r="G1407">
        <v>5</v>
      </c>
      <c r="H1407">
        <v>251.48</v>
      </c>
      <c r="I1407">
        <v>0.02</v>
      </c>
      <c r="J1407">
        <v>1232.25</v>
      </c>
      <c r="K1407" t="s">
        <v>58</v>
      </c>
      <c r="L1407" t="s">
        <v>34</v>
      </c>
      <c r="M1407" t="s">
        <v>54</v>
      </c>
      <c r="N1407" t="s">
        <v>88</v>
      </c>
    </row>
    <row r="1408" spans="1:14" x14ac:dyDescent="0.3">
      <c r="A1408" t="s">
        <v>1469</v>
      </c>
      <c r="B1408" s="1">
        <v>45737</v>
      </c>
      <c r="C1408" t="s">
        <v>15</v>
      </c>
      <c r="D1408" t="s">
        <v>39</v>
      </c>
      <c r="E1408" t="s">
        <v>17</v>
      </c>
      <c r="F1408" t="s">
        <v>32</v>
      </c>
      <c r="G1408">
        <v>4</v>
      </c>
      <c r="H1408">
        <v>3285.82</v>
      </c>
      <c r="I1408">
        <v>0.25</v>
      </c>
      <c r="J1408">
        <v>9857.4599999999991</v>
      </c>
      <c r="K1408" t="s">
        <v>41</v>
      </c>
      <c r="L1408" t="s">
        <v>34</v>
      </c>
      <c r="M1408" t="s">
        <v>30</v>
      </c>
      <c r="N1408" t="s">
        <v>88</v>
      </c>
    </row>
    <row r="1409" spans="1:14" x14ac:dyDescent="0.3">
      <c r="A1409" t="s">
        <v>1470</v>
      </c>
      <c r="B1409" s="1">
        <v>45817</v>
      </c>
      <c r="C1409" t="s">
        <v>15</v>
      </c>
      <c r="D1409" t="s">
        <v>43</v>
      </c>
      <c r="E1409" t="s">
        <v>27</v>
      </c>
      <c r="F1409" t="s">
        <v>28</v>
      </c>
      <c r="G1409">
        <v>4</v>
      </c>
      <c r="H1409">
        <v>1991.86</v>
      </c>
      <c r="I1409">
        <v>0.22</v>
      </c>
      <c r="J1409">
        <v>6214.6</v>
      </c>
      <c r="K1409" t="s">
        <v>41</v>
      </c>
      <c r="L1409" t="s">
        <v>29</v>
      </c>
      <c r="M1409" t="s">
        <v>21</v>
      </c>
      <c r="N1409" t="s">
        <v>22</v>
      </c>
    </row>
    <row r="1410" spans="1:14" x14ac:dyDescent="0.3">
      <c r="A1410" t="s">
        <v>1471</v>
      </c>
      <c r="B1410" s="1">
        <v>45807</v>
      </c>
      <c r="C1410" t="s">
        <v>15</v>
      </c>
      <c r="D1410" t="s">
        <v>39</v>
      </c>
      <c r="E1410" t="s">
        <v>17</v>
      </c>
      <c r="F1410" t="s">
        <v>40</v>
      </c>
      <c r="G1410">
        <v>5</v>
      </c>
      <c r="H1410">
        <v>3193.69</v>
      </c>
      <c r="I1410">
        <v>0.06</v>
      </c>
      <c r="J1410">
        <v>15010.34</v>
      </c>
      <c r="K1410" t="s">
        <v>33</v>
      </c>
      <c r="L1410" t="s">
        <v>29</v>
      </c>
      <c r="M1410" t="s">
        <v>30</v>
      </c>
      <c r="N1410" t="s">
        <v>37</v>
      </c>
    </row>
    <row r="1411" spans="1:14" x14ac:dyDescent="0.3">
      <c r="A1411" t="s">
        <v>1472</v>
      </c>
      <c r="B1411" s="1">
        <v>45766</v>
      </c>
      <c r="C1411" t="s">
        <v>15</v>
      </c>
      <c r="D1411" t="s">
        <v>39</v>
      </c>
      <c r="E1411" t="s">
        <v>27</v>
      </c>
      <c r="F1411" t="s">
        <v>68</v>
      </c>
      <c r="G1411">
        <v>5</v>
      </c>
      <c r="H1411">
        <v>1037.21</v>
      </c>
      <c r="I1411">
        <v>0.24</v>
      </c>
      <c r="J1411">
        <v>3941.4</v>
      </c>
      <c r="K1411" t="s">
        <v>46</v>
      </c>
      <c r="L1411" t="s">
        <v>20</v>
      </c>
      <c r="M1411" t="s">
        <v>54</v>
      </c>
      <c r="N1411" t="s">
        <v>22</v>
      </c>
    </row>
    <row r="1412" spans="1:14" x14ac:dyDescent="0.3">
      <c r="A1412" t="s">
        <v>1473</v>
      </c>
      <c r="B1412" s="1">
        <v>45667</v>
      </c>
      <c r="C1412" t="s">
        <v>15</v>
      </c>
      <c r="D1412" t="s">
        <v>39</v>
      </c>
      <c r="E1412" t="s">
        <v>49</v>
      </c>
      <c r="F1412" t="s">
        <v>53</v>
      </c>
      <c r="G1412">
        <v>2</v>
      </c>
      <c r="H1412">
        <v>3864.74</v>
      </c>
      <c r="I1412">
        <v>0.22</v>
      </c>
      <c r="J1412">
        <v>6028.99</v>
      </c>
      <c r="K1412" t="s">
        <v>33</v>
      </c>
      <c r="L1412" t="s">
        <v>34</v>
      </c>
      <c r="M1412" t="s">
        <v>54</v>
      </c>
      <c r="N1412" t="s">
        <v>22</v>
      </c>
    </row>
    <row r="1413" spans="1:14" x14ac:dyDescent="0.3">
      <c r="A1413" t="s">
        <v>1474</v>
      </c>
      <c r="B1413" s="1">
        <v>45748</v>
      </c>
      <c r="C1413" t="s">
        <v>52</v>
      </c>
      <c r="D1413" t="s">
        <v>43</v>
      </c>
      <c r="E1413" t="s">
        <v>99</v>
      </c>
      <c r="F1413" t="s">
        <v>111</v>
      </c>
      <c r="G1413">
        <v>5</v>
      </c>
      <c r="H1413">
        <v>949.74</v>
      </c>
      <c r="I1413">
        <v>0.18</v>
      </c>
      <c r="J1413">
        <v>3893.93</v>
      </c>
      <c r="K1413" t="s">
        <v>41</v>
      </c>
      <c r="L1413" t="s">
        <v>29</v>
      </c>
      <c r="M1413" t="s">
        <v>30</v>
      </c>
      <c r="N1413" t="s">
        <v>22</v>
      </c>
    </row>
    <row r="1414" spans="1:14" x14ac:dyDescent="0.3">
      <c r="A1414" t="s">
        <v>1475</v>
      </c>
      <c r="B1414" s="1">
        <v>45677</v>
      </c>
      <c r="C1414" t="s">
        <v>48</v>
      </c>
      <c r="D1414" t="s">
        <v>25</v>
      </c>
      <c r="E1414" t="s">
        <v>99</v>
      </c>
      <c r="F1414" t="s">
        <v>100</v>
      </c>
      <c r="G1414">
        <v>4</v>
      </c>
      <c r="H1414">
        <v>2473.2800000000002</v>
      </c>
      <c r="I1414">
        <v>7.0000000000000007E-2</v>
      </c>
      <c r="J1414">
        <v>9200.6</v>
      </c>
      <c r="K1414" t="s">
        <v>46</v>
      </c>
      <c r="L1414" t="s">
        <v>20</v>
      </c>
      <c r="M1414" t="s">
        <v>21</v>
      </c>
      <c r="N1414" t="s">
        <v>22</v>
      </c>
    </row>
    <row r="1415" spans="1:14" x14ac:dyDescent="0.3">
      <c r="A1415" t="s">
        <v>1476</v>
      </c>
      <c r="B1415" s="1">
        <v>45721</v>
      </c>
      <c r="C1415" t="s">
        <v>36</v>
      </c>
      <c r="D1415" t="s">
        <v>16</v>
      </c>
      <c r="E1415" t="s">
        <v>61</v>
      </c>
      <c r="F1415" t="s">
        <v>66</v>
      </c>
      <c r="G1415">
        <v>1</v>
      </c>
      <c r="H1415">
        <v>4835.92</v>
      </c>
      <c r="I1415">
        <v>0.2</v>
      </c>
      <c r="J1415">
        <v>3868.74</v>
      </c>
      <c r="K1415" t="s">
        <v>58</v>
      </c>
      <c r="L1415" t="s">
        <v>34</v>
      </c>
      <c r="M1415" t="s">
        <v>30</v>
      </c>
      <c r="N1415" t="s">
        <v>22</v>
      </c>
    </row>
    <row r="1416" spans="1:14" x14ac:dyDescent="0.3">
      <c r="A1416" t="s">
        <v>1477</v>
      </c>
      <c r="B1416" s="1">
        <v>45709</v>
      </c>
      <c r="C1416" t="s">
        <v>48</v>
      </c>
      <c r="D1416" t="s">
        <v>16</v>
      </c>
      <c r="E1416" t="s">
        <v>99</v>
      </c>
      <c r="F1416" t="s">
        <v>115</v>
      </c>
      <c r="G1416">
        <v>3</v>
      </c>
      <c r="H1416">
        <v>2604.48</v>
      </c>
      <c r="I1416">
        <v>0.11</v>
      </c>
      <c r="J1416">
        <v>6953.96</v>
      </c>
      <c r="K1416" t="s">
        <v>33</v>
      </c>
      <c r="L1416" t="s">
        <v>29</v>
      </c>
      <c r="M1416" t="s">
        <v>30</v>
      </c>
      <c r="N1416" t="s">
        <v>59</v>
      </c>
    </row>
    <row r="1417" spans="1:14" x14ac:dyDescent="0.3">
      <c r="A1417" t="s">
        <v>1478</v>
      </c>
      <c r="B1417" s="1">
        <v>45722</v>
      </c>
      <c r="C1417" t="s">
        <v>48</v>
      </c>
      <c r="D1417" t="s">
        <v>16</v>
      </c>
      <c r="E1417" t="s">
        <v>49</v>
      </c>
      <c r="F1417" t="s">
        <v>56</v>
      </c>
      <c r="G1417">
        <v>3</v>
      </c>
      <c r="H1417">
        <v>685.28</v>
      </c>
      <c r="I1417">
        <v>0.05</v>
      </c>
      <c r="J1417">
        <v>1953.05</v>
      </c>
      <c r="K1417" t="s">
        <v>41</v>
      </c>
      <c r="L1417" t="s">
        <v>34</v>
      </c>
      <c r="M1417" t="s">
        <v>30</v>
      </c>
      <c r="N1417" t="s">
        <v>22</v>
      </c>
    </row>
    <row r="1418" spans="1:14" x14ac:dyDescent="0.3">
      <c r="A1418" t="s">
        <v>1479</v>
      </c>
      <c r="B1418" s="1">
        <v>45682</v>
      </c>
      <c r="C1418" t="s">
        <v>24</v>
      </c>
      <c r="D1418" t="s">
        <v>25</v>
      </c>
      <c r="E1418" t="s">
        <v>17</v>
      </c>
      <c r="F1418" t="s">
        <v>32</v>
      </c>
      <c r="G1418">
        <v>3</v>
      </c>
      <c r="H1418">
        <v>724.37</v>
      </c>
      <c r="I1418">
        <v>0.02</v>
      </c>
      <c r="J1418">
        <v>2129.65</v>
      </c>
      <c r="K1418" t="s">
        <v>33</v>
      </c>
      <c r="L1418" t="s">
        <v>29</v>
      </c>
      <c r="M1418" t="s">
        <v>21</v>
      </c>
      <c r="N1418" t="s">
        <v>22</v>
      </c>
    </row>
    <row r="1419" spans="1:14" x14ac:dyDescent="0.3">
      <c r="A1419" t="s">
        <v>1480</v>
      </c>
      <c r="B1419" s="1">
        <v>45810</v>
      </c>
      <c r="C1419" t="s">
        <v>24</v>
      </c>
      <c r="D1419" t="s">
        <v>43</v>
      </c>
      <c r="E1419" t="s">
        <v>27</v>
      </c>
      <c r="F1419" t="s">
        <v>79</v>
      </c>
      <c r="G1419">
        <v>5</v>
      </c>
      <c r="H1419">
        <v>3625.9</v>
      </c>
      <c r="I1419">
        <v>7.0000000000000007E-2</v>
      </c>
      <c r="J1419">
        <v>16860.43</v>
      </c>
      <c r="K1419" t="s">
        <v>58</v>
      </c>
      <c r="L1419" t="s">
        <v>34</v>
      </c>
      <c r="M1419" t="s">
        <v>54</v>
      </c>
      <c r="N1419" t="s">
        <v>22</v>
      </c>
    </row>
    <row r="1420" spans="1:14" x14ac:dyDescent="0.3">
      <c r="A1420" t="s">
        <v>1481</v>
      </c>
      <c r="B1420" s="1">
        <v>45738</v>
      </c>
      <c r="C1420" t="s">
        <v>36</v>
      </c>
      <c r="D1420" t="s">
        <v>43</v>
      </c>
      <c r="E1420" t="s">
        <v>27</v>
      </c>
      <c r="F1420" t="s">
        <v>28</v>
      </c>
      <c r="G1420">
        <v>2</v>
      </c>
      <c r="H1420">
        <v>212.47</v>
      </c>
      <c r="I1420">
        <v>0.15</v>
      </c>
      <c r="J1420">
        <v>361.2</v>
      </c>
      <c r="K1420" t="s">
        <v>46</v>
      </c>
      <c r="L1420" t="s">
        <v>20</v>
      </c>
      <c r="M1420" t="s">
        <v>54</v>
      </c>
      <c r="N1420" t="s">
        <v>88</v>
      </c>
    </row>
    <row r="1421" spans="1:14" x14ac:dyDescent="0.3">
      <c r="A1421" t="s">
        <v>1482</v>
      </c>
      <c r="B1421" s="1">
        <v>45827</v>
      </c>
      <c r="C1421" t="s">
        <v>36</v>
      </c>
      <c r="D1421" t="s">
        <v>25</v>
      </c>
      <c r="E1421" t="s">
        <v>49</v>
      </c>
      <c r="F1421" t="s">
        <v>73</v>
      </c>
      <c r="G1421">
        <v>2</v>
      </c>
      <c r="H1421">
        <v>546.77</v>
      </c>
      <c r="I1421">
        <v>0.19</v>
      </c>
      <c r="J1421">
        <v>885.77</v>
      </c>
      <c r="K1421" t="s">
        <v>33</v>
      </c>
      <c r="L1421" t="s">
        <v>20</v>
      </c>
      <c r="M1421" t="s">
        <v>30</v>
      </c>
      <c r="N1421" t="s">
        <v>22</v>
      </c>
    </row>
    <row r="1422" spans="1:14" x14ac:dyDescent="0.3">
      <c r="A1422" t="s">
        <v>1483</v>
      </c>
      <c r="B1422" s="1">
        <v>45759</v>
      </c>
      <c r="C1422" t="s">
        <v>52</v>
      </c>
      <c r="D1422" t="s">
        <v>39</v>
      </c>
      <c r="E1422" t="s">
        <v>61</v>
      </c>
      <c r="F1422" t="s">
        <v>92</v>
      </c>
      <c r="G1422">
        <v>5</v>
      </c>
      <c r="H1422">
        <v>911.65</v>
      </c>
      <c r="I1422">
        <v>0.04</v>
      </c>
      <c r="J1422">
        <v>4375.92</v>
      </c>
      <c r="K1422" t="s">
        <v>19</v>
      </c>
      <c r="L1422" t="s">
        <v>34</v>
      </c>
      <c r="M1422" t="s">
        <v>54</v>
      </c>
      <c r="N1422" t="s">
        <v>22</v>
      </c>
    </row>
    <row r="1423" spans="1:14" x14ac:dyDescent="0.3">
      <c r="A1423" t="s">
        <v>1484</v>
      </c>
      <c r="B1423" s="1">
        <v>45820</v>
      </c>
      <c r="C1423" t="s">
        <v>48</v>
      </c>
      <c r="D1423" t="s">
        <v>25</v>
      </c>
      <c r="E1423" t="s">
        <v>61</v>
      </c>
      <c r="F1423" t="s">
        <v>66</v>
      </c>
      <c r="G1423">
        <v>4</v>
      </c>
      <c r="H1423">
        <v>2286.21</v>
      </c>
      <c r="I1423">
        <v>0.06</v>
      </c>
      <c r="J1423">
        <v>8596.15</v>
      </c>
      <c r="K1423" t="s">
        <v>33</v>
      </c>
      <c r="L1423" t="s">
        <v>29</v>
      </c>
      <c r="M1423" t="s">
        <v>54</v>
      </c>
      <c r="N1423" t="s">
        <v>22</v>
      </c>
    </row>
    <row r="1424" spans="1:14" x14ac:dyDescent="0.3">
      <c r="A1424" t="s">
        <v>1485</v>
      </c>
      <c r="B1424" s="1">
        <v>45660</v>
      </c>
      <c r="C1424" t="s">
        <v>48</v>
      </c>
      <c r="D1424" t="s">
        <v>25</v>
      </c>
      <c r="E1424" t="s">
        <v>49</v>
      </c>
      <c r="F1424" t="s">
        <v>73</v>
      </c>
      <c r="G1424">
        <v>1</v>
      </c>
      <c r="H1424">
        <v>2752.2</v>
      </c>
      <c r="I1424">
        <v>7.0000000000000007E-2</v>
      </c>
      <c r="J1424">
        <v>2559.5500000000002</v>
      </c>
      <c r="K1424" t="s">
        <v>33</v>
      </c>
      <c r="L1424" t="s">
        <v>34</v>
      </c>
      <c r="M1424" t="s">
        <v>21</v>
      </c>
      <c r="N1424" t="s">
        <v>22</v>
      </c>
    </row>
    <row r="1425" spans="1:14" x14ac:dyDescent="0.3">
      <c r="A1425" t="s">
        <v>1486</v>
      </c>
      <c r="B1425" s="1">
        <v>45787</v>
      </c>
      <c r="C1425" t="s">
        <v>15</v>
      </c>
      <c r="D1425" t="s">
        <v>43</v>
      </c>
      <c r="E1425" t="s">
        <v>27</v>
      </c>
      <c r="F1425" t="s">
        <v>28</v>
      </c>
      <c r="G1425">
        <v>5</v>
      </c>
      <c r="H1425">
        <v>3116.63</v>
      </c>
      <c r="I1425">
        <v>0.21</v>
      </c>
      <c r="J1425">
        <v>12310.69</v>
      </c>
      <c r="K1425" t="s">
        <v>58</v>
      </c>
      <c r="L1425" t="s">
        <v>34</v>
      </c>
      <c r="M1425" t="s">
        <v>21</v>
      </c>
      <c r="N1425" t="s">
        <v>22</v>
      </c>
    </row>
    <row r="1426" spans="1:14" x14ac:dyDescent="0.3">
      <c r="A1426" t="s">
        <v>1487</v>
      </c>
      <c r="B1426" s="1">
        <v>45828</v>
      </c>
      <c r="C1426" t="s">
        <v>52</v>
      </c>
      <c r="D1426" t="s">
        <v>39</v>
      </c>
      <c r="E1426" t="s">
        <v>17</v>
      </c>
      <c r="F1426" t="s">
        <v>40</v>
      </c>
      <c r="G1426">
        <v>2</v>
      </c>
      <c r="H1426">
        <v>1639.64</v>
      </c>
      <c r="I1426">
        <v>0.1</v>
      </c>
      <c r="J1426">
        <v>2951.35</v>
      </c>
      <c r="K1426" t="s">
        <v>41</v>
      </c>
      <c r="L1426" t="s">
        <v>20</v>
      </c>
      <c r="M1426" t="s">
        <v>54</v>
      </c>
      <c r="N1426" t="s">
        <v>37</v>
      </c>
    </row>
    <row r="1427" spans="1:14" x14ac:dyDescent="0.3">
      <c r="A1427" t="s">
        <v>1488</v>
      </c>
      <c r="B1427" s="1">
        <v>45765</v>
      </c>
      <c r="C1427" t="s">
        <v>24</v>
      </c>
      <c r="D1427" t="s">
        <v>39</v>
      </c>
      <c r="E1427" t="s">
        <v>49</v>
      </c>
      <c r="F1427" t="s">
        <v>50</v>
      </c>
      <c r="G1427">
        <v>1</v>
      </c>
      <c r="H1427">
        <v>2316</v>
      </c>
      <c r="I1427">
        <v>0.2</v>
      </c>
      <c r="J1427">
        <v>1852.8</v>
      </c>
      <c r="K1427" t="s">
        <v>33</v>
      </c>
      <c r="L1427" t="s">
        <v>20</v>
      </c>
      <c r="M1427" t="s">
        <v>30</v>
      </c>
      <c r="N1427" t="s">
        <v>22</v>
      </c>
    </row>
    <row r="1428" spans="1:14" x14ac:dyDescent="0.3">
      <c r="A1428" t="s">
        <v>1489</v>
      </c>
      <c r="B1428" s="1">
        <v>45749</v>
      </c>
      <c r="C1428" t="s">
        <v>48</v>
      </c>
      <c r="D1428" t="s">
        <v>39</v>
      </c>
      <c r="E1428" t="s">
        <v>17</v>
      </c>
      <c r="F1428" t="s">
        <v>40</v>
      </c>
      <c r="G1428">
        <v>1</v>
      </c>
      <c r="H1428">
        <v>2243.08</v>
      </c>
      <c r="I1428">
        <v>0.09</v>
      </c>
      <c r="J1428">
        <v>2041.2</v>
      </c>
      <c r="K1428" t="s">
        <v>41</v>
      </c>
      <c r="L1428" t="s">
        <v>34</v>
      </c>
      <c r="M1428" t="s">
        <v>30</v>
      </c>
      <c r="N1428" t="s">
        <v>37</v>
      </c>
    </row>
    <row r="1429" spans="1:14" x14ac:dyDescent="0.3">
      <c r="A1429" t="s">
        <v>1490</v>
      </c>
      <c r="B1429" s="1">
        <v>45740</v>
      </c>
      <c r="C1429" t="s">
        <v>52</v>
      </c>
      <c r="D1429" t="s">
        <v>16</v>
      </c>
      <c r="E1429" t="s">
        <v>99</v>
      </c>
      <c r="F1429" t="s">
        <v>115</v>
      </c>
      <c r="G1429">
        <v>5</v>
      </c>
      <c r="H1429">
        <v>3260.54</v>
      </c>
      <c r="I1429">
        <v>0.15</v>
      </c>
      <c r="J1429">
        <v>13857.3</v>
      </c>
      <c r="K1429" t="s">
        <v>19</v>
      </c>
      <c r="L1429" t="s">
        <v>20</v>
      </c>
      <c r="M1429" t="s">
        <v>54</v>
      </c>
      <c r="N1429" t="s">
        <v>59</v>
      </c>
    </row>
    <row r="1430" spans="1:14" x14ac:dyDescent="0.3">
      <c r="A1430" t="s">
        <v>1491</v>
      </c>
      <c r="B1430" s="1">
        <v>45670</v>
      </c>
      <c r="C1430" t="s">
        <v>52</v>
      </c>
      <c r="D1430" t="s">
        <v>39</v>
      </c>
      <c r="E1430" t="s">
        <v>99</v>
      </c>
      <c r="F1430" t="s">
        <v>120</v>
      </c>
      <c r="G1430">
        <v>2</v>
      </c>
      <c r="H1430">
        <v>552.65</v>
      </c>
      <c r="I1430">
        <v>0.17</v>
      </c>
      <c r="J1430">
        <v>917.4</v>
      </c>
      <c r="K1430" t="s">
        <v>58</v>
      </c>
      <c r="L1430" t="s">
        <v>29</v>
      </c>
      <c r="M1430" t="s">
        <v>54</v>
      </c>
      <c r="N1430" t="s">
        <v>22</v>
      </c>
    </row>
    <row r="1431" spans="1:14" x14ac:dyDescent="0.3">
      <c r="A1431" t="s">
        <v>1492</v>
      </c>
      <c r="B1431" s="1">
        <v>45696</v>
      </c>
      <c r="C1431" t="s">
        <v>52</v>
      </c>
      <c r="D1431" t="s">
        <v>25</v>
      </c>
      <c r="E1431" t="s">
        <v>99</v>
      </c>
      <c r="F1431" t="s">
        <v>115</v>
      </c>
      <c r="G1431">
        <v>4</v>
      </c>
      <c r="H1431">
        <v>1464.72</v>
      </c>
      <c r="I1431">
        <v>0.23</v>
      </c>
      <c r="J1431">
        <v>4511.34</v>
      </c>
      <c r="K1431" t="s">
        <v>46</v>
      </c>
      <c r="L1431" t="s">
        <v>20</v>
      </c>
      <c r="M1431" t="s">
        <v>54</v>
      </c>
      <c r="N1431" t="s">
        <v>22</v>
      </c>
    </row>
    <row r="1432" spans="1:14" x14ac:dyDescent="0.3">
      <c r="A1432" t="s">
        <v>1493</v>
      </c>
      <c r="B1432" s="1">
        <v>45760</v>
      </c>
      <c r="C1432" t="s">
        <v>52</v>
      </c>
      <c r="D1432" t="s">
        <v>43</v>
      </c>
      <c r="E1432" t="s">
        <v>27</v>
      </c>
      <c r="F1432" t="s">
        <v>79</v>
      </c>
      <c r="G1432">
        <v>1</v>
      </c>
      <c r="H1432">
        <v>2905.78</v>
      </c>
      <c r="I1432">
        <v>0.2</v>
      </c>
      <c r="J1432">
        <v>2324.62</v>
      </c>
      <c r="K1432" t="s">
        <v>58</v>
      </c>
      <c r="L1432" t="s">
        <v>29</v>
      </c>
      <c r="M1432" t="s">
        <v>21</v>
      </c>
      <c r="N1432" t="s">
        <v>22</v>
      </c>
    </row>
    <row r="1433" spans="1:14" x14ac:dyDescent="0.3">
      <c r="A1433" t="s">
        <v>1494</v>
      </c>
      <c r="B1433" s="1">
        <v>45730</v>
      </c>
      <c r="C1433" t="s">
        <v>52</v>
      </c>
      <c r="D1433" t="s">
        <v>39</v>
      </c>
      <c r="E1433" t="s">
        <v>49</v>
      </c>
      <c r="F1433" t="s">
        <v>50</v>
      </c>
      <c r="G1433">
        <v>2</v>
      </c>
      <c r="H1433">
        <v>3052.91</v>
      </c>
      <c r="I1433">
        <v>0.02</v>
      </c>
      <c r="J1433">
        <v>5983.7</v>
      </c>
      <c r="K1433" t="s">
        <v>19</v>
      </c>
      <c r="L1433" t="s">
        <v>20</v>
      </c>
      <c r="M1433" t="s">
        <v>54</v>
      </c>
      <c r="N1433" t="s">
        <v>88</v>
      </c>
    </row>
    <row r="1434" spans="1:14" x14ac:dyDescent="0.3">
      <c r="A1434" t="s">
        <v>1495</v>
      </c>
      <c r="B1434" s="1">
        <v>45780</v>
      </c>
      <c r="C1434" t="s">
        <v>48</v>
      </c>
      <c r="D1434" t="s">
        <v>16</v>
      </c>
      <c r="E1434" t="s">
        <v>61</v>
      </c>
      <c r="F1434" t="s">
        <v>62</v>
      </c>
      <c r="G1434">
        <v>2</v>
      </c>
      <c r="H1434">
        <v>848.32</v>
      </c>
      <c r="I1434">
        <v>0.23</v>
      </c>
      <c r="J1434">
        <v>1306.4100000000001</v>
      </c>
      <c r="K1434" t="s">
        <v>33</v>
      </c>
      <c r="L1434" t="s">
        <v>34</v>
      </c>
      <c r="M1434" t="s">
        <v>54</v>
      </c>
      <c r="N1434" t="s">
        <v>22</v>
      </c>
    </row>
    <row r="1435" spans="1:14" x14ac:dyDescent="0.3">
      <c r="A1435" t="s">
        <v>1496</v>
      </c>
      <c r="B1435" s="1">
        <v>45806</v>
      </c>
      <c r="C1435" t="s">
        <v>36</v>
      </c>
      <c r="D1435" t="s">
        <v>16</v>
      </c>
      <c r="E1435" t="s">
        <v>61</v>
      </c>
      <c r="F1435" t="s">
        <v>66</v>
      </c>
      <c r="G1435">
        <v>5</v>
      </c>
      <c r="H1435">
        <v>4484.71</v>
      </c>
      <c r="I1435">
        <v>0.1</v>
      </c>
      <c r="J1435">
        <v>20181.189999999999</v>
      </c>
      <c r="K1435" t="s">
        <v>58</v>
      </c>
      <c r="L1435" t="s">
        <v>29</v>
      </c>
      <c r="M1435" t="s">
        <v>54</v>
      </c>
      <c r="N1435" t="s">
        <v>22</v>
      </c>
    </row>
    <row r="1436" spans="1:14" x14ac:dyDescent="0.3">
      <c r="A1436" t="s">
        <v>1497</v>
      </c>
      <c r="B1436" s="1">
        <v>45756</v>
      </c>
      <c r="C1436" t="s">
        <v>36</v>
      </c>
      <c r="D1436" t="s">
        <v>16</v>
      </c>
      <c r="E1436" t="s">
        <v>61</v>
      </c>
      <c r="F1436" t="s">
        <v>75</v>
      </c>
      <c r="G1436">
        <v>3</v>
      </c>
      <c r="H1436">
        <v>2365.79</v>
      </c>
      <c r="I1436">
        <v>0.11</v>
      </c>
      <c r="J1436">
        <v>6316.66</v>
      </c>
      <c r="K1436" t="s">
        <v>46</v>
      </c>
      <c r="L1436" t="s">
        <v>29</v>
      </c>
      <c r="M1436" t="s">
        <v>21</v>
      </c>
      <c r="N1436" t="s">
        <v>22</v>
      </c>
    </row>
    <row r="1437" spans="1:14" x14ac:dyDescent="0.3">
      <c r="A1437" t="s">
        <v>1498</v>
      </c>
      <c r="B1437" s="1">
        <v>45781</v>
      </c>
      <c r="C1437" t="s">
        <v>24</v>
      </c>
      <c r="D1437" t="s">
        <v>25</v>
      </c>
      <c r="E1437" t="s">
        <v>61</v>
      </c>
      <c r="F1437" t="s">
        <v>62</v>
      </c>
      <c r="G1437">
        <v>1</v>
      </c>
      <c r="H1437">
        <v>1507.29</v>
      </c>
      <c r="I1437">
        <v>0.13</v>
      </c>
      <c r="J1437">
        <v>1311.34</v>
      </c>
      <c r="K1437" t="s">
        <v>41</v>
      </c>
      <c r="L1437" t="s">
        <v>20</v>
      </c>
      <c r="M1437" t="s">
        <v>30</v>
      </c>
      <c r="N1437" t="s">
        <v>22</v>
      </c>
    </row>
    <row r="1438" spans="1:14" x14ac:dyDescent="0.3">
      <c r="A1438" t="s">
        <v>1499</v>
      </c>
      <c r="B1438" s="1">
        <v>45745</v>
      </c>
      <c r="C1438" t="s">
        <v>36</v>
      </c>
      <c r="D1438" t="s">
        <v>25</v>
      </c>
      <c r="E1438" t="s">
        <v>49</v>
      </c>
      <c r="F1438" t="s">
        <v>50</v>
      </c>
      <c r="G1438">
        <v>5</v>
      </c>
      <c r="H1438">
        <v>3619.94</v>
      </c>
      <c r="I1438">
        <v>0.19</v>
      </c>
      <c r="J1438">
        <v>14660.76</v>
      </c>
      <c r="K1438" t="s">
        <v>46</v>
      </c>
      <c r="L1438" t="s">
        <v>29</v>
      </c>
      <c r="M1438" t="s">
        <v>30</v>
      </c>
      <c r="N1438" t="s">
        <v>22</v>
      </c>
    </row>
    <row r="1439" spans="1:14" x14ac:dyDescent="0.3">
      <c r="A1439" t="s">
        <v>1500</v>
      </c>
      <c r="B1439" s="1">
        <v>45807</v>
      </c>
      <c r="C1439" t="s">
        <v>24</v>
      </c>
      <c r="D1439" t="s">
        <v>25</v>
      </c>
      <c r="E1439" t="s">
        <v>49</v>
      </c>
      <c r="F1439" t="s">
        <v>73</v>
      </c>
      <c r="G1439">
        <v>5</v>
      </c>
      <c r="H1439">
        <v>4974.1000000000004</v>
      </c>
      <c r="I1439">
        <v>0.21</v>
      </c>
      <c r="J1439">
        <v>19647.689999999999</v>
      </c>
      <c r="K1439" t="s">
        <v>19</v>
      </c>
      <c r="L1439" t="s">
        <v>20</v>
      </c>
      <c r="M1439" t="s">
        <v>54</v>
      </c>
      <c r="N1439" t="s">
        <v>22</v>
      </c>
    </row>
    <row r="1440" spans="1:14" x14ac:dyDescent="0.3">
      <c r="A1440" t="s">
        <v>1501</v>
      </c>
      <c r="B1440" s="1">
        <v>45670</v>
      </c>
      <c r="C1440" t="s">
        <v>24</v>
      </c>
      <c r="D1440" t="s">
        <v>43</v>
      </c>
      <c r="E1440" t="s">
        <v>99</v>
      </c>
      <c r="F1440" t="s">
        <v>111</v>
      </c>
      <c r="G1440">
        <v>2</v>
      </c>
      <c r="H1440">
        <v>3776.53</v>
      </c>
      <c r="I1440">
        <v>0.05</v>
      </c>
      <c r="J1440">
        <v>7175.41</v>
      </c>
      <c r="K1440" t="s">
        <v>46</v>
      </c>
      <c r="L1440" t="s">
        <v>34</v>
      </c>
      <c r="M1440" t="s">
        <v>21</v>
      </c>
      <c r="N1440" t="s">
        <v>22</v>
      </c>
    </row>
    <row r="1441" spans="1:14" x14ac:dyDescent="0.3">
      <c r="A1441" t="s">
        <v>1502</v>
      </c>
      <c r="B1441" s="1">
        <v>45699</v>
      </c>
      <c r="C1441" t="s">
        <v>15</v>
      </c>
      <c r="D1441" t="s">
        <v>39</v>
      </c>
      <c r="E1441" t="s">
        <v>27</v>
      </c>
      <c r="F1441" t="s">
        <v>68</v>
      </c>
      <c r="G1441">
        <v>2</v>
      </c>
      <c r="H1441">
        <v>180.25</v>
      </c>
      <c r="I1441">
        <v>0.06</v>
      </c>
      <c r="J1441">
        <v>338.87</v>
      </c>
      <c r="K1441" t="s">
        <v>41</v>
      </c>
      <c r="L1441" t="s">
        <v>20</v>
      </c>
      <c r="M1441" t="s">
        <v>30</v>
      </c>
      <c r="N1441" t="s">
        <v>22</v>
      </c>
    </row>
    <row r="1442" spans="1:14" x14ac:dyDescent="0.3">
      <c r="A1442" t="s">
        <v>1503</v>
      </c>
      <c r="B1442" s="1">
        <v>45711</v>
      </c>
      <c r="C1442" t="s">
        <v>15</v>
      </c>
      <c r="D1442" t="s">
        <v>16</v>
      </c>
      <c r="E1442" t="s">
        <v>49</v>
      </c>
      <c r="F1442" t="s">
        <v>50</v>
      </c>
      <c r="G1442">
        <v>2</v>
      </c>
      <c r="H1442">
        <v>2137.42</v>
      </c>
      <c r="I1442">
        <v>0.01</v>
      </c>
      <c r="J1442">
        <v>4232.09</v>
      </c>
      <c r="K1442" t="s">
        <v>19</v>
      </c>
      <c r="L1442" t="s">
        <v>34</v>
      </c>
      <c r="M1442" t="s">
        <v>54</v>
      </c>
      <c r="N1442" t="s">
        <v>22</v>
      </c>
    </row>
    <row r="1443" spans="1:14" x14ac:dyDescent="0.3">
      <c r="A1443" t="s">
        <v>1504</v>
      </c>
      <c r="B1443" s="1">
        <v>45766</v>
      </c>
      <c r="C1443" t="s">
        <v>48</v>
      </c>
      <c r="D1443" t="s">
        <v>25</v>
      </c>
      <c r="E1443" t="s">
        <v>17</v>
      </c>
      <c r="F1443" t="s">
        <v>32</v>
      </c>
      <c r="G1443">
        <v>4</v>
      </c>
      <c r="H1443">
        <v>482.81</v>
      </c>
      <c r="I1443">
        <v>7.0000000000000007E-2</v>
      </c>
      <c r="J1443">
        <v>1796.05</v>
      </c>
      <c r="K1443" t="s">
        <v>41</v>
      </c>
      <c r="L1443" t="s">
        <v>29</v>
      </c>
      <c r="M1443" t="s">
        <v>21</v>
      </c>
      <c r="N1443" t="s">
        <v>22</v>
      </c>
    </row>
    <row r="1444" spans="1:14" x14ac:dyDescent="0.3">
      <c r="A1444" t="s">
        <v>1505</v>
      </c>
      <c r="B1444" s="1">
        <v>45685</v>
      </c>
      <c r="C1444" t="s">
        <v>15</v>
      </c>
      <c r="D1444" t="s">
        <v>43</v>
      </c>
      <c r="E1444" t="s">
        <v>49</v>
      </c>
      <c r="F1444" t="s">
        <v>56</v>
      </c>
      <c r="G1444">
        <v>3</v>
      </c>
      <c r="H1444">
        <v>4617.7299999999996</v>
      </c>
      <c r="I1444">
        <v>0.04</v>
      </c>
      <c r="J1444">
        <v>13299.06</v>
      </c>
      <c r="K1444" t="s">
        <v>46</v>
      </c>
      <c r="L1444" t="s">
        <v>20</v>
      </c>
      <c r="M1444" t="s">
        <v>54</v>
      </c>
      <c r="N1444" t="s">
        <v>22</v>
      </c>
    </row>
    <row r="1445" spans="1:14" x14ac:dyDescent="0.3">
      <c r="A1445" t="s">
        <v>1506</v>
      </c>
      <c r="B1445" s="1">
        <v>45840</v>
      </c>
      <c r="C1445" t="s">
        <v>24</v>
      </c>
      <c r="D1445" t="s">
        <v>25</v>
      </c>
      <c r="E1445" t="s">
        <v>27</v>
      </c>
      <c r="F1445" t="s">
        <v>28</v>
      </c>
      <c r="G1445">
        <v>2</v>
      </c>
      <c r="H1445">
        <v>3190.31</v>
      </c>
      <c r="I1445">
        <v>0.09</v>
      </c>
      <c r="J1445">
        <v>5806.36</v>
      </c>
      <c r="K1445" t="s">
        <v>58</v>
      </c>
      <c r="L1445" t="s">
        <v>29</v>
      </c>
      <c r="M1445" t="s">
        <v>30</v>
      </c>
      <c r="N1445" t="s">
        <v>22</v>
      </c>
    </row>
    <row r="1446" spans="1:14" x14ac:dyDescent="0.3">
      <c r="A1446" t="s">
        <v>1507</v>
      </c>
      <c r="B1446" s="1">
        <v>45715</v>
      </c>
      <c r="C1446" t="s">
        <v>15</v>
      </c>
      <c r="D1446" t="s">
        <v>16</v>
      </c>
      <c r="E1446" t="s">
        <v>27</v>
      </c>
      <c r="F1446" t="s">
        <v>87</v>
      </c>
      <c r="G1446">
        <v>3</v>
      </c>
      <c r="H1446">
        <v>1903.04</v>
      </c>
      <c r="I1446">
        <v>0.2</v>
      </c>
      <c r="J1446">
        <v>4567.3</v>
      </c>
      <c r="K1446" t="s">
        <v>33</v>
      </c>
      <c r="L1446" t="s">
        <v>34</v>
      </c>
      <c r="M1446" t="s">
        <v>21</v>
      </c>
      <c r="N1446" t="s">
        <v>37</v>
      </c>
    </row>
    <row r="1447" spans="1:14" x14ac:dyDescent="0.3">
      <c r="A1447" t="s">
        <v>1508</v>
      </c>
      <c r="B1447" s="1">
        <v>45745</v>
      </c>
      <c r="C1447" t="s">
        <v>36</v>
      </c>
      <c r="D1447" t="s">
        <v>43</v>
      </c>
      <c r="E1447" t="s">
        <v>49</v>
      </c>
      <c r="F1447" t="s">
        <v>50</v>
      </c>
      <c r="G1447">
        <v>5</v>
      </c>
      <c r="H1447">
        <v>3670.46</v>
      </c>
      <c r="I1447">
        <v>0.14000000000000001</v>
      </c>
      <c r="J1447">
        <v>15782.98</v>
      </c>
      <c r="K1447" t="s">
        <v>58</v>
      </c>
      <c r="L1447" t="s">
        <v>29</v>
      </c>
      <c r="M1447" t="s">
        <v>54</v>
      </c>
      <c r="N1447" t="s">
        <v>37</v>
      </c>
    </row>
    <row r="1448" spans="1:14" x14ac:dyDescent="0.3">
      <c r="A1448" t="s">
        <v>1509</v>
      </c>
      <c r="B1448" s="1">
        <v>45831</v>
      </c>
      <c r="C1448" t="s">
        <v>48</v>
      </c>
      <c r="D1448" t="s">
        <v>25</v>
      </c>
      <c r="E1448" t="s">
        <v>49</v>
      </c>
      <c r="F1448" t="s">
        <v>53</v>
      </c>
      <c r="G1448">
        <v>2</v>
      </c>
      <c r="H1448">
        <v>3834.33</v>
      </c>
      <c r="I1448">
        <v>0.05</v>
      </c>
      <c r="J1448">
        <v>7285.23</v>
      </c>
      <c r="K1448" t="s">
        <v>46</v>
      </c>
      <c r="L1448" t="s">
        <v>20</v>
      </c>
      <c r="M1448" t="s">
        <v>21</v>
      </c>
      <c r="N1448" t="s">
        <v>22</v>
      </c>
    </row>
    <row r="1449" spans="1:14" x14ac:dyDescent="0.3">
      <c r="A1449" t="s">
        <v>1510</v>
      </c>
      <c r="B1449" s="1">
        <v>45795</v>
      </c>
      <c r="C1449" t="s">
        <v>24</v>
      </c>
      <c r="D1449" t="s">
        <v>43</v>
      </c>
      <c r="E1449" t="s">
        <v>61</v>
      </c>
      <c r="F1449" t="s">
        <v>62</v>
      </c>
      <c r="G1449">
        <v>2</v>
      </c>
      <c r="H1449">
        <v>1053.02</v>
      </c>
      <c r="I1449">
        <v>0.14000000000000001</v>
      </c>
      <c r="J1449">
        <v>1811.19</v>
      </c>
      <c r="K1449" t="s">
        <v>46</v>
      </c>
      <c r="L1449" t="s">
        <v>20</v>
      </c>
      <c r="M1449" t="s">
        <v>30</v>
      </c>
      <c r="N1449" t="s">
        <v>22</v>
      </c>
    </row>
    <row r="1450" spans="1:14" x14ac:dyDescent="0.3">
      <c r="A1450" t="s">
        <v>1511</v>
      </c>
      <c r="B1450" s="1">
        <v>45754</v>
      </c>
      <c r="C1450" t="s">
        <v>52</v>
      </c>
      <c r="D1450" t="s">
        <v>16</v>
      </c>
      <c r="E1450" t="s">
        <v>27</v>
      </c>
      <c r="F1450" t="s">
        <v>28</v>
      </c>
      <c r="G1450">
        <v>2</v>
      </c>
      <c r="H1450">
        <v>4308.32</v>
      </c>
      <c r="I1450">
        <v>7.0000000000000007E-2</v>
      </c>
      <c r="J1450">
        <v>8013.48</v>
      </c>
      <c r="K1450" t="s">
        <v>58</v>
      </c>
      <c r="L1450" t="s">
        <v>20</v>
      </c>
      <c r="M1450" t="s">
        <v>30</v>
      </c>
      <c r="N1450" t="s">
        <v>22</v>
      </c>
    </row>
    <row r="1451" spans="1:14" x14ac:dyDescent="0.3">
      <c r="A1451" t="s">
        <v>1512</v>
      </c>
      <c r="B1451" s="1">
        <v>45683</v>
      </c>
      <c r="C1451" t="s">
        <v>24</v>
      </c>
      <c r="D1451" t="s">
        <v>39</v>
      </c>
      <c r="E1451" t="s">
        <v>61</v>
      </c>
      <c r="F1451" t="s">
        <v>92</v>
      </c>
      <c r="G1451">
        <v>4</v>
      </c>
      <c r="H1451">
        <v>4077.28</v>
      </c>
      <c r="I1451">
        <v>0.09</v>
      </c>
      <c r="J1451">
        <v>14841.3</v>
      </c>
      <c r="K1451" t="s">
        <v>58</v>
      </c>
      <c r="L1451" t="s">
        <v>29</v>
      </c>
      <c r="M1451" t="s">
        <v>21</v>
      </c>
      <c r="N1451" t="s">
        <v>37</v>
      </c>
    </row>
    <row r="1452" spans="1:14" x14ac:dyDescent="0.3">
      <c r="A1452" t="s">
        <v>1513</v>
      </c>
      <c r="B1452" s="1">
        <v>45665</v>
      </c>
      <c r="C1452" t="s">
        <v>15</v>
      </c>
      <c r="D1452" t="s">
        <v>43</v>
      </c>
      <c r="E1452" t="s">
        <v>99</v>
      </c>
      <c r="F1452" t="s">
        <v>111</v>
      </c>
      <c r="G1452">
        <v>5</v>
      </c>
      <c r="H1452">
        <v>2648.24</v>
      </c>
      <c r="I1452">
        <v>7.0000000000000007E-2</v>
      </c>
      <c r="J1452">
        <v>12314.32</v>
      </c>
      <c r="K1452" t="s">
        <v>33</v>
      </c>
      <c r="L1452" t="s">
        <v>20</v>
      </c>
      <c r="M1452" t="s">
        <v>21</v>
      </c>
      <c r="N1452" t="s">
        <v>22</v>
      </c>
    </row>
    <row r="1453" spans="1:14" x14ac:dyDescent="0.3">
      <c r="A1453" t="s">
        <v>1514</v>
      </c>
      <c r="B1453" s="1">
        <v>45782</v>
      </c>
      <c r="C1453" t="s">
        <v>48</v>
      </c>
      <c r="D1453" t="s">
        <v>16</v>
      </c>
      <c r="E1453" t="s">
        <v>17</v>
      </c>
      <c r="F1453" t="s">
        <v>40</v>
      </c>
      <c r="G1453">
        <v>5</v>
      </c>
      <c r="H1453">
        <v>1572.79</v>
      </c>
      <c r="I1453">
        <v>0.24</v>
      </c>
      <c r="J1453">
        <v>5976.6</v>
      </c>
      <c r="K1453" t="s">
        <v>46</v>
      </c>
      <c r="L1453" t="s">
        <v>34</v>
      </c>
      <c r="M1453" t="s">
        <v>30</v>
      </c>
      <c r="N1453" t="s">
        <v>59</v>
      </c>
    </row>
    <row r="1454" spans="1:14" x14ac:dyDescent="0.3">
      <c r="A1454" t="s">
        <v>1515</v>
      </c>
      <c r="B1454" s="1">
        <v>45778</v>
      </c>
      <c r="C1454" t="s">
        <v>24</v>
      </c>
      <c r="D1454" t="s">
        <v>25</v>
      </c>
      <c r="E1454" t="s">
        <v>99</v>
      </c>
      <c r="F1454" t="s">
        <v>111</v>
      </c>
      <c r="G1454">
        <v>2</v>
      </c>
      <c r="H1454">
        <v>4237.99</v>
      </c>
      <c r="I1454">
        <v>0.05</v>
      </c>
      <c r="J1454">
        <v>8052.18</v>
      </c>
      <c r="K1454" t="s">
        <v>19</v>
      </c>
      <c r="L1454" t="s">
        <v>29</v>
      </c>
      <c r="M1454" t="s">
        <v>54</v>
      </c>
      <c r="N1454" t="s">
        <v>37</v>
      </c>
    </row>
    <row r="1455" spans="1:14" x14ac:dyDescent="0.3">
      <c r="A1455" t="s">
        <v>1516</v>
      </c>
      <c r="B1455" s="1">
        <v>45815</v>
      </c>
      <c r="C1455" t="s">
        <v>48</v>
      </c>
      <c r="D1455" t="s">
        <v>25</v>
      </c>
      <c r="E1455" t="s">
        <v>17</v>
      </c>
      <c r="F1455" t="s">
        <v>32</v>
      </c>
      <c r="G1455">
        <v>5</v>
      </c>
      <c r="H1455">
        <v>1722.94</v>
      </c>
      <c r="I1455">
        <v>0.02</v>
      </c>
      <c r="J1455">
        <v>8442.41</v>
      </c>
      <c r="K1455" t="s">
        <v>41</v>
      </c>
      <c r="L1455" t="s">
        <v>34</v>
      </c>
      <c r="M1455" t="s">
        <v>54</v>
      </c>
      <c r="N1455" t="s">
        <v>37</v>
      </c>
    </row>
    <row r="1456" spans="1:14" x14ac:dyDescent="0.3">
      <c r="A1456" t="s">
        <v>1517</v>
      </c>
      <c r="B1456" s="1">
        <v>45706</v>
      </c>
      <c r="C1456" t="s">
        <v>24</v>
      </c>
      <c r="D1456" t="s">
        <v>39</v>
      </c>
      <c r="E1456" t="s">
        <v>17</v>
      </c>
      <c r="F1456" t="s">
        <v>32</v>
      </c>
      <c r="G1456">
        <v>4</v>
      </c>
      <c r="H1456">
        <v>854.83</v>
      </c>
      <c r="I1456">
        <v>0.12</v>
      </c>
      <c r="J1456">
        <v>3009</v>
      </c>
      <c r="K1456" t="s">
        <v>41</v>
      </c>
      <c r="L1456" t="s">
        <v>34</v>
      </c>
      <c r="M1456" t="s">
        <v>54</v>
      </c>
      <c r="N1456" t="s">
        <v>37</v>
      </c>
    </row>
    <row r="1457" spans="1:14" x14ac:dyDescent="0.3">
      <c r="A1457" t="s">
        <v>1518</v>
      </c>
      <c r="B1457" s="1">
        <v>45797</v>
      </c>
      <c r="C1457" t="s">
        <v>52</v>
      </c>
      <c r="D1457" t="s">
        <v>39</v>
      </c>
      <c r="E1457" t="s">
        <v>17</v>
      </c>
      <c r="F1457" t="s">
        <v>32</v>
      </c>
      <c r="G1457">
        <v>4</v>
      </c>
      <c r="H1457">
        <v>2983.27</v>
      </c>
      <c r="I1457">
        <v>0.1</v>
      </c>
      <c r="J1457">
        <v>10739.77</v>
      </c>
      <c r="K1457" t="s">
        <v>41</v>
      </c>
      <c r="L1457" t="s">
        <v>34</v>
      </c>
      <c r="M1457" t="s">
        <v>54</v>
      </c>
      <c r="N1457" t="s">
        <v>22</v>
      </c>
    </row>
    <row r="1458" spans="1:14" x14ac:dyDescent="0.3">
      <c r="A1458" t="s">
        <v>1519</v>
      </c>
      <c r="B1458" s="1">
        <v>45690</v>
      </c>
      <c r="C1458" t="s">
        <v>52</v>
      </c>
      <c r="D1458" t="s">
        <v>16</v>
      </c>
      <c r="E1458" t="s">
        <v>61</v>
      </c>
      <c r="F1458" t="s">
        <v>66</v>
      </c>
      <c r="G1458">
        <v>5</v>
      </c>
      <c r="H1458">
        <v>1946.55</v>
      </c>
      <c r="I1458">
        <v>0.02</v>
      </c>
      <c r="J1458">
        <v>9538.09</v>
      </c>
      <c r="K1458" t="s">
        <v>33</v>
      </c>
      <c r="L1458" t="s">
        <v>34</v>
      </c>
      <c r="M1458" t="s">
        <v>54</v>
      </c>
      <c r="N1458" t="s">
        <v>88</v>
      </c>
    </row>
    <row r="1459" spans="1:14" x14ac:dyDescent="0.3">
      <c r="A1459" t="s">
        <v>1520</v>
      </c>
      <c r="B1459" s="1">
        <v>45720</v>
      </c>
      <c r="C1459" t="s">
        <v>36</v>
      </c>
      <c r="D1459" t="s">
        <v>43</v>
      </c>
      <c r="E1459" t="s">
        <v>17</v>
      </c>
      <c r="F1459" t="s">
        <v>44</v>
      </c>
      <c r="G1459">
        <v>1</v>
      </c>
      <c r="H1459">
        <v>4678.43</v>
      </c>
      <c r="I1459">
        <v>0.2</v>
      </c>
      <c r="J1459">
        <v>3742.74</v>
      </c>
      <c r="K1459" t="s">
        <v>41</v>
      </c>
      <c r="L1459" t="s">
        <v>34</v>
      </c>
      <c r="M1459" t="s">
        <v>21</v>
      </c>
      <c r="N1459" t="s">
        <v>59</v>
      </c>
    </row>
    <row r="1460" spans="1:14" x14ac:dyDescent="0.3">
      <c r="A1460" t="s">
        <v>1521</v>
      </c>
      <c r="B1460" s="1">
        <v>45766</v>
      </c>
      <c r="C1460" t="s">
        <v>52</v>
      </c>
      <c r="D1460" t="s">
        <v>39</v>
      </c>
      <c r="E1460" t="s">
        <v>17</v>
      </c>
      <c r="F1460" t="s">
        <v>40</v>
      </c>
      <c r="G1460">
        <v>3</v>
      </c>
      <c r="H1460">
        <v>4920.1400000000003</v>
      </c>
      <c r="I1460">
        <v>0.09</v>
      </c>
      <c r="J1460">
        <v>13431.98</v>
      </c>
      <c r="K1460" t="s">
        <v>58</v>
      </c>
      <c r="L1460" t="s">
        <v>20</v>
      </c>
      <c r="M1460" t="s">
        <v>21</v>
      </c>
      <c r="N1460" t="s">
        <v>22</v>
      </c>
    </row>
    <row r="1461" spans="1:14" x14ac:dyDescent="0.3">
      <c r="A1461" t="s">
        <v>1522</v>
      </c>
      <c r="B1461" s="1">
        <v>45662</v>
      </c>
      <c r="C1461" t="s">
        <v>52</v>
      </c>
      <c r="D1461" t="s">
        <v>16</v>
      </c>
      <c r="E1461" t="s">
        <v>17</v>
      </c>
      <c r="F1461" t="s">
        <v>18</v>
      </c>
      <c r="G1461">
        <v>1</v>
      </c>
      <c r="H1461">
        <v>290.82</v>
      </c>
      <c r="I1461">
        <v>0.15</v>
      </c>
      <c r="J1461">
        <v>247.2</v>
      </c>
      <c r="K1461" t="s">
        <v>46</v>
      </c>
      <c r="L1461" t="s">
        <v>34</v>
      </c>
      <c r="M1461" t="s">
        <v>54</v>
      </c>
      <c r="N1461" t="s">
        <v>88</v>
      </c>
    </row>
    <row r="1462" spans="1:14" x14ac:dyDescent="0.3">
      <c r="A1462" t="s">
        <v>1523</v>
      </c>
      <c r="B1462" s="1">
        <v>45767</v>
      </c>
      <c r="C1462" t="s">
        <v>48</v>
      </c>
      <c r="D1462" t="s">
        <v>16</v>
      </c>
      <c r="E1462" t="s">
        <v>61</v>
      </c>
      <c r="F1462" t="s">
        <v>75</v>
      </c>
      <c r="G1462">
        <v>3</v>
      </c>
      <c r="H1462">
        <v>3007.51</v>
      </c>
      <c r="I1462">
        <v>0.15</v>
      </c>
      <c r="J1462">
        <v>7669.15</v>
      </c>
      <c r="K1462" t="s">
        <v>41</v>
      </c>
      <c r="L1462" t="s">
        <v>20</v>
      </c>
      <c r="M1462" t="s">
        <v>21</v>
      </c>
      <c r="N1462" t="s">
        <v>88</v>
      </c>
    </row>
    <row r="1463" spans="1:14" x14ac:dyDescent="0.3">
      <c r="A1463" t="s">
        <v>1524</v>
      </c>
      <c r="B1463" s="1">
        <v>45739</v>
      </c>
      <c r="C1463" t="s">
        <v>24</v>
      </c>
      <c r="D1463" t="s">
        <v>16</v>
      </c>
      <c r="E1463" t="s">
        <v>99</v>
      </c>
      <c r="F1463" t="s">
        <v>100</v>
      </c>
      <c r="G1463">
        <v>3</v>
      </c>
      <c r="H1463">
        <v>871.23</v>
      </c>
      <c r="I1463">
        <v>0.19</v>
      </c>
      <c r="J1463">
        <v>2117.09</v>
      </c>
      <c r="K1463" t="s">
        <v>41</v>
      </c>
      <c r="L1463" t="s">
        <v>29</v>
      </c>
      <c r="M1463" t="s">
        <v>21</v>
      </c>
      <c r="N1463" t="s">
        <v>22</v>
      </c>
    </row>
    <row r="1464" spans="1:14" x14ac:dyDescent="0.3">
      <c r="A1464" t="s">
        <v>1525</v>
      </c>
      <c r="B1464" s="1">
        <v>45678</v>
      </c>
      <c r="C1464" t="s">
        <v>24</v>
      </c>
      <c r="D1464" t="s">
        <v>39</v>
      </c>
      <c r="E1464" t="s">
        <v>61</v>
      </c>
      <c r="F1464" t="s">
        <v>66</v>
      </c>
      <c r="G1464">
        <v>2</v>
      </c>
      <c r="H1464">
        <v>3505.05</v>
      </c>
      <c r="I1464">
        <v>0.2</v>
      </c>
      <c r="J1464">
        <v>5608.08</v>
      </c>
      <c r="K1464" t="s">
        <v>41</v>
      </c>
      <c r="L1464" t="s">
        <v>34</v>
      </c>
      <c r="M1464" t="s">
        <v>30</v>
      </c>
      <c r="N1464" t="s">
        <v>22</v>
      </c>
    </row>
    <row r="1465" spans="1:14" x14ac:dyDescent="0.3">
      <c r="A1465" t="s">
        <v>1526</v>
      </c>
      <c r="B1465" s="1">
        <v>45703</v>
      </c>
      <c r="C1465" t="s">
        <v>52</v>
      </c>
      <c r="D1465" t="s">
        <v>43</v>
      </c>
      <c r="E1465" t="s">
        <v>49</v>
      </c>
      <c r="F1465" t="s">
        <v>50</v>
      </c>
      <c r="G1465">
        <v>3</v>
      </c>
      <c r="H1465">
        <v>1131.68</v>
      </c>
      <c r="I1465">
        <v>0.12</v>
      </c>
      <c r="J1465">
        <v>2987.64</v>
      </c>
      <c r="K1465" t="s">
        <v>46</v>
      </c>
      <c r="L1465" t="s">
        <v>29</v>
      </c>
      <c r="M1465" t="s">
        <v>21</v>
      </c>
      <c r="N1465" t="s">
        <v>22</v>
      </c>
    </row>
    <row r="1466" spans="1:14" x14ac:dyDescent="0.3">
      <c r="A1466" t="s">
        <v>1527</v>
      </c>
      <c r="B1466" s="1">
        <v>45823</v>
      </c>
      <c r="C1466" t="s">
        <v>52</v>
      </c>
      <c r="D1466" t="s">
        <v>39</v>
      </c>
      <c r="E1466" t="s">
        <v>17</v>
      </c>
      <c r="F1466" t="s">
        <v>18</v>
      </c>
      <c r="G1466">
        <v>2</v>
      </c>
      <c r="H1466">
        <v>831.7</v>
      </c>
      <c r="I1466">
        <v>0.02</v>
      </c>
      <c r="J1466">
        <v>1630.13</v>
      </c>
      <c r="K1466" t="s">
        <v>58</v>
      </c>
      <c r="L1466" t="s">
        <v>34</v>
      </c>
      <c r="M1466" t="s">
        <v>30</v>
      </c>
      <c r="N1466" t="s">
        <v>22</v>
      </c>
    </row>
    <row r="1467" spans="1:14" x14ac:dyDescent="0.3">
      <c r="A1467" t="s">
        <v>1528</v>
      </c>
      <c r="B1467" s="1">
        <v>45837</v>
      </c>
      <c r="C1467" t="s">
        <v>48</v>
      </c>
      <c r="D1467" t="s">
        <v>43</v>
      </c>
      <c r="E1467" t="s">
        <v>49</v>
      </c>
      <c r="F1467" t="s">
        <v>50</v>
      </c>
      <c r="G1467">
        <v>5</v>
      </c>
      <c r="H1467">
        <v>3673.96</v>
      </c>
      <c r="I1467">
        <v>0.08</v>
      </c>
      <c r="J1467">
        <v>16900.22</v>
      </c>
      <c r="K1467" t="s">
        <v>58</v>
      </c>
      <c r="L1467" t="s">
        <v>29</v>
      </c>
      <c r="M1467" t="s">
        <v>21</v>
      </c>
      <c r="N1467" t="s">
        <v>37</v>
      </c>
    </row>
    <row r="1468" spans="1:14" x14ac:dyDescent="0.3">
      <c r="A1468" t="s">
        <v>1529</v>
      </c>
      <c r="B1468" s="1">
        <v>45682</v>
      </c>
      <c r="C1468" t="s">
        <v>52</v>
      </c>
      <c r="D1468" t="s">
        <v>25</v>
      </c>
      <c r="E1468" t="s">
        <v>17</v>
      </c>
      <c r="F1468" t="s">
        <v>32</v>
      </c>
      <c r="G1468">
        <v>3</v>
      </c>
      <c r="H1468">
        <v>423.67</v>
      </c>
      <c r="I1468">
        <v>0.01</v>
      </c>
      <c r="J1468">
        <v>1258.3</v>
      </c>
      <c r="K1468" t="s">
        <v>41</v>
      </c>
      <c r="L1468" t="s">
        <v>20</v>
      </c>
      <c r="M1468" t="s">
        <v>30</v>
      </c>
      <c r="N1468" t="s">
        <v>22</v>
      </c>
    </row>
    <row r="1469" spans="1:14" x14ac:dyDescent="0.3">
      <c r="A1469" t="s">
        <v>1530</v>
      </c>
      <c r="B1469" s="1">
        <v>45749</v>
      </c>
      <c r="C1469" t="s">
        <v>48</v>
      </c>
      <c r="D1469" t="s">
        <v>25</v>
      </c>
      <c r="E1469" t="s">
        <v>49</v>
      </c>
      <c r="F1469" t="s">
        <v>50</v>
      </c>
      <c r="G1469">
        <v>2</v>
      </c>
      <c r="H1469">
        <v>4097.33</v>
      </c>
      <c r="I1469">
        <v>0.19</v>
      </c>
      <c r="J1469">
        <v>6637.67</v>
      </c>
      <c r="K1469" t="s">
        <v>46</v>
      </c>
      <c r="L1469" t="s">
        <v>34</v>
      </c>
      <c r="M1469" t="s">
        <v>21</v>
      </c>
      <c r="N1469" t="s">
        <v>22</v>
      </c>
    </row>
    <row r="1470" spans="1:14" x14ac:dyDescent="0.3">
      <c r="A1470" t="s">
        <v>1531</v>
      </c>
      <c r="B1470" s="1">
        <v>45682</v>
      </c>
      <c r="C1470" t="s">
        <v>24</v>
      </c>
      <c r="D1470" t="s">
        <v>43</v>
      </c>
      <c r="E1470" t="s">
        <v>27</v>
      </c>
      <c r="F1470" t="s">
        <v>68</v>
      </c>
      <c r="G1470">
        <v>4</v>
      </c>
      <c r="H1470">
        <v>556.76</v>
      </c>
      <c r="I1470">
        <v>0.22</v>
      </c>
      <c r="J1470">
        <v>1737.09</v>
      </c>
      <c r="K1470" t="s">
        <v>19</v>
      </c>
      <c r="L1470" t="s">
        <v>34</v>
      </c>
      <c r="M1470" t="s">
        <v>30</v>
      </c>
      <c r="N1470" t="s">
        <v>22</v>
      </c>
    </row>
    <row r="1471" spans="1:14" x14ac:dyDescent="0.3">
      <c r="A1471" t="s">
        <v>1532</v>
      </c>
      <c r="B1471" s="1">
        <v>45785</v>
      </c>
      <c r="C1471" t="s">
        <v>36</v>
      </c>
      <c r="D1471" t="s">
        <v>16</v>
      </c>
      <c r="E1471" t="s">
        <v>61</v>
      </c>
      <c r="F1471" t="s">
        <v>75</v>
      </c>
      <c r="G1471">
        <v>3</v>
      </c>
      <c r="H1471">
        <v>4545.8</v>
      </c>
      <c r="I1471">
        <v>0.18</v>
      </c>
      <c r="J1471">
        <v>11182.67</v>
      </c>
      <c r="K1471" t="s">
        <v>33</v>
      </c>
      <c r="L1471" t="s">
        <v>34</v>
      </c>
      <c r="M1471" t="s">
        <v>30</v>
      </c>
      <c r="N1471" t="s">
        <v>88</v>
      </c>
    </row>
    <row r="1472" spans="1:14" x14ac:dyDescent="0.3">
      <c r="A1472" t="s">
        <v>1533</v>
      </c>
      <c r="B1472" s="1">
        <v>45821</v>
      </c>
      <c r="C1472" t="s">
        <v>36</v>
      </c>
      <c r="D1472" t="s">
        <v>43</v>
      </c>
      <c r="E1472" t="s">
        <v>99</v>
      </c>
      <c r="F1472" t="s">
        <v>111</v>
      </c>
      <c r="G1472">
        <v>1</v>
      </c>
      <c r="H1472">
        <v>612.53</v>
      </c>
      <c r="I1472">
        <v>0.19</v>
      </c>
      <c r="J1472">
        <v>496.15</v>
      </c>
      <c r="K1472" t="s">
        <v>46</v>
      </c>
      <c r="L1472" t="s">
        <v>34</v>
      </c>
      <c r="M1472" t="s">
        <v>21</v>
      </c>
      <c r="N1472" t="s">
        <v>22</v>
      </c>
    </row>
    <row r="1473" spans="1:14" x14ac:dyDescent="0.3">
      <c r="A1473" t="s">
        <v>1534</v>
      </c>
      <c r="B1473" s="1">
        <v>45689</v>
      </c>
      <c r="C1473" t="s">
        <v>36</v>
      </c>
      <c r="D1473" t="s">
        <v>16</v>
      </c>
      <c r="E1473" t="s">
        <v>99</v>
      </c>
      <c r="F1473" t="s">
        <v>111</v>
      </c>
      <c r="G1473">
        <v>5</v>
      </c>
      <c r="H1473">
        <v>3101.07</v>
      </c>
      <c r="I1473">
        <v>0.15</v>
      </c>
      <c r="J1473">
        <v>13179.55</v>
      </c>
      <c r="K1473" t="s">
        <v>41</v>
      </c>
      <c r="L1473" t="s">
        <v>29</v>
      </c>
      <c r="M1473" t="s">
        <v>30</v>
      </c>
      <c r="N1473" t="s">
        <v>22</v>
      </c>
    </row>
    <row r="1474" spans="1:14" x14ac:dyDescent="0.3">
      <c r="A1474" t="s">
        <v>1535</v>
      </c>
      <c r="B1474" s="1">
        <v>45756</v>
      </c>
      <c r="C1474" t="s">
        <v>36</v>
      </c>
      <c r="D1474" t="s">
        <v>16</v>
      </c>
      <c r="E1474" t="s">
        <v>27</v>
      </c>
      <c r="F1474" t="s">
        <v>28</v>
      </c>
      <c r="G1474">
        <v>3</v>
      </c>
      <c r="H1474">
        <v>1729.77</v>
      </c>
      <c r="I1474">
        <v>0.1</v>
      </c>
      <c r="J1474">
        <v>4670.38</v>
      </c>
      <c r="K1474" t="s">
        <v>41</v>
      </c>
      <c r="L1474" t="s">
        <v>20</v>
      </c>
      <c r="M1474" t="s">
        <v>21</v>
      </c>
      <c r="N1474" t="s">
        <v>22</v>
      </c>
    </row>
    <row r="1475" spans="1:14" x14ac:dyDescent="0.3">
      <c r="A1475" t="s">
        <v>1536</v>
      </c>
      <c r="B1475" s="1">
        <v>45841</v>
      </c>
      <c r="C1475" t="s">
        <v>36</v>
      </c>
      <c r="D1475" t="s">
        <v>39</v>
      </c>
      <c r="E1475" t="s">
        <v>49</v>
      </c>
      <c r="F1475" t="s">
        <v>50</v>
      </c>
      <c r="G1475">
        <v>3</v>
      </c>
      <c r="H1475">
        <v>4190.53</v>
      </c>
      <c r="I1475">
        <v>0.06</v>
      </c>
      <c r="J1475">
        <v>11817.29</v>
      </c>
      <c r="K1475" t="s">
        <v>33</v>
      </c>
      <c r="L1475" t="s">
        <v>20</v>
      </c>
      <c r="M1475" t="s">
        <v>30</v>
      </c>
      <c r="N1475" t="s">
        <v>37</v>
      </c>
    </row>
    <row r="1476" spans="1:14" x14ac:dyDescent="0.3">
      <c r="A1476" t="s">
        <v>1537</v>
      </c>
      <c r="B1476" s="1">
        <v>45799</v>
      </c>
      <c r="C1476" t="s">
        <v>36</v>
      </c>
      <c r="D1476" t="s">
        <v>25</v>
      </c>
      <c r="E1476" t="s">
        <v>17</v>
      </c>
      <c r="F1476" t="s">
        <v>44</v>
      </c>
      <c r="G1476">
        <v>3</v>
      </c>
      <c r="H1476">
        <v>121</v>
      </c>
      <c r="I1476">
        <v>0.06</v>
      </c>
      <c r="J1476">
        <v>341.22</v>
      </c>
      <c r="K1476" t="s">
        <v>46</v>
      </c>
      <c r="L1476" t="s">
        <v>34</v>
      </c>
      <c r="M1476" t="s">
        <v>54</v>
      </c>
      <c r="N1476" t="s">
        <v>22</v>
      </c>
    </row>
    <row r="1477" spans="1:14" x14ac:dyDescent="0.3">
      <c r="A1477" t="s">
        <v>1538</v>
      </c>
      <c r="B1477" s="1">
        <v>45716</v>
      </c>
      <c r="C1477" t="s">
        <v>24</v>
      </c>
      <c r="D1477" t="s">
        <v>16</v>
      </c>
      <c r="E1477" t="s">
        <v>17</v>
      </c>
      <c r="F1477" t="s">
        <v>40</v>
      </c>
      <c r="G1477">
        <v>5</v>
      </c>
      <c r="H1477">
        <v>4090.68</v>
      </c>
      <c r="I1477">
        <v>0.14000000000000001</v>
      </c>
      <c r="J1477">
        <v>17589.919999999998</v>
      </c>
      <c r="K1477" t="s">
        <v>58</v>
      </c>
      <c r="L1477" t="s">
        <v>34</v>
      </c>
      <c r="M1477" t="s">
        <v>30</v>
      </c>
      <c r="N1477" t="s">
        <v>22</v>
      </c>
    </row>
    <row r="1478" spans="1:14" x14ac:dyDescent="0.3">
      <c r="A1478" t="s">
        <v>1539</v>
      </c>
      <c r="B1478" s="1">
        <v>45758</v>
      </c>
      <c r="C1478" t="s">
        <v>48</v>
      </c>
      <c r="D1478" t="s">
        <v>43</v>
      </c>
      <c r="E1478" t="s">
        <v>99</v>
      </c>
      <c r="F1478" t="s">
        <v>120</v>
      </c>
      <c r="G1478">
        <v>5</v>
      </c>
      <c r="H1478">
        <v>3340.31</v>
      </c>
      <c r="I1478">
        <v>7.0000000000000007E-2</v>
      </c>
      <c r="J1478">
        <v>15532.44</v>
      </c>
      <c r="K1478" t="s">
        <v>33</v>
      </c>
      <c r="L1478" t="s">
        <v>20</v>
      </c>
      <c r="M1478" t="s">
        <v>54</v>
      </c>
      <c r="N1478" t="s">
        <v>37</v>
      </c>
    </row>
    <row r="1479" spans="1:14" x14ac:dyDescent="0.3">
      <c r="A1479" t="s">
        <v>1540</v>
      </c>
      <c r="B1479" s="1">
        <v>45796</v>
      </c>
      <c r="C1479" t="s">
        <v>52</v>
      </c>
      <c r="D1479" t="s">
        <v>43</v>
      </c>
      <c r="E1479" t="s">
        <v>49</v>
      </c>
      <c r="F1479" t="s">
        <v>53</v>
      </c>
      <c r="G1479">
        <v>2</v>
      </c>
      <c r="H1479">
        <v>169.64</v>
      </c>
      <c r="I1479">
        <v>0.11</v>
      </c>
      <c r="J1479">
        <v>301.95999999999998</v>
      </c>
      <c r="K1479" t="s">
        <v>33</v>
      </c>
      <c r="L1479" t="s">
        <v>29</v>
      </c>
      <c r="M1479" t="s">
        <v>30</v>
      </c>
      <c r="N1479" t="s">
        <v>37</v>
      </c>
    </row>
    <row r="1480" spans="1:14" x14ac:dyDescent="0.3">
      <c r="A1480" t="s">
        <v>1541</v>
      </c>
      <c r="B1480" s="1">
        <v>45713</v>
      </c>
      <c r="C1480" t="s">
        <v>52</v>
      </c>
      <c r="D1480" t="s">
        <v>43</v>
      </c>
      <c r="E1480" t="s">
        <v>17</v>
      </c>
      <c r="F1480" t="s">
        <v>18</v>
      </c>
      <c r="G1480">
        <v>3</v>
      </c>
      <c r="H1480">
        <v>3391.87</v>
      </c>
      <c r="I1480">
        <v>0.1</v>
      </c>
      <c r="J1480">
        <v>9158.0499999999993</v>
      </c>
      <c r="K1480" t="s">
        <v>46</v>
      </c>
      <c r="L1480" t="s">
        <v>20</v>
      </c>
      <c r="M1480" t="s">
        <v>30</v>
      </c>
      <c r="N1480" t="s">
        <v>22</v>
      </c>
    </row>
    <row r="1481" spans="1:14" x14ac:dyDescent="0.3">
      <c r="A1481" t="s">
        <v>1542</v>
      </c>
      <c r="B1481" s="1">
        <v>45740</v>
      </c>
      <c r="C1481" t="s">
        <v>15</v>
      </c>
      <c r="D1481" t="s">
        <v>16</v>
      </c>
      <c r="E1481" t="s">
        <v>99</v>
      </c>
      <c r="F1481" t="s">
        <v>120</v>
      </c>
      <c r="G1481">
        <v>5</v>
      </c>
      <c r="H1481">
        <v>3231.21</v>
      </c>
      <c r="I1481">
        <v>0.02</v>
      </c>
      <c r="J1481">
        <v>15832.93</v>
      </c>
      <c r="K1481" t="s">
        <v>46</v>
      </c>
      <c r="L1481" t="s">
        <v>29</v>
      </c>
      <c r="M1481" t="s">
        <v>54</v>
      </c>
      <c r="N1481" t="s">
        <v>37</v>
      </c>
    </row>
    <row r="1482" spans="1:14" x14ac:dyDescent="0.3">
      <c r="A1482" t="s">
        <v>1543</v>
      </c>
      <c r="B1482" s="1">
        <v>45822</v>
      </c>
      <c r="C1482" t="s">
        <v>24</v>
      </c>
      <c r="D1482" t="s">
        <v>25</v>
      </c>
      <c r="E1482" t="s">
        <v>17</v>
      </c>
      <c r="F1482" t="s">
        <v>44</v>
      </c>
      <c r="G1482">
        <v>1</v>
      </c>
      <c r="H1482">
        <v>3848.01</v>
      </c>
      <c r="I1482">
        <v>0.08</v>
      </c>
      <c r="J1482">
        <v>3540.17</v>
      </c>
      <c r="K1482" t="s">
        <v>46</v>
      </c>
      <c r="L1482" t="s">
        <v>20</v>
      </c>
      <c r="M1482" t="s">
        <v>21</v>
      </c>
      <c r="N1482" t="s">
        <v>22</v>
      </c>
    </row>
    <row r="1483" spans="1:14" x14ac:dyDescent="0.3">
      <c r="A1483" t="s">
        <v>1544</v>
      </c>
      <c r="B1483" s="1">
        <v>45753</v>
      </c>
      <c r="C1483" t="s">
        <v>24</v>
      </c>
      <c r="D1483" t="s">
        <v>39</v>
      </c>
      <c r="E1483" t="s">
        <v>49</v>
      </c>
      <c r="F1483" t="s">
        <v>53</v>
      </c>
      <c r="G1483">
        <v>3</v>
      </c>
      <c r="H1483">
        <v>964.35</v>
      </c>
      <c r="I1483">
        <v>0.2</v>
      </c>
      <c r="J1483">
        <v>2314.44</v>
      </c>
      <c r="K1483" t="s">
        <v>46</v>
      </c>
      <c r="L1483" t="s">
        <v>20</v>
      </c>
      <c r="M1483" t="s">
        <v>21</v>
      </c>
      <c r="N1483" t="s">
        <v>22</v>
      </c>
    </row>
    <row r="1484" spans="1:14" x14ac:dyDescent="0.3">
      <c r="A1484" t="s">
        <v>1545</v>
      </c>
      <c r="B1484" s="1">
        <v>45751</v>
      </c>
      <c r="C1484" t="s">
        <v>24</v>
      </c>
      <c r="D1484" t="s">
        <v>43</v>
      </c>
      <c r="E1484" t="s">
        <v>27</v>
      </c>
      <c r="F1484" t="s">
        <v>79</v>
      </c>
      <c r="G1484">
        <v>3</v>
      </c>
      <c r="H1484">
        <v>885.67</v>
      </c>
      <c r="I1484">
        <v>0.2</v>
      </c>
      <c r="J1484">
        <v>2125.61</v>
      </c>
      <c r="K1484" t="s">
        <v>19</v>
      </c>
      <c r="L1484" t="s">
        <v>20</v>
      </c>
      <c r="M1484" t="s">
        <v>21</v>
      </c>
      <c r="N1484" t="s">
        <v>22</v>
      </c>
    </row>
    <row r="1485" spans="1:14" x14ac:dyDescent="0.3">
      <c r="A1485" t="s">
        <v>1546</v>
      </c>
      <c r="B1485" s="1">
        <v>45707</v>
      </c>
      <c r="C1485" t="s">
        <v>15</v>
      </c>
      <c r="D1485" t="s">
        <v>43</v>
      </c>
      <c r="E1485" t="s">
        <v>99</v>
      </c>
      <c r="F1485" t="s">
        <v>120</v>
      </c>
      <c r="G1485">
        <v>1</v>
      </c>
      <c r="H1485">
        <v>4055.65</v>
      </c>
      <c r="I1485">
        <v>0.19</v>
      </c>
      <c r="J1485">
        <v>3285.08</v>
      </c>
      <c r="K1485" t="s">
        <v>41</v>
      </c>
      <c r="L1485" t="s">
        <v>34</v>
      </c>
      <c r="M1485" t="s">
        <v>30</v>
      </c>
      <c r="N1485" t="s">
        <v>22</v>
      </c>
    </row>
    <row r="1486" spans="1:14" x14ac:dyDescent="0.3">
      <c r="A1486" t="s">
        <v>1547</v>
      </c>
      <c r="B1486" s="1">
        <v>45748</v>
      </c>
      <c r="C1486" t="s">
        <v>36</v>
      </c>
      <c r="D1486" t="s">
        <v>25</v>
      </c>
      <c r="E1486" t="s">
        <v>27</v>
      </c>
      <c r="F1486" t="s">
        <v>87</v>
      </c>
      <c r="G1486">
        <v>2</v>
      </c>
      <c r="H1486">
        <v>4189.1000000000004</v>
      </c>
      <c r="I1486">
        <v>0.23</v>
      </c>
      <c r="J1486">
        <v>6451.21</v>
      </c>
      <c r="K1486" t="s">
        <v>58</v>
      </c>
      <c r="L1486" t="s">
        <v>29</v>
      </c>
      <c r="M1486" t="s">
        <v>30</v>
      </c>
      <c r="N1486" t="s">
        <v>22</v>
      </c>
    </row>
    <row r="1487" spans="1:14" x14ac:dyDescent="0.3">
      <c r="A1487" t="s">
        <v>1548</v>
      </c>
      <c r="B1487" s="1">
        <v>45767</v>
      </c>
      <c r="C1487" t="s">
        <v>24</v>
      </c>
      <c r="D1487" t="s">
        <v>39</v>
      </c>
      <c r="E1487" t="s">
        <v>99</v>
      </c>
      <c r="F1487" t="s">
        <v>100</v>
      </c>
      <c r="G1487">
        <v>2</v>
      </c>
      <c r="H1487">
        <v>118.24</v>
      </c>
      <c r="I1487">
        <v>0.09</v>
      </c>
      <c r="J1487">
        <v>215.2</v>
      </c>
      <c r="K1487" t="s">
        <v>58</v>
      </c>
      <c r="L1487" t="s">
        <v>34</v>
      </c>
      <c r="M1487" t="s">
        <v>21</v>
      </c>
      <c r="N1487" t="s">
        <v>22</v>
      </c>
    </row>
    <row r="1488" spans="1:14" x14ac:dyDescent="0.3">
      <c r="A1488" t="s">
        <v>1549</v>
      </c>
      <c r="B1488" s="1">
        <v>45688</v>
      </c>
      <c r="C1488" t="s">
        <v>15</v>
      </c>
      <c r="D1488" t="s">
        <v>16</v>
      </c>
      <c r="E1488" t="s">
        <v>49</v>
      </c>
      <c r="F1488" t="s">
        <v>56</v>
      </c>
      <c r="G1488">
        <v>2</v>
      </c>
      <c r="H1488">
        <v>4230.8100000000004</v>
      </c>
      <c r="I1488">
        <v>0.15</v>
      </c>
      <c r="J1488">
        <v>7192.38</v>
      </c>
      <c r="K1488" t="s">
        <v>41</v>
      </c>
      <c r="L1488" t="s">
        <v>20</v>
      </c>
      <c r="M1488" t="s">
        <v>21</v>
      </c>
      <c r="N1488" t="s">
        <v>22</v>
      </c>
    </row>
    <row r="1489" spans="1:14" x14ac:dyDescent="0.3">
      <c r="A1489" t="s">
        <v>1550</v>
      </c>
      <c r="B1489" s="1">
        <v>45734</v>
      </c>
      <c r="C1489" t="s">
        <v>36</v>
      </c>
      <c r="D1489" t="s">
        <v>39</v>
      </c>
      <c r="E1489" t="s">
        <v>49</v>
      </c>
      <c r="F1489" t="s">
        <v>50</v>
      </c>
      <c r="G1489">
        <v>3</v>
      </c>
      <c r="H1489">
        <v>686.79</v>
      </c>
      <c r="I1489">
        <v>0.2</v>
      </c>
      <c r="J1489">
        <v>1648.3</v>
      </c>
      <c r="K1489" t="s">
        <v>33</v>
      </c>
      <c r="L1489" t="s">
        <v>29</v>
      </c>
      <c r="M1489" t="s">
        <v>21</v>
      </c>
      <c r="N1489" t="s">
        <v>22</v>
      </c>
    </row>
    <row r="1490" spans="1:14" x14ac:dyDescent="0.3">
      <c r="A1490" t="s">
        <v>1551</v>
      </c>
      <c r="B1490" s="1">
        <v>45697</v>
      </c>
      <c r="C1490" t="s">
        <v>15</v>
      </c>
      <c r="D1490" t="s">
        <v>39</v>
      </c>
      <c r="E1490" t="s">
        <v>27</v>
      </c>
      <c r="F1490" t="s">
        <v>87</v>
      </c>
      <c r="G1490">
        <v>1</v>
      </c>
      <c r="H1490">
        <v>4701.34</v>
      </c>
      <c r="I1490">
        <v>0.17</v>
      </c>
      <c r="J1490">
        <v>3902.11</v>
      </c>
      <c r="K1490" t="s">
        <v>58</v>
      </c>
      <c r="L1490" t="s">
        <v>20</v>
      </c>
      <c r="M1490" t="s">
        <v>54</v>
      </c>
      <c r="N1490" t="s">
        <v>88</v>
      </c>
    </row>
    <row r="1491" spans="1:14" x14ac:dyDescent="0.3">
      <c r="A1491" t="s">
        <v>1552</v>
      </c>
      <c r="B1491" s="1">
        <v>45839</v>
      </c>
      <c r="C1491" t="s">
        <v>15</v>
      </c>
      <c r="D1491" t="s">
        <v>39</v>
      </c>
      <c r="E1491" t="s">
        <v>61</v>
      </c>
      <c r="F1491" t="s">
        <v>66</v>
      </c>
      <c r="G1491">
        <v>5</v>
      </c>
      <c r="H1491">
        <v>1882.55</v>
      </c>
      <c r="I1491">
        <v>0.12</v>
      </c>
      <c r="J1491">
        <v>8283.2199999999993</v>
      </c>
      <c r="K1491" t="s">
        <v>41</v>
      </c>
      <c r="L1491" t="s">
        <v>20</v>
      </c>
      <c r="M1491" t="s">
        <v>21</v>
      </c>
      <c r="N1491" t="s">
        <v>22</v>
      </c>
    </row>
    <row r="1492" spans="1:14" x14ac:dyDescent="0.3">
      <c r="A1492" t="s">
        <v>1553</v>
      </c>
      <c r="B1492" s="1">
        <v>45776</v>
      </c>
      <c r="C1492" t="s">
        <v>15</v>
      </c>
      <c r="D1492" t="s">
        <v>16</v>
      </c>
      <c r="E1492" t="s">
        <v>17</v>
      </c>
      <c r="F1492" t="s">
        <v>32</v>
      </c>
      <c r="G1492">
        <v>1</v>
      </c>
      <c r="H1492">
        <v>4360.57</v>
      </c>
      <c r="I1492">
        <v>0.23</v>
      </c>
      <c r="J1492">
        <v>3357.64</v>
      </c>
      <c r="K1492" t="s">
        <v>19</v>
      </c>
      <c r="L1492" t="s">
        <v>29</v>
      </c>
      <c r="M1492" t="s">
        <v>21</v>
      </c>
      <c r="N1492" t="s">
        <v>22</v>
      </c>
    </row>
    <row r="1493" spans="1:14" x14ac:dyDescent="0.3">
      <c r="A1493" t="s">
        <v>1554</v>
      </c>
      <c r="B1493" s="1">
        <v>45758</v>
      </c>
      <c r="C1493" t="s">
        <v>15</v>
      </c>
      <c r="D1493" t="s">
        <v>43</v>
      </c>
      <c r="E1493" t="s">
        <v>17</v>
      </c>
      <c r="F1493" t="s">
        <v>32</v>
      </c>
      <c r="G1493">
        <v>2</v>
      </c>
      <c r="H1493">
        <v>2924.42</v>
      </c>
      <c r="I1493">
        <v>0.15</v>
      </c>
      <c r="J1493">
        <v>4971.51</v>
      </c>
      <c r="K1493" t="s">
        <v>46</v>
      </c>
      <c r="L1493" t="s">
        <v>20</v>
      </c>
      <c r="M1493" t="s">
        <v>54</v>
      </c>
      <c r="N1493" t="s">
        <v>22</v>
      </c>
    </row>
    <row r="1494" spans="1:14" x14ac:dyDescent="0.3">
      <c r="A1494" t="s">
        <v>1555</v>
      </c>
      <c r="B1494" s="1">
        <v>45804</v>
      </c>
      <c r="C1494" t="s">
        <v>36</v>
      </c>
      <c r="D1494" t="s">
        <v>16</v>
      </c>
      <c r="E1494" t="s">
        <v>99</v>
      </c>
      <c r="F1494" t="s">
        <v>120</v>
      </c>
      <c r="G1494">
        <v>5</v>
      </c>
      <c r="H1494">
        <v>1556.31</v>
      </c>
      <c r="I1494">
        <v>0.14000000000000001</v>
      </c>
      <c r="J1494">
        <v>6692.13</v>
      </c>
      <c r="K1494" t="s">
        <v>33</v>
      </c>
      <c r="L1494" t="s">
        <v>29</v>
      </c>
      <c r="M1494" t="s">
        <v>30</v>
      </c>
      <c r="N1494" t="s">
        <v>37</v>
      </c>
    </row>
    <row r="1495" spans="1:14" x14ac:dyDescent="0.3">
      <c r="A1495" t="s">
        <v>1556</v>
      </c>
      <c r="B1495" s="1">
        <v>45830</v>
      </c>
      <c r="C1495" t="s">
        <v>48</v>
      </c>
      <c r="D1495" t="s">
        <v>16</v>
      </c>
      <c r="E1495" t="s">
        <v>17</v>
      </c>
      <c r="F1495" t="s">
        <v>32</v>
      </c>
      <c r="G1495">
        <v>3</v>
      </c>
      <c r="H1495">
        <v>1418.34</v>
      </c>
      <c r="I1495">
        <v>0.01</v>
      </c>
      <c r="J1495">
        <v>4212.47</v>
      </c>
      <c r="K1495" t="s">
        <v>58</v>
      </c>
      <c r="L1495" t="s">
        <v>29</v>
      </c>
      <c r="M1495" t="s">
        <v>54</v>
      </c>
      <c r="N1495" t="s">
        <v>37</v>
      </c>
    </row>
    <row r="1496" spans="1:14" x14ac:dyDescent="0.3">
      <c r="A1496" t="s">
        <v>1557</v>
      </c>
      <c r="B1496" s="1">
        <v>45686</v>
      </c>
      <c r="C1496" t="s">
        <v>24</v>
      </c>
      <c r="D1496" t="s">
        <v>39</v>
      </c>
      <c r="E1496" t="s">
        <v>27</v>
      </c>
      <c r="F1496" t="s">
        <v>79</v>
      </c>
      <c r="G1496">
        <v>4</v>
      </c>
      <c r="H1496">
        <v>4066.55</v>
      </c>
      <c r="I1496">
        <v>0.1</v>
      </c>
      <c r="J1496">
        <v>14639.58</v>
      </c>
      <c r="K1496" t="s">
        <v>41</v>
      </c>
      <c r="L1496" t="s">
        <v>20</v>
      </c>
      <c r="M1496" t="s">
        <v>54</v>
      </c>
      <c r="N1496" t="s">
        <v>22</v>
      </c>
    </row>
    <row r="1497" spans="1:14" x14ac:dyDescent="0.3">
      <c r="A1497" t="s">
        <v>1558</v>
      </c>
      <c r="B1497" s="1">
        <v>45827</v>
      </c>
      <c r="C1497" t="s">
        <v>24</v>
      </c>
      <c r="D1497" t="s">
        <v>16</v>
      </c>
      <c r="E1497" t="s">
        <v>27</v>
      </c>
      <c r="F1497" t="s">
        <v>68</v>
      </c>
      <c r="G1497">
        <v>2</v>
      </c>
      <c r="H1497">
        <v>3277.58</v>
      </c>
      <c r="I1497">
        <v>0.14000000000000001</v>
      </c>
      <c r="J1497">
        <v>5637.44</v>
      </c>
      <c r="K1497" t="s">
        <v>46</v>
      </c>
      <c r="L1497" t="s">
        <v>20</v>
      </c>
      <c r="M1497" t="s">
        <v>54</v>
      </c>
      <c r="N1497" t="s">
        <v>22</v>
      </c>
    </row>
    <row r="1498" spans="1:14" x14ac:dyDescent="0.3">
      <c r="A1498" t="s">
        <v>1559</v>
      </c>
      <c r="B1498" s="1">
        <v>45673</v>
      </c>
      <c r="C1498" t="s">
        <v>36</v>
      </c>
      <c r="D1498" t="s">
        <v>43</v>
      </c>
      <c r="E1498" t="s">
        <v>61</v>
      </c>
      <c r="F1498" t="s">
        <v>75</v>
      </c>
      <c r="G1498">
        <v>1</v>
      </c>
      <c r="H1498">
        <v>3438.91</v>
      </c>
      <c r="I1498">
        <v>0.22</v>
      </c>
      <c r="J1498">
        <v>2682.35</v>
      </c>
      <c r="K1498" t="s">
        <v>19</v>
      </c>
      <c r="L1498" t="s">
        <v>34</v>
      </c>
      <c r="M1498" t="s">
        <v>21</v>
      </c>
      <c r="N1498" t="s">
        <v>22</v>
      </c>
    </row>
    <row r="1499" spans="1:14" x14ac:dyDescent="0.3">
      <c r="A1499" t="s">
        <v>1560</v>
      </c>
      <c r="B1499" s="1">
        <v>45713</v>
      </c>
      <c r="C1499" t="s">
        <v>48</v>
      </c>
      <c r="D1499" t="s">
        <v>43</v>
      </c>
      <c r="E1499" t="s">
        <v>61</v>
      </c>
      <c r="F1499" t="s">
        <v>62</v>
      </c>
      <c r="G1499">
        <v>4</v>
      </c>
      <c r="H1499">
        <v>1043.1099999999999</v>
      </c>
      <c r="I1499">
        <v>0.13</v>
      </c>
      <c r="J1499">
        <v>3630.02</v>
      </c>
      <c r="K1499" t="s">
        <v>19</v>
      </c>
      <c r="L1499" t="s">
        <v>29</v>
      </c>
      <c r="M1499" t="s">
        <v>30</v>
      </c>
      <c r="N1499" t="s">
        <v>22</v>
      </c>
    </row>
    <row r="1500" spans="1:14" x14ac:dyDescent="0.3">
      <c r="A1500" t="s">
        <v>1561</v>
      </c>
      <c r="B1500" s="1">
        <v>45810</v>
      </c>
      <c r="C1500" t="s">
        <v>36</v>
      </c>
      <c r="D1500" t="s">
        <v>25</v>
      </c>
      <c r="E1500" t="s">
        <v>27</v>
      </c>
      <c r="F1500" t="s">
        <v>87</v>
      </c>
      <c r="G1500">
        <v>2</v>
      </c>
      <c r="H1500">
        <v>3120.29</v>
      </c>
      <c r="I1500">
        <v>0.22</v>
      </c>
      <c r="J1500">
        <v>4867.6499999999996</v>
      </c>
      <c r="K1500" t="s">
        <v>46</v>
      </c>
      <c r="L1500" t="s">
        <v>34</v>
      </c>
      <c r="M1500" t="s">
        <v>21</v>
      </c>
      <c r="N1500" t="s">
        <v>22</v>
      </c>
    </row>
    <row r="1501" spans="1:14" x14ac:dyDescent="0.3">
      <c r="A1501" t="s">
        <v>1562</v>
      </c>
      <c r="B1501" s="1">
        <v>45813</v>
      </c>
      <c r="C1501" t="s">
        <v>24</v>
      </c>
      <c r="D1501" t="s">
        <v>43</v>
      </c>
      <c r="E1501" t="s">
        <v>27</v>
      </c>
      <c r="F1501" t="s">
        <v>87</v>
      </c>
      <c r="G1501">
        <v>5</v>
      </c>
      <c r="H1501">
        <v>1036.71</v>
      </c>
      <c r="I1501">
        <v>0.06</v>
      </c>
      <c r="J1501">
        <v>4872.54</v>
      </c>
      <c r="K1501" t="s">
        <v>58</v>
      </c>
      <c r="L1501" t="s">
        <v>34</v>
      </c>
      <c r="M1501" t="s">
        <v>54</v>
      </c>
      <c r="N1501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5337A-A6C5-44B4-89FB-133C74B6B45F}">
  <dimension ref="A1:R1501"/>
  <sheetViews>
    <sheetView tabSelected="1" topLeftCell="A1476" workbookViewId="0">
      <selection activeCell="B1476" sqref="B1476"/>
    </sheetView>
  </sheetViews>
  <sheetFormatPr defaultRowHeight="14.4" x14ac:dyDescent="0.3"/>
  <cols>
    <col min="1" max="1" width="9.77734375" customWidth="1"/>
    <col min="2" max="2" width="11.88671875" customWidth="1"/>
    <col min="4" max="4" width="7.88671875" customWidth="1"/>
    <col min="5" max="5" width="10.21875" customWidth="1"/>
    <col min="6" max="6" width="9.33203125" customWidth="1"/>
    <col min="7" max="7" width="7.6640625" customWidth="1"/>
    <col min="8" max="9" width="9" customWidth="1"/>
    <col min="10" max="10" width="10" customWidth="1"/>
    <col min="11" max="11" width="12.21875" customWidth="1"/>
    <col min="12" max="12" width="9.88671875" customWidth="1"/>
    <col min="13" max="13" width="10.88671875" customWidth="1"/>
    <col min="14" max="14" width="8.77734375" customWidth="1"/>
    <col min="15" max="15" width="10" customWidth="1"/>
    <col min="16" max="16" width="10.44140625" customWidth="1"/>
    <col min="17" max="17" width="7.5546875" customWidth="1"/>
    <col min="18" max="18" width="9.441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1563</v>
      </c>
      <c r="P1" t="s">
        <v>1564</v>
      </c>
      <c r="Q1" t="s">
        <v>1565</v>
      </c>
      <c r="R1" t="s">
        <v>1566</v>
      </c>
    </row>
    <row r="2" spans="1:18" x14ac:dyDescent="0.3">
      <c r="A2" t="s">
        <v>14</v>
      </c>
      <c r="B2" s="1">
        <v>45784</v>
      </c>
      <c r="C2" t="s">
        <v>15</v>
      </c>
      <c r="D2" t="s">
        <v>16</v>
      </c>
      <c r="E2" t="s">
        <v>17</v>
      </c>
      <c r="F2" t="s">
        <v>18</v>
      </c>
      <c r="G2">
        <v>2</v>
      </c>
      <c r="H2">
        <v>3708.71</v>
      </c>
      <c r="I2">
        <v>0.17</v>
      </c>
      <c r="J2">
        <v>6156.46</v>
      </c>
      <c r="K2" t="s">
        <v>19</v>
      </c>
      <c r="L2" t="s">
        <v>20</v>
      </c>
      <c r="M2" t="s">
        <v>21</v>
      </c>
      <c r="N2" t="s">
        <v>22</v>
      </c>
      <c r="O2">
        <f>Table1[[#All],[Quantity]]*Table1[[#All],[Unit Price (?)]]</f>
        <v>7417.42</v>
      </c>
      <c r="P2" t="str">
        <f>TEXT(Table1[[#All],[Order Date]],"dddd")</f>
        <v>Wednesday</v>
      </c>
      <c r="Q2" t="str">
        <f>TEXT(Table1[[#All],[Order Date]],"mmm")</f>
        <v>May</v>
      </c>
      <c r="R2" t="str">
        <f>IF(Table1[[#All],[Total Price (?)]]&gt;1000,"High Value","Normal")</f>
        <v>High Value</v>
      </c>
    </row>
    <row r="3" spans="1:18" x14ac:dyDescent="0.3">
      <c r="A3" t="s">
        <v>23</v>
      </c>
      <c r="B3" s="1">
        <v>45681</v>
      </c>
      <c r="C3" t="s">
        <v>24</v>
      </c>
      <c r="D3" t="s">
        <v>25</v>
      </c>
      <c r="E3" t="s">
        <v>17</v>
      </c>
      <c r="F3" t="s">
        <v>18</v>
      </c>
      <c r="G3">
        <v>5</v>
      </c>
      <c r="H3">
        <v>3049.89</v>
      </c>
      <c r="I3">
        <v>0.14000000000000001</v>
      </c>
      <c r="J3">
        <v>13114.53</v>
      </c>
      <c r="K3" t="s">
        <v>19</v>
      </c>
      <c r="L3" t="s">
        <v>20</v>
      </c>
      <c r="M3" t="s">
        <v>21</v>
      </c>
      <c r="N3" t="s">
        <v>22</v>
      </c>
      <c r="O3">
        <f>Table1[[#All],[Quantity]]*Table1[[#All],[Unit Price (?)]]</f>
        <v>15249.449999999999</v>
      </c>
      <c r="P3" t="str">
        <f>TEXT(Table1[[#All],[Order Date]],"dddd")</f>
        <v>Friday</v>
      </c>
      <c r="Q3" t="str">
        <f>TEXT(Table1[[#All],[Order Date]],"mmm")</f>
        <v>Jan</v>
      </c>
      <c r="R3" t="str">
        <f>IF(Table1[[#All],[Total Price (?)]]&gt;1000,"High Value","Normal")</f>
        <v>High Value</v>
      </c>
    </row>
    <row r="4" spans="1:18" x14ac:dyDescent="0.3">
      <c r="A4" t="s">
        <v>26</v>
      </c>
      <c r="B4" s="1">
        <v>45664</v>
      </c>
      <c r="C4" t="s">
        <v>24</v>
      </c>
      <c r="D4" t="s">
        <v>16</v>
      </c>
      <c r="E4" t="s">
        <v>27</v>
      </c>
      <c r="F4" t="s">
        <v>28</v>
      </c>
      <c r="G4">
        <v>4</v>
      </c>
      <c r="H4">
        <v>1767.23</v>
      </c>
      <c r="I4">
        <v>0.04</v>
      </c>
      <c r="J4">
        <v>6786.16</v>
      </c>
      <c r="K4" t="s">
        <v>19</v>
      </c>
      <c r="L4" t="s">
        <v>29</v>
      </c>
      <c r="M4" t="s">
        <v>30</v>
      </c>
      <c r="N4" t="s">
        <v>22</v>
      </c>
      <c r="O4">
        <f>Table1[[#All],[Quantity]]*Table1[[#All],[Unit Price (?)]]</f>
        <v>7068.92</v>
      </c>
      <c r="P4" t="str">
        <f>TEXT(Table1[[#All],[Order Date]],"dddd")</f>
        <v>Tuesday</v>
      </c>
      <c r="Q4" t="str">
        <f>TEXT(Table1[[#All],[Order Date]],"mmm")</f>
        <v>Jan</v>
      </c>
      <c r="R4" t="str">
        <f>IF(Table1[[#All],[Total Price (?)]]&gt;1000,"High Value","Normal")</f>
        <v>High Value</v>
      </c>
    </row>
    <row r="5" spans="1:18" x14ac:dyDescent="0.3">
      <c r="A5" t="s">
        <v>31</v>
      </c>
      <c r="B5" s="1">
        <v>45803</v>
      </c>
      <c r="C5" t="s">
        <v>15</v>
      </c>
      <c r="D5" t="s">
        <v>16</v>
      </c>
      <c r="E5" t="s">
        <v>17</v>
      </c>
      <c r="F5" t="s">
        <v>32</v>
      </c>
      <c r="G5">
        <v>1</v>
      </c>
      <c r="H5">
        <v>3675.69</v>
      </c>
      <c r="I5">
        <v>0.13</v>
      </c>
      <c r="J5">
        <v>3197.85</v>
      </c>
      <c r="K5" t="s">
        <v>33</v>
      </c>
      <c r="L5" t="s">
        <v>34</v>
      </c>
      <c r="M5" t="s">
        <v>30</v>
      </c>
      <c r="N5" t="s">
        <v>22</v>
      </c>
      <c r="O5">
        <f>Table1[[#All],[Quantity]]*Table1[[#All],[Unit Price (?)]]</f>
        <v>3675.69</v>
      </c>
      <c r="P5" t="str">
        <f>TEXT(Table1[[#All],[Order Date]],"dddd")</f>
        <v>Monday</v>
      </c>
      <c r="Q5" t="str">
        <f>TEXT(Table1[[#All],[Order Date]],"mmm")</f>
        <v>May</v>
      </c>
      <c r="R5" t="str">
        <f>IF(Table1[[#All],[Total Price (?)]]&gt;1000,"High Value","Normal")</f>
        <v>High Value</v>
      </c>
    </row>
    <row r="6" spans="1:18" x14ac:dyDescent="0.3">
      <c r="A6" t="s">
        <v>35</v>
      </c>
      <c r="B6" s="1">
        <v>45713</v>
      </c>
      <c r="C6" t="s">
        <v>36</v>
      </c>
      <c r="D6" t="s">
        <v>16</v>
      </c>
      <c r="E6" t="s">
        <v>27</v>
      </c>
      <c r="F6" t="s">
        <v>28</v>
      </c>
      <c r="G6">
        <v>1</v>
      </c>
      <c r="H6">
        <v>324.54000000000002</v>
      </c>
      <c r="I6">
        <v>0.06</v>
      </c>
      <c r="J6">
        <v>305.07</v>
      </c>
      <c r="K6" t="s">
        <v>19</v>
      </c>
      <c r="L6" t="s">
        <v>29</v>
      </c>
      <c r="M6" t="s">
        <v>30</v>
      </c>
      <c r="N6" t="s">
        <v>37</v>
      </c>
      <c r="O6">
        <f>Table1[[#All],[Quantity]]*Table1[[#All],[Unit Price (?)]]</f>
        <v>324.54000000000002</v>
      </c>
      <c r="P6" t="str">
        <f>TEXT(Table1[[#All],[Order Date]],"dddd")</f>
        <v>Tuesday</v>
      </c>
      <c r="Q6" t="str">
        <f>TEXT(Table1[[#All],[Order Date]],"mmm")</f>
        <v>Feb</v>
      </c>
      <c r="R6" t="str">
        <f>IF(Table1[[#All],[Total Price (?)]]&gt;1000,"High Value","Normal")</f>
        <v>Normal</v>
      </c>
    </row>
    <row r="7" spans="1:18" x14ac:dyDescent="0.3">
      <c r="A7" t="s">
        <v>38</v>
      </c>
      <c r="B7" s="1">
        <v>45707</v>
      </c>
      <c r="C7" t="s">
        <v>15</v>
      </c>
      <c r="D7" t="s">
        <v>39</v>
      </c>
      <c r="E7" t="s">
        <v>17</v>
      </c>
      <c r="F7" t="s">
        <v>40</v>
      </c>
      <c r="G7">
        <v>3</v>
      </c>
      <c r="H7">
        <v>897.01</v>
      </c>
      <c r="I7">
        <v>0.09</v>
      </c>
      <c r="J7">
        <v>2448.84</v>
      </c>
      <c r="K7" t="s">
        <v>41</v>
      </c>
      <c r="L7" t="s">
        <v>29</v>
      </c>
      <c r="M7" t="s">
        <v>21</v>
      </c>
      <c r="N7" t="s">
        <v>22</v>
      </c>
      <c r="O7">
        <f>Table1[[#All],[Quantity]]*Table1[[#All],[Unit Price (?)]]</f>
        <v>2691.0299999999997</v>
      </c>
      <c r="P7" t="str">
        <f>TEXT(Table1[[#All],[Order Date]],"dddd")</f>
        <v>Wednesday</v>
      </c>
      <c r="Q7" t="str">
        <f>TEXT(Table1[[#All],[Order Date]],"mmm")</f>
        <v>Feb</v>
      </c>
      <c r="R7" t="str">
        <f>IF(Table1[[#All],[Total Price (?)]]&gt;1000,"High Value","Normal")</f>
        <v>High Value</v>
      </c>
    </row>
    <row r="8" spans="1:18" x14ac:dyDescent="0.3">
      <c r="A8" t="s">
        <v>42</v>
      </c>
      <c r="B8" s="1">
        <v>45703</v>
      </c>
      <c r="C8" t="s">
        <v>36</v>
      </c>
      <c r="D8" t="s">
        <v>43</v>
      </c>
      <c r="E8" t="s">
        <v>17</v>
      </c>
      <c r="F8" t="s">
        <v>44</v>
      </c>
      <c r="G8">
        <v>4</v>
      </c>
      <c r="H8">
        <v>1959.33</v>
      </c>
      <c r="I8">
        <v>0.25</v>
      </c>
      <c r="J8">
        <v>5877.99</v>
      </c>
      <c r="K8" t="s">
        <v>19</v>
      </c>
      <c r="L8" t="s">
        <v>20</v>
      </c>
      <c r="M8" t="s">
        <v>21</v>
      </c>
      <c r="N8" t="s">
        <v>22</v>
      </c>
      <c r="O8">
        <f>Table1[[#All],[Quantity]]*Table1[[#All],[Unit Price (?)]]</f>
        <v>7837.32</v>
      </c>
      <c r="P8" t="str">
        <f>TEXT(Table1[[#All],[Order Date]],"dddd")</f>
        <v>Saturday</v>
      </c>
      <c r="Q8" t="str">
        <f>TEXT(Table1[[#All],[Order Date]],"mmm")</f>
        <v>Feb</v>
      </c>
      <c r="R8" t="str">
        <f>IF(Table1[[#All],[Total Price (?)]]&gt;1000,"High Value","Normal")</f>
        <v>High Value</v>
      </c>
    </row>
    <row r="9" spans="1:18" x14ac:dyDescent="0.3">
      <c r="A9" t="s">
        <v>45</v>
      </c>
      <c r="B9" s="1">
        <v>45687</v>
      </c>
      <c r="C9" t="s">
        <v>24</v>
      </c>
      <c r="D9" t="s">
        <v>39</v>
      </c>
      <c r="E9" t="s">
        <v>17</v>
      </c>
      <c r="F9" t="s">
        <v>44</v>
      </c>
      <c r="G9">
        <v>3</v>
      </c>
      <c r="H9">
        <v>424.32</v>
      </c>
      <c r="I9">
        <v>0.23</v>
      </c>
      <c r="J9">
        <v>980.18</v>
      </c>
      <c r="K9" t="s">
        <v>46</v>
      </c>
      <c r="L9" t="s">
        <v>34</v>
      </c>
      <c r="M9" t="s">
        <v>21</v>
      </c>
      <c r="N9" t="s">
        <v>22</v>
      </c>
      <c r="O9">
        <f>Table1[[#All],[Quantity]]*Table1[[#All],[Unit Price (?)]]</f>
        <v>1272.96</v>
      </c>
      <c r="P9" t="str">
        <f>TEXT(Table1[[#All],[Order Date]],"dddd")</f>
        <v>Thursday</v>
      </c>
      <c r="Q9" t="str">
        <f>TEXT(Table1[[#All],[Order Date]],"mmm")</f>
        <v>Jan</v>
      </c>
      <c r="R9" t="str">
        <f>IF(Table1[[#All],[Total Price (?)]]&gt;1000,"High Value","Normal")</f>
        <v>Normal</v>
      </c>
    </row>
    <row r="10" spans="1:18" x14ac:dyDescent="0.3">
      <c r="A10" t="s">
        <v>47</v>
      </c>
      <c r="B10" s="1">
        <v>45803</v>
      </c>
      <c r="C10" t="s">
        <v>48</v>
      </c>
      <c r="D10" t="s">
        <v>25</v>
      </c>
      <c r="E10" t="s">
        <v>49</v>
      </c>
      <c r="F10" t="s">
        <v>50</v>
      </c>
      <c r="G10">
        <v>2</v>
      </c>
      <c r="H10">
        <v>1308.47</v>
      </c>
      <c r="I10">
        <v>0.14000000000000001</v>
      </c>
      <c r="J10">
        <v>2250.5700000000002</v>
      </c>
      <c r="K10" t="s">
        <v>19</v>
      </c>
      <c r="L10" t="s">
        <v>34</v>
      </c>
      <c r="M10" t="s">
        <v>30</v>
      </c>
      <c r="N10" t="s">
        <v>37</v>
      </c>
      <c r="O10">
        <f>Table1[[#All],[Quantity]]*Table1[[#All],[Unit Price (?)]]</f>
        <v>2616.94</v>
      </c>
      <c r="P10" t="str">
        <f>TEXT(Table1[[#All],[Order Date]],"dddd")</f>
        <v>Monday</v>
      </c>
      <c r="Q10" t="str">
        <f>TEXT(Table1[[#All],[Order Date]],"mmm")</f>
        <v>May</v>
      </c>
      <c r="R10" t="str">
        <f>IF(Table1[[#All],[Total Price (?)]]&gt;1000,"High Value","Normal")</f>
        <v>High Value</v>
      </c>
    </row>
    <row r="11" spans="1:18" x14ac:dyDescent="0.3">
      <c r="A11" t="s">
        <v>51</v>
      </c>
      <c r="B11" s="1">
        <v>45679</v>
      </c>
      <c r="C11" t="s">
        <v>52</v>
      </c>
      <c r="D11" t="s">
        <v>43</v>
      </c>
      <c r="E11" t="s">
        <v>49</v>
      </c>
      <c r="F11" t="s">
        <v>53</v>
      </c>
      <c r="G11">
        <v>4</v>
      </c>
      <c r="H11">
        <v>545.46</v>
      </c>
      <c r="I11">
        <v>0.01</v>
      </c>
      <c r="J11">
        <v>2160.02</v>
      </c>
      <c r="K11" t="s">
        <v>19</v>
      </c>
      <c r="L11" t="s">
        <v>29</v>
      </c>
      <c r="M11" t="s">
        <v>54</v>
      </c>
      <c r="N11" t="s">
        <v>22</v>
      </c>
      <c r="O11">
        <f>Table1[[#All],[Quantity]]*Table1[[#All],[Unit Price (?)]]</f>
        <v>2181.84</v>
      </c>
      <c r="P11" t="str">
        <f>TEXT(Table1[[#All],[Order Date]],"dddd")</f>
        <v>Wednesday</v>
      </c>
      <c r="Q11" t="str">
        <f>TEXT(Table1[[#All],[Order Date]],"mmm")</f>
        <v>Jan</v>
      </c>
      <c r="R11" t="str">
        <f>IF(Table1[[#All],[Total Price (?)]]&gt;1000,"High Value","Normal")</f>
        <v>High Value</v>
      </c>
    </row>
    <row r="12" spans="1:18" x14ac:dyDescent="0.3">
      <c r="A12" t="s">
        <v>55</v>
      </c>
      <c r="B12" s="1">
        <v>45791</v>
      </c>
      <c r="C12" t="s">
        <v>48</v>
      </c>
      <c r="D12" t="s">
        <v>16</v>
      </c>
      <c r="E12" t="s">
        <v>49</v>
      </c>
      <c r="F12" t="s">
        <v>56</v>
      </c>
      <c r="G12">
        <v>4</v>
      </c>
      <c r="H12">
        <v>2692.66</v>
      </c>
      <c r="I12">
        <v>0.24</v>
      </c>
      <c r="J12">
        <v>8185.69</v>
      </c>
      <c r="K12" t="s">
        <v>41</v>
      </c>
      <c r="L12" t="s">
        <v>29</v>
      </c>
      <c r="M12" t="s">
        <v>54</v>
      </c>
      <c r="N12" t="s">
        <v>22</v>
      </c>
      <c r="O12">
        <f>Table1[[#All],[Quantity]]*Table1[[#All],[Unit Price (?)]]</f>
        <v>10770.64</v>
      </c>
      <c r="P12" t="str">
        <f>TEXT(Table1[[#All],[Order Date]],"dddd")</f>
        <v>Wednesday</v>
      </c>
      <c r="Q12" t="str">
        <f>TEXT(Table1[[#All],[Order Date]],"mmm")</f>
        <v>May</v>
      </c>
      <c r="R12" t="str">
        <f>IF(Table1[[#All],[Total Price (?)]]&gt;1000,"High Value","Normal")</f>
        <v>High Value</v>
      </c>
    </row>
    <row r="13" spans="1:18" x14ac:dyDescent="0.3">
      <c r="A13" t="s">
        <v>57</v>
      </c>
      <c r="B13" s="1">
        <v>45803</v>
      </c>
      <c r="C13" t="s">
        <v>15</v>
      </c>
      <c r="D13" t="s">
        <v>39</v>
      </c>
      <c r="E13" t="s">
        <v>27</v>
      </c>
      <c r="F13" t="s">
        <v>28</v>
      </c>
      <c r="G13">
        <v>4</v>
      </c>
      <c r="H13">
        <v>874.97</v>
      </c>
      <c r="I13">
        <v>0</v>
      </c>
      <c r="J13">
        <v>3499.88</v>
      </c>
      <c r="K13" t="s">
        <v>58</v>
      </c>
      <c r="L13" t="s">
        <v>34</v>
      </c>
      <c r="M13" t="s">
        <v>21</v>
      </c>
      <c r="N13" t="s">
        <v>59</v>
      </c>
      <c r="O13">
        <f>Table1[[#All],[Quantity]]*Table1[[#All],[Unit Price (?)]]</f>
        <v>3499.88</v>
      </c>
      <c r="P13" t="str">
        <f>TEXT(Table1[[#All],[Order Date]],"dddd")</f>
        <v>Monday</v>
      </c>
      <c r="Q13" t="str">
        <f>TEXT(Table1[[#All],[Order Date]],"mmm")</f>
        <v>May</v>
      </c>
      <c r="R13" t="str">
        <f>IF(Table1[[#All],[Total Price (?)]]&gt;1000,"High Value","Normal")</f>
        <v>High Value</v>
      </c>
    </row>
    <row r="14" spans="1:18" x14ac:dyDescent="0.3">
      <c r="A14" t="s">
        <v>60</v>
      </c>
      <c r="B14" s="1">
        <v>45833</v>
      </c>
      <c r="C14" t="s">
        <v>15</v>
      </c>
      <c r="D14" t="s">
        <v>16</v>
      </c>
      <c r="E14" t="s">
        <v>61</v>
      </c>
      <c r="F14" t="s">
        <v>62</v>
      </c>
      <c r="G14">
        <v>2</v>
      </c>
      <c r="H14">
        <v>848.91</v>
      </c>
      <c r="I14">
        <v>0.19</v>
      </c>
      <c r="J14">
        <v>1375.23</v>
      </c>
      <c r="K14" t="s">
        <v>33</v>
      </c>
      <c r="L14" t="s">
        <v>29</v>
      </c>
      <c r="M14" t="s">
        <v>21</v>
      </c>
      <c r="N14" t="s">
        <v>22</v>
      </c>
      <c r="O14">
        <f>Table1[[#All],[Quantity]]*Table1[[#All],[Unit Price (?)]]</f>
        <v>1697.82</v>
      </c>
      <c r="P14" t="str">
        <f>TEXT(Table1[[#All],[Order Date]],"dddd")</f>
        <v>Wednesday</v>
      </c>
      <c r="Q14" t="str">
        <f>TEXT(Table1[[#All],[Order Date]],"mmm")</f>
        <v>Jun</v>
      </c>
      <c r="R14" t="str">
        <f>IF(Table1[[#All],[Total Price (?)]]&gt;1000,"High Value","Normal")</f>
        <v>High Value</v>
      </c>
    </row>
    <row r="15" spans="1:18" x14ac:dyDescent="0.3">
      <c r="A15" t="s">
        <v>63</v>
      </c>
      <c r="B15" s="1">
        <v>45765</v>
      </c>
      <c r="C15" t="s">
        <v>24</v>
      </c>
      <c r="D15" t="s">
        <v>16</v>
      </c>
      <c r="E15" t="s">
        <v>49</v>
      </c>
      <c r="F15" t="s">
        <v>56</v>
      </c>
      <c r="G15">
        <v>2</v>
      </c>
      <c r="H15">
        <v>383.83</v>
      </c>
      <c r="I15">
        <v>0.22</v>
      </c>
      <c r="J15">
        <v>598.77</v>
      </c>
      <c r="K15" t="s">
        <v>46</v>
      </c>
      <c r="L15" t="s">
        <v>34</v>
      </c>
      <c r="M15" t="s">
        <v>54</v>
      </c>
      <c r="N15" t="s">
        <v>22</v>
      </c>
      <c r="O15">
        <f>Table1[[#All],[Quantity]]*Table1[[#All],[Unit Price (?)]]</f>
        <v>767.66</v>
      </c>
      <c r="P15" t="str">
        <f>TEXT(Table1[[#All],[Order Date]],"dddd")</f>
        <v>Friday</v>
      </c>
      <c r="Q15" t="str">
        <f>TEXT(Table1[[#All],[Order Date]],"mmm")</f>
        <v>Apr</v>
      </c>
      <c r="R15" t="str">
        <f>IF(Table1[[#All],[Total Price (?)]]&gt;1000,"High Value","Normal")</f>
        <v>Normal</v>
      </c>
    </row>
    <row r="16" spans="1:18" x14ac:dyDescent="0.3">
      <c r="A16" t="s">
        <v>64</v>
      </c>
      <c r="B16" s="1">
        <v>45676</v>
      </c>
      <c r="C16" t="s">
        <v>52</v>
      </c>
      <c r="D16" t="s">
        <v>43</v>
      </c>
      <c r="E16" t="s">
        <v>17</v>
      </c>
      <c r="F16" t="s">
        <v>44</v>
      </c>
      <c r="G16">
        <v>2</v>
      </c>
      <c r="H16">
        <v>1398.78</v>
      </c>
      <c r="I16">
        <v>0.22</v>
      </c>
      <c r="J16">
        <v>2182.1</v>
      </c>
      <c r="K16" t="s">
        <v>41</v>
      </c>
      <c r="L16" t="s">
        <v>29</v>
      </c>
      <c r="M16" t="s">
        <v>30</v>
      </c>
      <c r="N16" t="s">
        <v>37</v>
      </c>
      <c r="O16">
        <f>Table1[[#All],[Quantity]]*Table1[[#All],[Unit Price (?)]]</f>
        <v>2797.56</v>
      </c>
      <c r="P16" t="str">
        <f>TEXT(Table1[[#All],[Order Date]],"dddd")</f>
        <v>Sunday</v>
      </c>
      <c r="Q16" t="str">
        <f>TEXT(Table1[[#All],[Order Date]],"mmm")</f>
        <v>Jan</v>
      </c>
      <c r="R16" t="str">
        <f>IF(Table1[[#All],[Total Price (?)]]&gt;1000,"High Value","Normal")</f>
        <v>High Value</v>
      </c>
    </row>
    <row r="17" spans="1:18" x14ac:dyDescent="0.3">
      <c r="A17" t="s">
        <v>65</v>
      </c>
      <c r="B17" s="1">
        <v>45774</v>
      </c>
      <c r="C17" t="s">
        <v>48</v>
      </c>
      <c r="D17" t="s">
        <v>39</v>
      </c>
      <c r="E17" t="s">
        <v>61</v>
      </c>
      <c r="F17" t="s">
        <v>66</v>
      </c>
      <c r="G17">
        <v>5</v>
      </c>
      <c r="H17">
        <v>2312.2800000000002</v>
      </c>
      <c r="I17">
        <v>0.06</v>
      </c>
      <c r="J17">
        <v>10867.72</v>
      </c>
      <c r="K17" t="s">
        <v>46</v>
      </c>
      <c r="L17" t="s">
        <v>34</v>
      </c>
      <c r="M17" t="s">
        <v>54</v>
      </c>
      <c r="N17" t="s">
        <v>22</v>
      </c>
      <c r="O17">
        <f>Table1[[#All],[Quantity]]*Table1[[#All],[Unit Price (?)]]</f>
        <v>11561.400000000001</v>
      </c>
      <c r="P17" t="str">
        <f>TEXT(Table1[[#All],[Order Date]],"dddd")</f>
        <v>Sunday</v>
      </c>
      <c r="Q17" t="str">
        <f>TEXT(Table1[[#All],[Order Date]],"mmm")</f>
        <v>Apr</v>
      </c>
      <c r="R17" t="str">
        <f>IF(Table1[[#All],[Total Price (?)]]&gt;1000,"High Value","Normal")</f>
        <v>High Value</v>
      </c>
    </row>
    <row r="18" spans="1:18" x14ac:dyDescent="0.3">
      <c r="A18" t="s">
        <v>67</v>
      </c>
      <c r="B18" s="1">
        <v>45741</v>
      </c>
      <c r="C18" t="s">
        <v>36</v>
      </c>
      <c r="D18" t="s">
        <v>16</v>
      </c>
      <c r="E18" t="s">
        <v>27</v>
      </c>
      <c r="F18" t="s">
        <v>68</v>
      </c>
      <c r="G18">
        <v>1</v>
      </c>
      <c r="H18">
        <v>3568.42</v>
      </c>
      <c r="I18">
        <v>0.01</v>
      </c>
      <c r="J18">
        <v>3532.74</v>
      </c>
      <c r="K18" t="s">
        <v>19</v>
      </c>
      <c r="L18" t="s">
        <v>20</v>
      </c>
      <c r="M18" t="s">
        <v>54</v>
      </c>
      <c r="N18" t="s">
        <v>37</v>
      </c>
      <c r="O18">
        <f>Table1[[#All],[Quantity]]*Table1[[#All],[Unit Price (?)]]</f>
        <v>3568.42</v>
      </c>
      <c r="P18" t="str">
        <f>TEXT(Table1[[#All],[Order Date]],"dddd")</f>
        <v>Tuesday</v>
      </c>
      <c r="Q18" t="str">
        <f>TEXT(Table1[[#All],[Order Date]],"mmm")</f>
        <v>Mar</v>
      </c>
      <c r="R18" t="str">
        <f>IF(Table1[[#All],[Total Price (?)]]&gt;1000,"High Value","Normal")</f>
        <v>High Value</v>
      </c>
    </row>
    <row r="19" spans="1:18" x14ac:dyDescent="0.3">
      <c r="A19" t="s">
        <v>69</v>
      </c>
      <c r="B19" s="1">
        <v>45666</v>
      </c>
      <c r="C19" t="s">
        <v>15</v>
      </c>
      <c r="D19" t="s">
        <v>25</v>
      </c>
      <c r="E19" t="s">
        <v>17</v>
      </c>
      <c r="F19" t="s">
        <v>44</v>
      </c>
      <c r="G19">
        <v>5</v>
      </c>
      <c r="H19">
        <v>748.33</v>
      </c>
      <c r="I19">
        <v>0.23</v>
      </c>
      <c r="J19">
        <v>2881.07</v>
      </c>
      <c r="K19" t="s">
        <v>41</v>
      </c>
      <c r="L19" t="s">
        <v>20</v>
      </c>
      <c r="M19" t="s">
        <v>21</v>
      </c>
      <c r="N19" t="s">
        <v>22</v>
      </c>
      <c r="O19">
        <f>Table1[[#All],[Quantity]]*Table1[[#All],[Unit Price (?)]]</f>
        <v>3741.65</v>
      </c>
      <c r="P19" t="str">
        <f>TEXT(Table1[[#All],[Order Date]],"dddd")</f>
        <v>Thursday</v>
      </c>
      <c r="Q19" t="str">
        <f>TEXT(Table1[[#All],[Order Date]],"mmm")</f>
        <v>Jan</v>
      </c>
      <c r="R19" t="str">
        <f>IF(Table1[[#All],[Total Price (?)]]&gt;1000,"High Value","Normal")</f>
        <v>High Value</v>
      </c>
    </row>
    <row r="20" spans="1:18" x14ac:dyDescent="0.3">
      <c r="A20" t="s">
        <v>70</v>
      </c>
      <c r="B20" s="1">
        <v>45665</v>
      </c>
      <c r="C20" t="s">
        <v>52</v>
      </c>
      <c r="D20" t="s">
        <v>16</v>
      </c>
      <c r="E20" t="s">
        <v>49</v>
      </c>
      <c r="F20" t="s">
        <v>50</v>
      </c>
      <c r="G20">
        <v>4</v>
      </c>
      <c r="H20">
        <v>1836.06</v>
      </c>
      <c r="I20">
        <v>0.1</v>
      </c>
      <c r="J20">
        <v>6609.82</v>
      </c>
      <c r="K20" t="s">
        <v>58</v>
      </c>
      <c r="L20" t="s">
        <v>20</v>
      </c>
      <c r="M20" t="s">
        <v>21</v>
      </c>
      <c r="N20" t="s">
        <v>22</v>
      </c>
      <c r="O20">
        <f>Table1[[#All],[Quantity]]*Table1[[#All],[Unit Price (?)]]</f>
        <v>7344.24</v>
      </c>
      <c r="P20" t="str">
        <f>TEXT(Table1[[#All],[Order Date]],"dddd")</f>
        <v>Wednesday</v>
      </c>
      <c r="Q20" t="str">
        <f>TEXT(Table1[[#All],[Order Date]],"mmm")</f>
        <v>Jan</v>
      </c>
      <c r="R20" t="str">
        <f>IF(Table1[[#All],[Total Price (?)]]&gt;1000,"High Value","Normal")</f>
        <v>High Value</v>
      </c>
    </row>
    <row r="21" spans="1:18" x14ac:dyDescent="0.3">
      <c r="A21" t="s">
        <v>71</v>
      </c>
      <c r="B21" s="1">
        <v>45678</v>
      </c>
      <c r="C21" t="s">
        <v>48</v>
      </c>
      <c r="D21" t="s">
        <v>25</v>
      </c>
      <c r="E21" t="s">
        <v>17</v>
      </c>
      <c r="F21" t="s">
        <v>18</v>
      </c>
      <c r="G21">
        <v>2</v>
      </c>
      <c r="H21">
        <v>1038.79</v>
      </c>
      <c r="I21">
        <v>0.13</v>
      </c>
      <c r="J21">
        <v>1807.49</v>
      </c>
      <c r="K21" t="s">
        <v>46</v>
      </c>
      <c r="L21" t="s">
        <v>20</v>
      </c>
      <c r="M21" t="s">
        <v>54</v>
      </c>
      <c r="N21" t="s">
        <v>22</v>
      </c>
      <c r="O21">
        <f>Table1[[#All],[Quantity]]*Table1[[#All],[Unit Price (?)]]</f>
        <v>2077.58</v>
      </c>
      <c r="P21" t="str">
        <f>TEXT(Table1[[#All],[Order Date]],"dddd")</f>
        <v>Tuesday</v>
      </c>
      <c r="Q21" t="str">
        <f>TEXT(Table1[[#All],[Order Date]],"mmm")</f>
        <v>Jan</v>
      </c>
      <c r="R21" t="str">
        <f>IF(Table1[[#All],[Total Price (?)]]&gt;1000,"High Value","Normal")</f>
        <v>High Value</v>
      </c>
    </row>
    <row r="22" spans="1:18" x14ac:dyDescent="0.3">
      <c r="A22" t="s">
        <v>72</v>
      </c>
      <c r="B22" s="1">
        <v>45702</v>
      </c>
      <c r="C22" t="s">
        <v>24</v>
      </c>
      <c r="D22" t="s">
        <v>16</v>
      </c>
      <c r="E22" t="s">
        <v>49</v>
      </c>
      <c r="F22" t="s">
        <v>73</v>
      </c>
      <c r="G22">
        <v>1</v>
      </c>
      <c r="H22">
        <v>347.88</v>
      </c>
      <c r="I22">
        <v>0.25</v>
      </c>
      <c r="J22">
        <v>260.91000000000003</v>
      </c>
      <c r="K22" t="s">
        <v>41</v>
      </c>
      <c r="L22" t="s">
        <v>29</v>
      </c>
      <c r="M22" t="s">
        <v>54</v>
      </c>
      <c r="N22" t="s">
        <v>37</v>
      </c>
      <c r="O22">
        <f>Table1[[#All],[Quantity]]*Table1[[#All],[Unit Price (?)]]</f>
        <v>347.88</v>
      </c>
      <c r="P22" t="str">
        <f>TEXT(Table1[[#All],[Order Date]],"dddd")</f>
        <v>Friday</v>
      </c>
      <c r="Q22" t="str">
        <f>TEXT(Table1[[#All],[Order Date]],"mmm")</f>
        <v>Feb</v>
      </c>
      <c r="R22" t="str">
        <f>IF(Table1[[#All],[Total Price (?)]]&gt;1000,"High Value","Normal")</f>
        <v>Normal</v>
      </c>
    </row>
    <row r="23" spans="1:18" x14ac:dyDescent="0.3">
      <c r="A23" t="s">
        <v>74</v>
      </c>
      <c r="B23" s="1">
        <v>45705</v>
      </c>
      <c r="C23" t="s">
        <v>48</v>
      </c>
      <c r="D23" t="s">
        <v>25</v>
      </c>
      <c r="E23" t="s">
        <v>61</v>
      </c>
      <c r="F23" t="s">
        <v>75</v>
      </c>
      <c r="G23">
        <v>2</v>
      </c>
      <c r="H23">
        <v>4336.79</v>
      </c>
      <c r="I23">
        <v>0.23</v>
      </c>
      <c r="J23">
        <v>6678.66</v>
      </c>
      <c r="K23" t="s">
        <v>41</v>
      </c>
      <c r="L23" t="s">
        <v>34</v>
      </c>
      <c r="M23" t="s">
        <v>54</v>
      </c>
      <c r="N23" t="s">
        <v>22</v>
      </c>
      <c r="O23">
        <f>Table1[[#All],[Quantity]]*Table1[[#All],[Unit Price (?)]]</f>
        <v>8673.58</v>
      </c>
      <c r="P23" t="str">
        <f>TEXT(Table1[[#All],[Order Date]],"dddd")</f>
        <v>Monday</v>
      </c>
      <c r="Q23" t="str">
        <f>TEXT(Table1[[#All],[Order Date]],"mmm")</f>
        <v>Feb</v>
      </c>
      <c r="R23" t="str">
        <f>IF(Table1[[#All],[Total Price (?)]]&gt;1000,"High Value","Normal")</f>
        <v>High Value</v>
      </c>
    </row>
    <row r="24" spans="1:18" x14ac:dyDescent="0.3">
      <c r="A24" t="s">
        <v>76</v>
      </c>
      <c r="B24" s="1">
        <v>45758</v>
      </c>
      <c r="C24" t="s">
        <v>48</v>
      </c>
      <c r="D24" t="s">
        <v>39</v>
      </c>
      <c r="E24" t="s">
        <v>49</v>
      </c>
      <c r="F24" t="s">
        <v>53</v>
      </c>
      <c r="G24">
        <v>5</v>
      </c>
      <c r="H24">
        <v>3343.17</v>
      </c>
      <c r="I24">
        <v>0.12</v>
      </c>
      <c r="J24">
        <v>14709.95</v>
      </c>
      <c r="K24" t="s">
        <v>46</v>
      </c>
      <c r="L24" t="s">
        <v>34</v>
      </c>
      <c r="M24" t="s">
        <v>54</v>
      </c>
      <c r="N24" t="s">
        <v>22</v>
      </c>
      <c r="O24">
        <f>Table1[[#All],[Quantity]]*Table1[[#All],[Unit Price (?)]]</f>
        <v>16715.849999999999</v>
      </c>
      <c r="P24" t="str">
        <f>TEXT(Table1[[#All],[Order Date]],"dddd")</f>
        <v>Friday</v>
      </c>
      <c r="Q24" t="str">
        <f>TEXT(Table1[[#All],[Order Date]],"mmm")</f>
        <v>Apr</v>
      </c>
      <c r="R24" t="str">
        <f>IF(Table1[[#All],[Total Price (?)]]&gt;1000,"High Value","Normal")</f>
        <v>High Value</v>
      </c>
    </row>
    <row r="25" spans="1:18" x14ac:dyDescent="0.3">
      <c r="A25" t="s">
        <v>77</v>
      </c>
      <c r="B25" s="1">
        <v>45776</v>
      </c>
      <c r="C25" t="s">
        <v>15</v>
      </c>
      <c r="D25" t="s">
        <v>43</v>
      </c>
      <c r="E25" t="s">
        <v>17</v>
      </c>
      <c r="F25" t="s">
        <v>18</v>
      </c>
      <c r="G25">
        <v>5</v>
      </c>
      <c r="H25">
        <v>2436.2600000000002</v>
      </c>
      <c r="I25">
        <v>0.23</v>
      </c>
      <c r="J25">
        <v>9379.6</v>
      </c>
      <c r="K25" t="s">
        <v>58</v>
      </c>
      <c r="L25" t="s">
        <v>20</v>
      </c>
      <c r="M25" t="s">
        <v>21</v>
      </c>
      <c r="N25" t="s">
        <v>22</v>
      </c>
      <c r="O25">
        <f>Table1[[#All],[Quantity]]*Table1[[#All],[Unit Price (?)]]</f>
        <v>12181.300000000001</v>
      </c>
      <c r="P25" t="str">
        <f>TEXT(Table1[[#All],[Order Date]],"dddd")</f>
        <v>Tuesday</v>
      </c>
      <c r="Q25" t="str">
        <f>TEXT(Table1[[#All],[Order Date]],"mmm")</f>
        <v>Apr</v>
      </c>
      <c r="R25" t="str">
        <f>IF(Table1[[#All],[Total Price (?)]]&gt;1000,"High Value","Normal")</f>
        <v>High Value</v>
      </c>
    </row>
    <row r="26" spans="1:18" x14ac:dyDescent="0.3">
      <c r="A26" t="s">
        <v>78</v>
      </c>
      <c r="B26" s="1">
        <v>45665</v>
      </c>
      <c r="C26" t="s">
        <v>52</v>
      </c>
      <c r="D26" t="s">
        <v>43</v>
      </c>
      <c r="E26" t="s">
        <v>27</v>
      </c>
      <c r="F26" t="s">
        <v>79</v>
      </c>
      <c r="G26">
        <v>1</v>
      </c>
      <c r="H26">
        <v>3408.54</v>
      </c>
      <c r="I26">
        <v>0.06</v>
      </c>
      <c r="J26">
        <v>3204.03</v>
      </c>
      <c r="K26" t="s">
        <v>58</v>
      </c>
      <c r="L26" t="s">
        <v>29</v>
      </c>
      <c r="M26" t="s">
        <v>54</v>
      </c>
      <c r="N26" t="s">
        <v>22</v>
      </c>
      <c r="O26">
        <f>Table1[[#All],[Quantity]]*Table1[[#All],[Unit Price (?)]]</f>
        <v>3408.54</v>
      </c>
      <c r="P26" t="str">
        <f>TEXT(Table1[[#All],[Order Date]],"dddd")</f>
        <v>Wednesday</v>
      </c>
      <c r="Q26" t="str">
        <f>TEXT(Table1[[#All],[Order Date]],"mmm")</f>
        <v>Jan</v>
      </c>
      <c r="R26" t="str">
        <f>IF(Table1[[#All],[Total Price (?)]]&gt;1000,"High Value","Normal")</f>
        <v>High Value</v>
      </c>
    </row>
    <row r="27" spans="1:18" x14ac:dyDescent="0.3">
      <c r="A27" t="s">
        <v>80</v>
      </c>
      <c r="B27" s="1">
        <v>45768</v>
      </c>
      <c r="C27" t="s">
        <v>48</v>
      </c>
      <c r="D27" t="s">
        <v>39</v>
      </c>
      <c r="E27" t="s">
        <v>17</v>
      </c>
      <c r="F27" t="s">
        <v>18</v>
      </c>
      <c r="G27">
        <v>5</v>
      </c>
      <c r="H27">
        <v>1650.21</v>
      </c>
      <c r="I27">
        <v>7.0000000000000007E-2</v>
      </c>
      <c r="J27">
        <v>7673.48</v>
      </c>
      <c r="K27" t="s">
        <v>33</v>
      </c>
      <c r="L27" t="s">
        <v>29</v>
      </c>
      <c r="M27" t="s">
        <v>21</v>
      </c>
      <c r="N27" t="s">
        <v>22</v>
      </c>
      <c r="O27">
        <f>Table1[[#All],[Quantity]]*Table1[[#All],[Unit Price (?)]]</f>
        <v>8251.0499999999993</v>
      </c>
      <c r="P27" t="str">
        <f>TEXT(Table1[[#All],[Order Date]],"dddd")</f>
        <v>Monday</v>
      </c>
      <c r="Q27" t="str">
        <f>TEXT(Table1[[#All],[Order Date]],"mmm")</f>
        <v>Apr</v>
      </c>
      <c r="R27" t="str">
        <f>IF(Table1[[#All],[Total Price (?)]]&gt;1000,"High Value","Normal")</f>
        <v>High Value</v>
      </c>
    </row>
    <row r="28" spans="1:18" x14ac:dyDescent="0.3">
      <c r="A28" t="s">
        <v>81</v>
      </c>
      <c r="B28" s="1">
        <v>45698</v>
      </c>
      <c r="C28" t="s">
        <v>15</v>
      </c>
      <c r="D28" t="s">
        <v>16</v>
      </c>
      <c r="E28" t="s">
        <v>49</v>
      </c>
      <c r="F28" t="s">
        <v>73</v>
      </c>
      <c r="G28">
        <v>1</v>
      </c>
      <c r="H28">
        <v>145.65</v>
      </c>
      <c r="I28">
        <v>0.16</v>
      </c>
      <c r="J28">
        <v>122.35</v>
      </c>
      <c r="K28" t="s">
        <v>41</v>
      </c>
      <c r="L28" t="s">
        <v>34</v>
      </c>
      <c r="M28" t="s">
        <v>21</v>
      </c>
      <c r="N28" t="s">
        <v>22</v>
      </c>
      <c r="O28">
        <f>Table1[[#All],[Quantity]]*Table1[[#All],[Unit Price (?)]]</f>
        <v>145.65</v>
      </c>
      <c r="P28" t="str">
        <f>TEXT(Table1[[#All],[Order Date]],"dddd")</f>
        <v>Monday</v>
      </c>
      <c r="Q28" t="str">
        <f>TEXT(Table1[[#All],[Order Date]],"mmm")</f>
        <v>Feb</v>
      </c>
      <c r="R28" t="str">
        <f>IF(Table1[[#All],[Total Price (?)]]&gt;1000,"High Value","Normal")</f>
        <v>Normal</v>
      </c>
    </row>
    <row r="29" spans="1:18" x14ac:dyDescent="0.3">
      <c r="A29" t="s">
        <v>82</v>
      </c>
      <c r="B29" s="1">
        <v>45799</v>
      </c>
      <c r="C29" t="s">
        <v>52</v>
      </c>
      <c r="D29" t="s">
        <v>39</v>
      </c>
      <c r="E29" t="s">
        <v>61</v>
      </c>
      <c r="F29" t="s">
        <v>66</v>
      </c>
      <c r="G29">
        <v>2</v>
      </c>
      <c r="H29">
        <v>1910.68</v>
      </c>
      <c r="I29">
        <v>0.04</v>
      </c>
      <c r="J29">
        <v>3668.51</v>
      </c>
      <c r="K29" t="s">
        <v>46</v>
      </c>
      <c r="L29" t="s">
        <v>20</v>
      </c>
      <c r="M29" t="s">
        <v>21</v>
      </c>
      <c r="N29" t="s">
        <v>22</v>
      </c>
      <c r="O29">
        <f>Table1[[#All],[Quantity]]*Table1[[#All],[Unit Price (?)]]</f>
        <v>3821.36</v>
      </c>
      <c r="P29" t="str">
        <f>TEXT(Table1[[#All],[Order Date]],"dddd")</f>
        <v>Thursday</v>
      </c>
      <c r="Q29" t="str">
        <f>TEXT(Table1[[#All],[Order Date]],"mmm")</f>
        <v>May</v>
      </c>
      <c r="R29" t="str">
        <f>IF(Table1[[#All],[Total Price (?)]]&gt;1000,"High Value","Normal")</f>
        <v>High Value</v>
      </c>
    </row>
    <row r="30" spans="1:18" x14ac:dyDescent="0.3">
      <c r="A30" t="s">
        <v>83</v>
      </c>
      <c r="B30" s="1">
        <v>45786</v>
      </c>
      <c r="C30" t="s">
        <v>36</v>
      </c>
      <c r="D30" t="s">
        <v>16</v>
      </c>
      <c r="E30" t="s">
        <v>27</v>
      </c>
      <c r="F30" t="s">
        <v>79</v>
      </c>
      <c r="G30">
        <v>1</v>
      </c>
      <c r="H30">
        <v>4700.76</v>
      </c>
      <c r="I30">
        <v>0.03</v>
      </c>
      <c r="J30">
        <v>4559.74</v>
      </c>
      <c r="K30" t="s">
        <v>46</v>
      </c>
      <c r="L30" t="s">
        <v>29</v>
      </c>
      <c r="M30" t="s">
        <v>54</v>
      </c>
      <c r="N30" t="s">
        <v>22</v>
      </c>
      <c r="O30">
        <f>Table1[[#All],[Quantity]]*Table1[[#All],[Unit Price (?)]]</f>
        <v>4700.76</v>
      </c>
      <c r="P30" t="str">
        <f>TEXT(Table1[[#All],[Order Date]],"dddd")</f>
        <v>Friday</v>
      </c>
      <c r="Q30" t="str">
        <f>TEXT(Table1[[#All],[Order Date]],"mmm")</f>
        <v>May</v>
      </c>
      <c r="R30" t="str">
        <f>IF(Table1[[#All],[Total Price (?)]]&gt;1000,"High Value","Normal")</f>
        <v>High Value</v>
      </c>
    </row>
    <row r="31" spans="1:18" x14ac:dyDescent="0.3">
      <c r="A31" t="s">
        <v>84</v>
      </c>
      <c r="B31" s="1">
        <v>45796</v>
      </c>
      <c r="C31" t="s">
        <v>15</v>
      </c>
      <c r="D31" t="s">
        <v>25</v>
      </c>
      <c r="E31" t="s">
        <v>61</v>
      </c>
      <c r="F31" t="s">
        <v>66</v>
      </c>
      <c r="G31">
        <v>3</v>
      </c>
      <c r="H31">
        <v>1097.6300000000001</v>
      </c>
      <c r="I31">
        <v>0.16</v>
      </c>
      <c r="J31">
        <v>2766.03</v>
      </c>
      <c r="K31" t="s">
        <v>33</v>
      </c>
      <c r="L31" t="s">
        <v>20</v>
      </c>
      <c r="M31" t="s">
        <v>30</v>
      </c>
      <c r="N31" t="s">
        <v>22</v>
      </c>
      <c r="O31">
        <f>Table1[[#All],[Quantity]]*Table1[[#All],[Unit Price (?)]]</f>
        <v>3292.8900000000003</v>
      </c>
      <c r="P31" t="str">
        <f>TEXT(Table1[[#All],[Order Date]],"dddd")</f>
        <v>Monday</v>
      </c>
      <c r="Q31" t="str">
        <f>TEXT(Table1[[#All],[Order Date]],"mmm")</f>
        <v>May</v>
      </c>
      <c r="R31" t="str">
        <f>IF(Table1[[#All],[Total Price (?)]]&gt;1000,"High Value","Normal")</f>
        <v>High Value</v>
      </c>
    </row>
    <row r="32" spans="1:18" x14ac:dyDescent="0.3">
      <c r="A32" t="s">
        <v>85</v>
      </c>
      <c r="B32" s="1">
        <v>45765</v>
      </c>
      <c r="C32" t="s">
        <v>48</v>
      </c>
      <c r="D32" t="s">
        <v>43</v>
      </c>
      <c r="E32" t="s">
        <v>17</v>
      </c>
      <c r="F32" t="s">
        <v>18</v>
      </c>
      <c r="G32">
        <v>1</v>
      </c>
      <c r="H32">
        <v>1734.43</v>
      </c>
      <c r="I32">
        <v>0.03</v>
      </c>
      <c r="J32">
        <v>1682.4</v>
      </c>
      <c r="K32" t="s">
        <v>46</v>
      </c>
      <c r="L32" t="s">
        <v>20</v>
      </c>
      <c r="M32" t="s">
        <v>30</v>
      </c>
      <c r="N32" t="s">
        <v>22</v>
      </c>
      <c r="O32">
        <f>Table1[[#All],[Quantity]]*Table1[[#All],[Unit Price (?)]]</f>
        <v>1734.43</v>
      </c>
      <c r="P32" t="str">
        <f>TEXT(Table1[[#All],[Order Date]],"dddd")</f>
        <v>Friday</v>
      </c>
      <c r="Q32" t="str">
        <f>TEXT(Table1[[#All],[Order Date]],"mmm")</f>
        <v>Apr</v>
      </c>
      <c r="R32" t="str">
        <f>IF(Table1[[#All],[Total Price (?)]]&gt;1000,"High Value","Normal")</f>
        <v>High Value</v>
      </c>
    </row>
    <row r="33" spans="1:18" x14ac:dyDescent="0.3">
      <c r="A33" t="s">
        <v>86</v>
      </c>
      <c r="B33" s="1">
        <v>45741</v>
      </c>
      <c r="C33" t="s">
        <v>36</v>
      </c>
      <c r="D33" t="s">
        <v>16</v>
      </c>
      <c r="E33" t="s">
        <v>27</v>
      </c>
      <c r="F33" t="s">
        <v>87</v>
      </c>
      <c r="G33">
        <v>1</v>
      </c>
      <c r="H33">
        <v>4730.75</v>
      </c>
      <c r="I33">
        <v>0.17</v>
      </c>
      <c r="J33">
        <v>3926.52</v>
      </c>
      <c r="K33" t="s">
        <v>58</v>
      </c>
      <c r="L33" t="s">
        <v>20</v>
      </c>
      <c r="M33" t="s">
        <v>54</v>
      </c>
      <c r="N33" t="s">
        <v>88</v>
      </c>
      <c r="O33">
        <f>Table1[[#All],[Quantity]]*Table1[[#All],[Unit Price (?)]]</f>
        <v>4730.75</v>
      </c>
      <c r="P33" t="str">
        <f>TEXT(Table1[[#All],[Order Date]],"dddd")</f>
        <v>Tuesday</v>
      </c>
      <c r="Q33" t="str">
        <f>TEXT(Table1[[#All],[Order Date]],"mmm")</f>
        <v>Mar</v>
      </c>
      <c r="R33" t="str">
        <f>IF(Table1[[#All],[Total Price (?)]]&gt;1000,"High Value","Normal")</f>
        <v>High Value</v>
      </c>
    </row>
    <row r="34" spans="1:18" x14ac:dyDescent="0.3">
      <c r="A34" t="s">
        <v>89</v>
      </c>
      <c r="B34" s="1">
        <v>45702</v>
      </c>
      <c r="C34" t="s">
        <v>48</v>
      </c>
      <c r="D34" t="s">
        <v>39</v>
      </c>
      <c r="E34" t="s">
        <v>27</v>
      </c>
      <c r="F34" t="s">
        <v>68</v>
      </c>
      <c r="G34">
        <v>3</v>
      </c>
      <c r="H34">
        <v>1886.79</v>
      </c>
      <c r="I34">
        <v>0.23</v>
      </c>
      <c r="J34">
        <v>4358.4799999999996</v>
      </c>
      <c r="K34" t="s">
        <v>19</v>
      </c>
      <c r="L34" t="s">
        <v>20</v>
      </c>
      <c r="M34" t="s">
        <v>54</v>
      </c>
      <c r="N34" t="s">
        <v>22</v>
      </c>
      <c r="O34">
        <f>Table1[[#All],[Quantity]]*Table1[[#All],[Unit Price (?)]]</f>
        <v>5660.37</v>
      </c>
      <c r="P34" t="str">
        <f>TEXT(Table1[[#All],[Order Date]],"dddd")</f>
        <v>Friday</v>
      </c>
      <c r="Q34" t="str">
        <f>TEXT(Table1[[#All],[Order Date]],"mmm")</f>
        <v>Feb</v>
      </c>
      <c r="R34" t="str">
        <f>IF(Table1[[#All],[Total Price (?)]]&gt;1000,"High Value","Normal")</f>
        <v>High Value</v>
      </c>
    </row>
    <row r="35" spans="1:18" x14ac:dyDescent="0.3">
      <c r="A35" t="s">
        <v>90</v>
      </c>
      <c r="B35" s="1">
        <v>45747</v>
      </c>
      <c r="C35" t="s">
        <v>15</v>
      </c>
      <c r="D35" t="s">
        <v>43</v>
      </c>
      <c r="E35" t="s">
        <v>61</v>
      </c>
      <c r="F35" t="s">
        <v>62</v>
      </c>
      <c r="G35">
        <v>5</v>
      </c>
      <c r="H35">
        <v>3772.44</v>
      </c>
      <c r="I35">
        <v>0.23</v>
      </c>
      <c r="J35">
        <v>14523.89</v>
      </c>
      <c r="K35" t="s">
        <v>33</v>
      </c>
      <c r="L35" t="s">
        <v>34</v>
      </c>
      <c r="M35" t="s">
        <v>54</v>
      </c>
      <c r="N35" t="s">
        <v>59</v>
      </c>
      <c r="O35">
        <f>Table1[[#All],[Quantity]]*Table1[[#All],[Unit Price (?)]]</f>
        <v>18862.2</v>
      </c>
      <c r="P35" t="str">
        <f>TEXT(Table1[[#All],[Order Date]],"dddd")</f>
        <v>Monday</v>
      </c>
      <c r="Q35" t="str">
        <f>TEXT(Table1[[#All],[Order Date]],"mmm")</f>
        <v>Mar</v>
      </c>
      <c r="R35" t="str">
        <f>IF(Table1[[#All],[Total Price (?)]]&gt;1000,"High Value","Normal")</f>
        <v>High Value</v>
      </c>
    </row>
    <row r="36" spans="1:18" x14ac:dyDescent="0.3">
      <c r="A36" t="s">
        <v>91</v>
      </c>
      <c r="B36" s="1">
        <v>45774</v>
      </c>
      <c r="C36" t="s">
        <v>24</v>
      </c>
      <c r="D36" t="s">
        <v>43</v>
      </c>
      <c r="E36" t="s">
        <v>61</v>
      </c>
      <c r="F36" t="s">
        <v>92</v>
      </c>
      <c r="G36">
        <v>3</v>
      </c>
      <c r="H36">
        <v>3933.69</v>
      </c>
      <c r="I36">
        <v>0.1</v>
      </c>
      <c r="J36">
        <v>10620.96</v>
      </c>
      <c r="K36" t="s">
        <v>19</v>
      </c>
      <c r="L36" t="s">
        <v>29</v>
      </c>
      <c r="M36" t="s">
        <v>21</v>
      </c>
      <c r="N36" t="s">
        <v>22</v>
      </c>
      <c r="O36">
        <f>Table1[[#All],[Quantity]]*Table1[[#All],[Unit Price (?)]]</f>
        <v>11801.07</v>
      </c>
      <c r="P36" t="str">
        <f>TEXT(Table1[[#All],[Order Date]],"dddd")</f>
        <v>Sunday</v>
      </c>
      <c r="Q36" t="str">
        <f>TEXT(Table1[[#All],[Order Date]],"mmm")</f>
        <v>Apr</v>
      </c>
      <c r="R36" t="str">
        <f>IF(Table1[[#All],[Total Price (?)]]&gt;1000,"High Value","Normal")</f>
        <v>High Value</v>
      </c>
    </row>
    <row r="37" spans="1:18" x14ac:dyDescent="0.3">
      <c r="A37" t="s">
        <v>93</v>
      </c>
      <c r="B37" s="1">
        <v>45714</v>
      </c>
      <c r="C37" t="s">
        <v>24</v>
      </c>
      <c r="D37" t="s">
        <v>43</v>
      </c>
      <c r="E37" t="s">
        <v>17</v>
      </c>
      <c r="F37" t="s">
        <v>40</v>
      </c>
      <c r="G37">
        <v>2</v>
      </c>
      <c r="H37">
        <v>4101.2700000000004</v>
      </c>
      <c r="I37">
        <v>0.12</v>
      </c>
      <c r="J37">
        <v>7218.24</v>
      </c>
      <c r="K37" t="s">
        <v>41</v>
      </c>
      <c r="L37" t="s">
        <v>20</v>
      </c>
      <c r="M37" t="s">
        <v>30</v>
      </c>
      <c r="N37" t="s">
        <v>22</v>
      </c>
      <c r="O37">
        <f>Table1[[#All],[Quantity]]*Table1[[#All],[Unit Price (?)]]</f>
        <v>8202.5400000000009</v>
      </c>
      <c r="P37" t="str">
        <f>TEXT(Table1[[#All],[Order Date]],"dddd")</f>
        <v>Wednesday</v>
      </c>
      <c r="Q37" t="str">
        <f>TEXT(Table1[[#All],[Order Date]],"mmm")</f>
        <v>Feb</v>
      </c>
      <c r="R37" t="str">
        <f>IF(Table1[[#All],[Total Price (?)]]&gt;1000,"High Value","Normal")</f>
        <v>High Value</v>
      </c>
    </row>
    <row r="38" spans="1:18" x14ac:dyDescent="0.3">
      <c r="A38" t="s">
        <v>94</v>
      </c>
      <c r="B38" s="1">
        <v>45817</v>
      </c>
      <c r="C38" t="s">
        <v>15</v>
      </c>
      <c r="D38" t="s">
        <v>39</v>
      </c>
      <c r="E38" t="s">
        <v>61</v>
      </c>
      <c r="F38" t="s">
        <v>92</v>
      </c>
      <c r="G38">
        <v>3</v>
      </c>
      <c r="H38">
        <v>1820.62</v>
      </c>
      <c r="I38">
        <v>0.13</v>
      </c>
      <c r="J38">
        <v>4751.82</v>
      </c>
      <c r="K38" t="s">
        <v>46</v>
      </c>
      <c r="L38" t="s">
        <v>20</v>
      </c>
      <c r="M38" t="s">
        <v>21</v>
      </c>
      <c r="N38" t="s">
        <v>37</v>
      </c>
      <c r="O38">
        <f>Table1[[#All],[Quantity]]*Table1[[#All],[Unit Price (?)]]</f>
        <v>5461.86</v>
      </c>
      <c r="P38" t="str">
        <f>TEXT(Table1[[#All],[Order Date]],"dddd")</f>
        <v>Monday</v>
      </c>
      <c r="Q38" t="str">
        <f>TEXT(Table1[[#All],[Order Date]],"mmm")</f>
        <v>Jun</v>
      </c>
      <c r="R38" t="str">
        <f>IF(Table1[[#All],[Total Price (?)]]&gt;1000,"High Value","Normal")</f>
        <v>High Value</v>
      </c>
    </row>
    <row r="39" spans="1:18" x14ac:dyDescent="0.3">
      <c r="A39" t="s">
        <v>95</v>
      </c>
      <c r="B39" s="1">
        <v>45828</v>
      </c>
      <c r="C39" t="s">
        <v>52</v>
      </c>
      <c r="D39" t="s">
        <v>39</v>
      </c>
      <c r="E39" t="s">
        <v>17</v>
      </c>
      <c r="F39" t="s">
        <v>32</v>
      </c>
      <c r="G39">
        <v>1</v>
      </c>
      <c r="H39">
        <v>631.16999999999996</v>
      </c>
      <c r="I39">
        <v>0.11</v>
      </c>
      <c r="J39">
        <v>561.74</v>
      </c>
      <c r="K39" t="s">
        <v>33</v>
      </c>
      <c r="L39" t="s">
        <v>34</v>
      </c>
      <c r="M39" t="s">
        <v>21</v>
      </c>
      <c r="N39" t="s">
        <v>22</v>
      </c>
      <c r="O39">
        <f>Table1[[#All],[Quantity]]*Table1[[#All],[Unit Price (?)]]</f>
        <v>631.16999999999996</v>
      </c>
      <c r="P39" t="str">
        <f>TEXT(Table1[[#All],[Order Date]],"dddd")</f>
        <v>Friday</v>
      </c>
      <c r="Q39" t="str">
        <f>TEXT(Table1[[#All],[Order Date]],"mmm")</f>
        <v>Jun</v>
      </c>
      <c r="R39" t="str">
        <f>IF(Table1[[#All],[Total Price (?)]]&gt;1000,"High Value","Normal")</f>
        <v>Normal</v>
      </c>
    </row>
    <row r="40" spans="1:18" x14ac:dyDescent="0.3">
      <c r="A40" t="s">
        <v>96</v>
      </c>
      <c r="B40" s="1">
        <v>45661</v>
      </c>
      <c r="C40" t="s">
        <v>48</v>
      </c>
      <c r="D40" t="s">
        <v>43</v>
      </c>
      <c r="E40" t="s">
        <v>27</v>
      </c>
      <c r="F40" t="s">
        <v>79</v>
      </c>
      <c r="G40">
        <v>3</v>
      </c>
      <c r="H40">
        <v>317.49</v>
      </c>
      <c r="I40">
        <v>0.11</v>
      </c>
      <c r="J40">
        <v>847.7</v>
      </c>
      <c r="K40" t="s">
        <v>33</v>
      </c>
      <c r="L40" t="s">
        <v>20</v>
      </c>
      <c r="M40" t="s">
        <v>21</v>
      </c>
      <c r="N40" t="s">
        <v>22</v>
      </c>
      <c r="O40">
        <f>Table1[[#All],[Quantity]]*Table1[[#All],[Unit Price (?)]]</f>
        <v>952.47</v>
      </c>
      <c r="P40" t="str">
        <f>TEXT(Table1[[#All],[Order Date]],"dddd")</f>
        <v>Saturday</v>
      </c>
      <c r="Q40" t="str">
        <f>TEXT(Table1[[#All],[Order Date]],"mmm")</f>
        <v>Jan</v>
      </c>
      <c r="R40" t="str">
        <f>IF(Table1[[#All],[Total Price (?)]]&gt;1000,"High Value","Normal")</f>
        <v>Normal</v>
      </c>
    </row>
    <row r="41" spans="1:18" x14ac:dyDescent="0.3">
      <c r="A41" t="s">
        <v>97</v>
      </c>
      <c r="B41" s="1">
        <v>45807</v>
      </c>
      <c r="C41" t="s">
        <v>36</v>
      </c>
      <c r="D41" t="s">
        <v>25</v>
      </c>
      <c r="E41" t="s">
        <v>17</v>
      </c>
      <c r="F41" t="s">
        <v>32</v>
      </c>
      <c r="G41">
        <v>1</v>
      </c>
      <c r="H41">
        <v>3626.8</v>
      </c>
      <c r="I41">
        <v>0.08</v>
      </c>
      <c r="J41">
        <v>3336.66</v>
      </c>
      <c r="K41" t="s">
        <v>46</v>
      </c>
      <c r="L41" t="s">
        <v>29</v>
      </c>
      <c r="M41" t="s">
        <v>30</v>
      </c>
      <c r="N41" t="s">
        <v>22</v>
      </c>
      <c r="O41">
        <f>Table1[[#All],[Quantity]]*Table1[[#All],[Unit Price (?)]]</f>
        <v>3626.8</v>
      </c>
      <c r="P41" t="str">
        <f>TEXT(Table1[[#All],[Order Date]],"dddd")</f>
        <v>Friday</v>
      </c>
      <c r="Q41" t="str">
        <f>TEXT(Table1[[#All],[Order Date]],"mmm")</f>
        <v>May</v>
      </c>
      <c r="R41" t="str">
        <f>IF(Table1[[#All],[Total Price (?)]]&gt;1000,"High Value","Normal")</f>
        <v>High Value</v>
      </c>
    </row>
    <row r="42" spans="1:18" x14ac:dyDescent="0.3">
      <c r="A42" t="s">
        <v>98</v>
      </c>
      <c r="B42" s="1">
        <v>45816</v>
      </c>
      <c r="C42" t="s">
        <v>52</v>
      </c>
      <c r="D42" t="s">
        <v>39</v>
      </c>
      <c r="E42" t="s">
        <v>99</v>
      </c>
      <c r="F42" t="s">
        <v>100</v>
      </c>
      <c r="G42">
        <v>4</v>
      </c>
      <c r="H42">
        <v>3418.86</v>
      </c>
      <c r="I42">
        <v>0.23</v>
      </c>
      <c r="J42">
        <v>10530.09</v>
      </c>
      <c r="K42" t="s">
        <v>41</v>
      </c>
      <c r="L42" t="s">
        <v>29</v>
      </c>
      <c r="M42" t="s">
        <v>21</v>
      </c>
      <c r="N42" t="s">
        <v>22</v>
      </c>
      <c r="O42">
        <f>Table1[[#All],[Quantity]]*Table1[[#All],[Unit Price (?)]]</f>
        <v>13675.44</v>
      </c>
      <c r="P42" t="str">
        <f>TEXT(Table1[[#All],[Order Date]],"dddd")</f>
        <v>Sunday</v>
      </c>
      <c r="Q42" t="str">
        <f>TEXT(Table1[[#All],[Order Date]],"mmm")</f>
        <v>Jun</v>
      </c>
      <c r="R42" t="str">
        <f>IF(Table1[[#All],[Total Price (?)]]&gt;1000,"High Value","Normal")</f>
        <v>High Value</v>
      </c>
    </row>
    <row r="43" spans="1:18" x14ac:dyDescent="0.3">
      <c r="A43" t="s">
        <v>101</v>
      </c>
      <c r="B43" s="1">
        <v>45691</v>
      </c>
      <c r="C43" t="s">
        <v>15</v>
      </c>
      <c r="D43" t="s">
        <v>25</v>
      </c>
      <c r="E43" t="s">
        <v>17</v>
      </c>
      <c r="F43" t="s">
        <v>32</v>
      </c>
      <c r="G43">
        <v>5</v>
      </c>
      <c r="H43">
        <v>3072.64</v>
      </c>
      <c r="I43">
        <v>0.08</v>
      </c>
      <c r="J43">
        <v>14134.14</v>
      </c>
      <c r="K43" t="s">
        <v>19</v>
      </c>
      <c r="L43" t="s">
        <v>34</v>
      </c>
      <c r="M43" t="s">
        <v>30</v>
      </c>
      <c r="N43" t="s">
        <v>22</v>
      </c>
      <c r="O43">
        <f>Table1[[#All],[Quantity]]*Table1[[#All],[Unit Price (?)]]</f>
        <v>15363.199999999999</v>
      </c>
      <c r="P43" t="str">
        <f>TEXT(Table1[[#All],[Order Date]],"dddd")</f>
        <v>Monday</v>
      </c>
      <c r="Q43" t="str">
        <f>TEXT(Table1[[#All],[Order Date]],"mmm")</f>
        <v>Feb</v>
      </c>
      <c r="R43" t="str">
        <f>IF(Table1[[#All],[Total Price (?)]]&gt;1000,"High Value","Normal")</f>
        <v>High Value</v>
      </c>
    </row>
    <row r="44" spans="1:18" x14ac:dyDescent="0.3">
      <c r="A44" t="s">
        <v>102</v>
      </c>
      <c r="B44" s="1">
        <v>45795</v>
      </c>
      <c r="C44" t="s">
        <v>52</v>
      </c>
      <c r="D44" t="s">
        <v>43</v>
      </c>
      <c r="E44" t="s">
        <v>27</v>
      </c>
      <c r="F44" t="s">
        <v>87</v>
      </c>
      <c r="G44">
        <v>5</v>
      </c>
      <c r="H44">
        <v>3352.88</v>
      </c>
      <c r="I44">
        <v>0.15</v>
      </c>
      <c r="J44">
        <v>14249.74</v>
      </c>
      <c r="K44" t="s">
        <v>58</v>
      </c>
      <c r="L44" t="s">
        <v>34</v>
      </c>
      <c r="M44" t="s">
        <v>54</v>
      </c>
      <c r="N44" t="s">
        <v>22</v>
      </c>
      <c r="O44">
        <f>Table1[[#All],[Quantity]]*Table1[[#All],[Unit Price (?)]]</f>
        <v>16764.400000000001</v>
      </c>
      <c r="P44" t="str">
        <f>TEXT(Table1[[#All],[Order Date]],"dddd")</f>
        <v>Sunday</v>
      </c>
      <c r="Q44" t="str">
        <f>TEXT(Table1[[#All],[Order Date]],"mmm")</f>
        <v>May</v>
      </c>
      <c r="R44" t="str">
        <f>IF(Table1[[#All],[Total Price (?)]]&gt;1000,"High Value","Normal")</f>
        <v>High Value</v>
      </c>
    </row>
    <row r="45" spans="1:18" x14ac:dyDescent="0.3">
      <c r="A45" t="s">
        <v>103</v>
      </c>
      <c r="B45" s="1">
        <v>45742</v>
      </c>
      <c r="C45" t="s">
        <v>52</v>
      </c>
      <c r="D45" t="s">
        <v>25</v>
      </c>
      <c r="E45" t="s">
        <v>61</v>
      </c>
      <c r="F45" t="s">
        <v>75</v>
      </c>
      <c r="G45">
        <v>2</v>
      </c>
      <c r="H45">
        <v>4921.29</v>
      </c>
      <c r="I45">
        <v>0.15</v>
      </c>
      <c r="J45">
        <v>8366.19</v>
      </c>
      <c r="K45" t="s">
        <v>58</v>
      </c>
      <c r="L45" t="s">
        <v>20</v>
      </c>
      <c r="M45" t="s">
        <v>54</v>
      </c>
      <c r="N45" t="s">
        <v>22</v>
      </c>
      <c r="O45">
        <f>Table1[[#All],[Quantity]]*Table1[[#All],[Unit Price (?)]]</f>
        <v>9842.58</v>
      </c>
      <c r="P45" t="str">
        <f>TEXT(Table1[[#All],[Order Date]],"dddd")</f>
        <v>Wednesday</v>
      </c>
      <c r="Q45" t="str">
        <f>TEXT(Table1[[#All],[Order Date]],"mmm")</f>
        <v>Mar</v>
      </c>
      <c r="R45" t="str">
        <f>IF(Table1[[#All],[Total Price (?)]]&gt;1000,"High Value","Normal")</f>
        <v>High Value</v>
      </c>
    </row>
    <row r="46" spans="1:18" x14ac:dyDescent="0.3">
      <c r="A46" t="s">
        <v>104</v>
      </c>
      <c r="B46" s="1">
        <v>45726</v>
      </c>
      <c r="C46" t="s">
        <v>48</v>
      </c>
      <c r="D46" t="s">
        <v>25</v>
      </c>
      <c r="E46" t="s">
        <v>27</v>
      </c>
      <c r="F46" t="s">
        <v>68</v>
      </c>
      <c r="G46">
        <v>2</v>
      </c>
      <c r="H46">
        <v>823.1</v>
      </c>
      <c r="I46">
        <v>0.17</v>
      </c>
      <c r="J46">
        <v>1366.35</v>
      </c>
      <c r="K46" t="s">
        <v>41</v>
      </c>
      <c r="L46" t="s">
        <v>34</v>
      </c>
      <c r="M46" t="s">
        <v>54</v>
      </c>
      <c r="N46" t="s">
        <v>22</v>
      </c>
      <c r="O46">
        <f>Table1[[#All],[Quantity]]*Table1[[#All],[Unit Price (?)]]</f>
        <v>1646.2</v>
      </c>
      <c r="P46" t="str">
        <f>TEXT(Table1[[#All],[Order Date]],"dddd")</f>
        <v>Monday</v>
      </c>
      <c r="Q46" t="str">
        <f>TEXT(Table1[[#All],[Order Date]],"mmm")</f>
        <v>Mar</v>
      </c>
      <c r="R46" t="str">
        <f>IF(Table1[[#All],[Total Price (?)]]&gt;1000,"High Value","Normal")</f>
        <v>High Value</v>
      </c>
    </row>
    <row r="47" spans="1:18" x14ac:dyDescent="0.3">
      <c r="A47" t="s">
        <v>105</v>
      </c>
      <c r="B47" s="1">
        <v>45713</v>
      </c>
      <c r="C47" t="s">
        <v>24</v>
      </c>
      <c r="D47" t="s">
        <v>39</v>
      </c>
      <c r="E47" t="s">
        <v>27</v>
      </c>
      <c r="F47" t="s">
        <v>87</v>
      </c>
      <c r="G47">
        <v>1</v>
      </c>
      <c r="H47">
        <v>2336.66</v>
      </c>
      <c r="I47">
        <v>0.2</v>
      </c>
      <c r="J47">
        <v>1869.33</v>
      </c>
      <c r="K47" t="s">
        <v>33</v>
      </c>
      <c r="L47" t="s">
        <v>20</v>
      </c>
      <c r="M47" t="s">
        <v>21</v>
      </c>
      <c r="N47" t="s">
        <v>59</v>
      </c>
      <c r="O47">
        <f>Table1[[#All],[Quantity]]*Table1[[#All],[Unit Price (?)]]</f>
        <v>2336.66</v>
      </c>
      <c r="P47" t="str">
        <f>TEXT(Table1[[#All],[Order Date]],"dddd")</f>
        <v>Tuesday</v>
      </c>
      <c r="Q47" t="str">
        <f>TEXT(Table1[[#All],[Order Date]],"mmm")</f>
        <v>Feb</v>
      </c>
      <c r="R47" t="str">
        <f>IF(Table1[[#All],[Total Price (?)]]&gt;1000,"High Value","Normal")</f>
        <v>High Value</v>
      </c>
    </row>
    <row r="48" spans="1:18" x14ac:dyDescent="0.3">
      <c r="A48" t="s">
        <v>106</v>
      </c>
      <c r="B48" s="1">
        <v>45690</v>
      </c>
      <c r="C48" t="s">
        <v>36</v>
      </c>
      <c r="D48" t="s">
        <v>39</v>
      </c>
      <c r="E48" t="s">
        <v>49</v>
      </c>
      <c r="F48" t="s">
        <v>50</v>
      </c>
      <c r="G48">
        <v>4</v>
      </c>
      <c r="H48">
        <v>2305.34</v>
      </c>
      <c r="I48">
        <v>0.19</v>
      </c>
      <c r="J48">
        <v>7469.3</v>
      </c>
      <c r="K48" t="s">
        <v>41</v>
      </c>
      <c r="L48" t="s">
        <v>20</v>
      </c>
      <c r="M48" t="s">
        <v>21</v>
      </c>
      <c r="N48" t="s">
        <v>88</v>
      </c>
      <c r="O48">
        <f>Table1[[#All],[Quantity]]*Table1[[#All],[Unit Price (?)]]</f>
        <v>9221.36</v>
      </c>
      <c r="P48" t="str">
        <f>TEXT(Table1[[#All],[Order Date]],"dddd")</f>
        <v>Sunday</v>
      </c>
      <c r="Q48" t="str">
        <f>TEXT(Table1[[#All],[Order Date]],"mmm")</f>
        <v>Feb</v>
      </c>
      <c r="R48" t="str">
        <f>IF(Table1[[#All],[Total Price (?)]]&gt;1000,"High Value","Normal")</f>
        <v>High Value</v>
      </c>
    </row>
    <row r="49" spans="1:18" x14ac:dyDescent="0.3">
      <c r="A49" t="s">
        <v>107</v>
      </c>
      <c r="B49" s="1">
        <v>45701</v>
      </c>
      <c r="C49" t="s">
        <v>52</v>
      </c>
      <c r="D49" t="s">
        <v>39</v>
      </c>
      <c r="E49" t="s">
        <v>27</v>
      </c>
      <c r="F49" t="s">
        <v>87</v>
      </c>
      <c r="G49">
        <v>1</v>
      </c>
      <c r="H49">
        <v>3596.37</v>
      </c>
      <c r="I49">
        <v>0.06</v>
      </c>
      <c r="J49">
        <v>3380.59</v>
      </c>
      <c r="K49" t="s">
        <v>46</v>
      </c>
      <c r="L49" t="s">
        <v>34</v>
      </c>
      <c r="M49" t="s">
        <v>30</v>
      </c>
      <c r="N49" t="s">
        <v>37</v>
      </c>
      <c r="O49">
        <f>Table1[[#All],[Quantity]]*Table1[[#All],[Unit Price (?)]]</f>
        <v>3596.37</v>
      </c>
      <c r="P49" t="str">
        <f>TEXT(Table1[[#All],[Order Date]],"dddd")</f>
        <v>Thursday</v>
      </c>
      <c r="Q49" t="str">
        <f>TEXT(Table1[[#All],[Order Date]],"mmm")</f>
        <v>Feb</v>
      </c>
      <c r="R49" t="str">
        <f>IF(Table1[[#All],[Total Price (?)]]&gt;1000,"High Value","Normal")</f>
        <v>High Value</v>
      </c>
    </row>
    <row r="50" spans="1:18" x14ac:dyDescent="0.3">
      <c r="A50" t="s">
        <v>108</v>
      </c>
      <c r="B50" s="1">
        <v>45808</v>
      </c>
      <c r="C50" t="s">
        <v>52</v>
      </c>
      <c r="D50" t="s">
        <v>39</v>
      </c>
      <c r="E50" t="s">
        <v>17</v>
      </c>
      <c r="F50" t="s">
        <v>44</v>
      </c>
      <c r="G50">
        <v>2</v>
      </c>
      <c r="H50">
        <v>3561.45</v>
      </c>
      <c r="I50">
        <v>0.02</v>
      </c>
      <c r="J50">
        <v>6980.44</v>
      </c>
      <c r="K50" t="s">
        <v>19</v>
      </c>
      <c r="L50" t="s">
        <v>34</v>
      </c>
      <c r="M50" t="s">
        <v>30</v>
      </c>
      <c r="N50" t="s">
        <v>22</v>
      </c>
      <c r="O50">
        <f>Table1[[#All],[Quantity]]*Table1[[#All],[Unit Price (?)]]</f>
        <v>7122.9</v>
      </c>
      <c r="P50" t="str">
        <f>TEXT(Table1[[#All],[Order Date]],"dddd")</f>
        <v>Saturday</v>
      </c>
      <c r="Q50" t="str">
        <f>TEXT(Table1[[#All],[Order Date]],"mmm")</f>
        <v>May</v>
      </c>
      <c r="R50" t="str">
        <f>IF(Table1[[#All],[Total Price (?)]]&gt;1000,"High Value","Normal")</f>
        <v>High Value</v>
      </c>
    </row>
    <row r="51" spans="1:18" x14ac:dyDescent="0.3">
      <c r="A51" t="s">
        <v>109</v>
      </c>
      <c r="B51" s="1">
        <v>45725</v>
      </c>
      <c r="C51" t="s">
        <v>52</v>
      </c>
      <c r="D51" t="s">
        <v>25</v>
      </c>
      <c r="E51" t="s">
        <v>49</v>
      </c>
      <c r="F51" t="s">
        <v>56</v>
      </c>
      <c r="G51">
        <v>5</v>
      </c>
      <c r="H51">
        <v>4735.7</v>
      </c>
      <c r="I51">
        <v>0</v>
      </c>
      <c r="J51">
        <v>23678.5</v>
      </c>
      <c r="K51" t="s">
        <v>41</v>
      </c>
      <c r="L51" t="s">
        <v>34</v>
      </c>
      <c r="M51" t="s">
        <v>21</v>
      </c>
      <c r="N51" t="s">
        <v>22</v>
      </c>
      <c r="O51">
        <f>Table1[[#All],[Quantity]]*Table1[[#All],[Unit Price (?)]]</f>
        <v>23678.5</v>
      </c>
      <c r="P51" t="str">
        <f>TEXT(Table1[[#All],[Order Date]],"dddd")</f>
        <v>Sunday</v>
      </c>
      <c r="Q51" t="str">
        <f>TEXT(Table1[[#All],[Order Date]],"mmm")</f>
        <v>Mar</v>
      </c>
      <c r="R51" t="str">
        <f>IF(Table1[[#All],[Total Price (?)]]&gt;1000,"High Value","Normal")</f>
        <v>High Value</v>
      </c>
    </row>
    <row r="52" spans="1:18" x14ac:dyDescent="0.3">
      <c r="A52" t="s">
        <v>110</v>
      </c>
      <c r="B52" s="1">
        <v>45679</v>
      </c>
      <c r="C52" t="s">
        <v>48</v>
      </c>
      <c r="D52" t="s">
        <v>43</v>
      </c>
      <c r="E52" t="s">
        <v>99</v>
      </c>
      <c r="F52" t="s">
        <v>111</v>
      </c>
      <c r="G52">
        <v>5</v>
      </c>
      <c r="H52">
        <v>4019.35</v>
      </c>
      <c r="I52">
        <v>0.22</v>
      </c>
      <c r="J52">
        <v>15675.47</v>
      </c>
      <c r="K52" t="s">
        <v>41</v>
      </c>
      <c r="L52" t="s">
        <v>29</v>
      </c>
      <c r="M52" t="s">
        <v>30</v>
      </c>
      <c r="N52" t="s">
        <v>22</v>
      </c>
      <c r="O52">
        <f>Table1[[#All],[Quantity]]*Table1[[#All],[Unit Price (?)]]</f>
        <v>20096.75</v>
      </c>
      <c r="P52" t="str">
        <f>TEXT(Table1[[#All],[Order Date]],"dddd")</f>
        <v>Wednesday</v>
      </c>
      <c r="Q52" t="str">
        <f>TEXT(Table1[[#All],[Order Date]],"mmm")</f>
        <v>Jan</v>
      </c>
      <c r="R52" t="str">
        <f>IF(Table1[[#All],[Total Price (?)]]&gt;1000,"High Value","Normal")</f>
        <v>High Value</v>
      </c>
    </row>
    <row r="53" spans="1:18" x14ac:dyDescent="0.3">
      <c r="A53" t="s">
        <v>112</v>
      </c>
      <c r="B53" s="1">
        <v>45678</v>
      </c>
      <c r="C53" t="s">
        <v>48</v>
      </c>
      <c r="D53" t="s">
        <v>16</v>
      </c>
      <c r="E53" t="s">
        <v>49</v>
      </c>
      <c r="F53" t="s">
        <v>56</v>
      </c>
      <c r="G53">
        <v>4</v>
      </c>
      <c r="H53">
        <v>3648.49</v>
      </c>
      <c r="I53">
        <v>0.21</v>
      </c>
      <c r="J53">
        <v>11529.23</v>
      </c>
      <c r="K53" t="s">
        <v>46</v>
      </c>
      <c r="L53" t="s">
        <v>29</v>
      </c>
      <c r="M53" t="s">
        <v>54</v>
      </c>
      <c r="N53" t="s">
        <v>37</v>
      </c>
      <c r="O53">
        <f>Table1[[#All],[Quantity]]*Table1[[#All],[Unit Price (?)]]</f>
        <v>14593.96</v>
      </c>
      <c r="P53" t="str">
        <f>TEXT(Table1[[#All],[Order Date]],"dddd")</f>
        <v>Tuesday</v>
      </c>
      <c r="Q53" t="str">
        <f>TEXT(Table1[[#All],[Order Date]],"mmm")</f>
        <v>Jan</v>
      </c>
      <c r="R53" t="str">
        <f>IF(Table1[[#All],[Total Price (?)]]&gt;1000,"High Value","Normal")</f>
        <v>High Value</v>
      </c>
    </row>
    <row r="54" spans="1:18" x14ac:dyDescent="0.3">
      <c r="A54" t="s">
        <v>113</v>
      </c>
      <c r="B54" s="1">
        <v>45733</v>
      </c>
      <c r="C54" t="s">
        <v>24</v>
      </c>
      <c r="D54" t="s">
        <v>43</v>
      </c>
      <c r="E54" t="s">
        <v>27</v>
      </c>
      <c r="F54" t="s">
        <v>79</v>
      </c>
      <c r="G54">
        <v>4</v>
      </c>
      <c r="H54">
        <v>990.47</v>
      </c>
      <c r="I54">
        <v>7.0000000000000007E-2</v>
      </c>
      <c r="J54">
        <v>3684.55</v>
      </c>
      <c r="K54" t="s">
        <v>41</v>
      </c>
      <c r="L54" t="s">
        <v>20</v>
      </c>
      <c r="M54" t="s">
        <v>30</v>
      </c>
      <c r="N54" t="s">
        <v>22</v>
      </c>
      <c r="O54">
        <f>Table1[[#All],[Quantity]]*Table1[[#All],[Unit Price (?)]]</f>
        <v>3961.88</v>
      </c>
      <c r="P54" t="str">
        <f>TEXT(Table1[[#All],[Order Date]],"dddd")</f>
        <v>Monday</v>
      </c>
      <c r="Q54" t="str">
        <f>TEXT(Table1[[#All],[Order Date]],"mmm")</f>
        <v>Mar</v>
      </c>
      <c r="R54" t="str">
        <f>IF(Table1[[#All],[Total Price (?)]]&gt;1000,"High Value","Normal")</f>
        <v>High Value</v>
      </c>
    </row>
    <row r="55" spans="1:18" x14ac:dyDescent="0.3">
      <c r="A55" t="s">
        <v>114</v>
      </c>
      <c r="B55" s="1">
        <v>45678</v>
      </c>
      <c r="C55" t="s">
        <v>15</v>
      </c>
      <c r="D55" t="s">
        <v>39</v>
      </c>
      <c r="E55" t="s">
        <v>99</v>
      </c>
      <c r="F55" t="s">
        <v>115</v>
      </c>
      <c r="G55">
        <v>1</v>
      </c>
      <c r="H55">
        <v>2404.5</v>
      </c>
      <c r="I55">
        <v>0.19</v>
      </c>
      <c r="J55">
        <v>1947.65</v>
      </c>
      <c r="K55" t="s">
        <v>41</v>
      </c>
      <c r="L55" t="s">
        <v>34</v>
      </c>
      <c r="M55" t="s">
        <v>54</v>
      </c>
      <c r="N55" t="s">
        <v>22</v>
      </c>
      <c r="O55">
        <f>Table1[[#All],[Quantity]]*Table1[[#All],[Unit Price (?)]]</f>
        <v>2404.5</v>
      </c>
      <c r="P55" t="str">
        <f>TEXT(Table1[[#All],[Order Date]],"dddd")</f>
        <v>Tuesday</v>
      </c>
      <c r="Q55" t="str">
        <f>TEXT(Table1[[#All],[Order Date]],"mmm")</f>
        <v>Jan</v>
      </c>
      <c r="R55" t="str">
        <f>IF(Table1[[#All],[Total Price (?)]]&gt;1000,"High Value","Normal")</f>
        <v>High Value</v>
      </c>
    </row>
    <row r="56" spans="1:18" x14ac:dyDescent="0.3">
      <c r="A56" t="s">
        <v>116</v>
      </c>
      <c r="B56" s="1">
        <v>45729</v>
      </c>
      <c r="C56" t="s">
        <v>24</v>
      </c>
      <c r="D56" t="s">
        <v>16</v>
      </c>
      <c r="E56" t="s">
        <v>17</v>
      </c>
      <c r="F56" t="s">
        <v>18</v>
      </c>
      <c r="G56">
        <v>1</v>
      </c>
      <c r="H56">
        <v>3144.54</v>
      </c>
      <c r="I56">
        <v>0.06</v>
      </c>
      <c r="J56">
        <v>2955.87</v>
      </c>
      <c r="K56" t="s">
        <v>19</v>
      </c>
      <c r="L56" t="s">
        <v>20</v>
      </c>
      <c r="M56" t="s">
        <v>30</v>
      </c>
      <c r="N56" t="s">
        <v>22</v>
      </c>
      <c r="O56">
        <f>Table1[[#All],[Quantity]]*Table1[[#All],[Unit Price (?)]]</f>
        <v>3144.54</v>
      </c>
      <c r="P56" t="str">
        <f>TEXT(Table1[[#All],[Order Date]],"dddd")</f>
        <v>Thursday</v>
      </c>
      <c r="Q56" t="str">
        <f>TEXT(Table1[[#All],[Order Date]],"mmm")</f>
        <v>Mar</v>
      </c>
      <c r="R56" t="str">
        <f>IF(Table1[[#All],[Total Price (?)]]&gt;1000,"High Value","Normal")</f>
        <v>High Value</v>
      </c>
    </row>
    <row r="57" spans="1:18" x14ac:dyDescent="0.3">
      <c r="A57" t="s">
        <v>117</v>
      </c>
      <c r="B57" s="1">
        <v>45824</v>
      </c>
      <c r="C57" t="s">
        <v>15</v>
      </c>
      <c r="D57" t="s">
        <v>43</v>
      </c>
      <c r="E57" t="s">
        <v>61</v>
      </c>
      <c r="F57" t="s">
        <v>92</v>
      </c>
      <c r="G57">
        <v>5</v>
      </c>
      <c r="H57">
        <v>3075.51</v>
      </c>
      <c r="I57">
        <v>0.19</v>
      </c>
      <c r="J57">
        <v>12455.82</v>
      </c>
      <c r="K57" t="s">
        <v>46</v>
      </c>
      <c r="L57" t="s">
        <v>20</v>
      </c>
      <c r="M57" t="s">
        <v>54</v>
      </c>
      <c r="N57" t="s">
        <v>59</v>
      </c>
      <c r="O57">
        <f>Table1[[#All],[Quantity]]*Table1[[#All],[Unit Price (?)]]</f>
        <v>15377.550000000001</v>
      </c>
      <c r="P57" t="str">
        <f>TEXT(Table1[[#All],[Order Date]],"dddd")</f>
        <v>Monday</v>
      </c>
      <c r="Q57" t="str">
        <f>TEXT(Table1[[#All],[Order Date]],"mmm")</f>
        <v>Jun</v>
      </c>
      <c r="R57" t="str">
        <f>IF(Table1[[#All],[Total Price (?)]]&gt;1000,"High Value","Normal")</f>
        <v>High Value</v>
      </c>
    </row>
    <row r="58" spans="1:18" x14ac:dyDescent="0.3">
      <c r="A58" t="s">
        <v>118</v>
      </c>
      <c r="B58" s="1">
        <v>45726</v>
      </c>
      <c r="C58" t="s">
        <v>15</v>
      </c>
      <c r="D58" t="s">
        <v>43</v>
      </c>
      <c r="E58" t="s">
        <v>17</v>
      </c>
      <c r="F58" t="s">
        <v>18</v>
      </c>
      <c r="G58">
        <v>4</v>
      </c>
      <c r="H58">
        <v>2043.61</v>
      </c>
      <c r="I58">
        <v>0.18</v>
      </c>
      <c r="J58">
        <v>6703.04</v>
      </c>
      <c r="K58" t="s">
        <v>33</v>
      </c>
      <c r="L58" t="s">
        <v>29</v>
      </c>
      <c r="M58" t="s">
        <v>54</v>
      </c>
      <c r="N58" t="s">
        <v>22</v>
      </c>
      <c r="O58">
        <f>Table1[[#All],[Quantity]]*Table1[[#All],[Unit Price (?)]]</f>
        <v>8174.44</v>
      </c>
      <c r="P58" t="str">
        <f>TEXT(Table1[[#All],[Order Date]],"dddd")</f>
        <v>Monday</v>
      </c>
      <c r="Q58" t="str">
        <f>TEXT(Table1[[#All],[Order Date]],"mmm")</f>
        <v>Mar</v>
      </c>
      <c r="R58" t="str">
        <f>IF(Table1[[#All],[Total Price (?)]]&gt;1000,"High Value","Normal")</f>
        <v>High Value</v>
      </c>
    </row>
    <row r="59" spans="1:18" x14ac:dyDescent="0.3">
      <c r="A59" t="s">
        <v>119</v>
      </c>
      <c r="B59" s="1">
        <v>45777</v>
      </c>
      <c r="C59" t="s">
        <v>36</v>
      </c>
      <c r="D59" t="s">
        <v>39</v>
      </c>
      <c r="E59" t="s">
        <v>99</v>
      </c>
      <c r="F59" t="s">
        <v>120</v>
      </c>
      <c r="G59">
        <v>5</v>
      </c>
      <c r="H59">
        <v>2199.0500000000002</v>
      </c>
      <c r="I59">
        <v>0.09</v>
      </c>
      <c r="J59">
        <v>10005.68</v>
      </c>
      <c r="K59" t="s">
        <v>58</v>
      </c>
      <c r="L59" t="s">
        <v>34</v>
      </c>
      <c r="M59" t="s">
        <v>21</v>
      </c>
      <c r="N59" t="s">
        <v>22</v>
      </c>
      <c r="O59">
        <f>Table1[[#All],[Quantity]]*Table1[[#All],[Unit Price (?)]]</f>
        <v>10995.25</v>
      </c>
      <c r="P59" t="str">
        <f>TEXT(Table1[[#All],[Order Date]],"dddd")</f>
        <v>Wednesday</v>
      </c>
      <c r="Q59" t="str">
        <f>TEXT(Table1[[#All],[Order Date]],"mmm")</f>
        <v>Apr</v>
      </c>
      <c r="R59" t="str">
        <f>IF(Table1[[#All],[Total Price (?)]]&gt;1000,"High Value","Normal")</f>
        <v>High Value</v>
      </c>
    </row>
    <row r="60" spans="1:18" x14ac:dyDescent="0.3">
      <c r="A60" t="s">
        <v>121</v>
      </c>
      <c r="B60" s="1">
        <v>45711</v>
      </c>
      <c r="C60" t="s">
        <v>24</v>
      </c>
      <c r="D60" t="s">
        <v>39</v>
      </c>
      <c r="E60" t="s">
        <v>49</v>
      </c>
      <c r="F60" t="s">
        <v>50</v>
      </c>
      <c r="G60">
        <v>4</v>
      </c>
      <c r="H60">
        <v>3565.81</v>
      </c>
      <c r="I60">
        <v>0.11</v>
      </c>
      <c r="J60">
        <v>12694.28</v>
      </c>
      <c r="K60" t="s">
        <v>41</v>
      </c>
      <c r="L60" t="s">
        <v>34</v>
      </c>
      <c r="M60" t="s">
        <v>21</v>
      </c>
      <c r="N60" t="s">
        <v>22</v>
      </c>
      <c r="O60">
        <f>Table1[[#All],[Quantity]]*Table1[[#All],[Unit Price (?)]]</f>
        <v>14263.24</v>
      </c>
      <c r="P60" t="str">
        <f>TEXT(Table1[[#All],[Order Date]],"dddd")</f>
        <v>Sunday</v>
      </c>
      <c r="Q60" t="str">
        <f>TEXT(Table1[[#All],[Order Date]],"mmm")</f>
        <v>Feb</v>
      </c>
      <c r="R60" t="str">
        <f>IF(Table1[[#All],[Total Price (?)]]&gt;1000,"High Value","Normal")</f>
        <v>High Value</v>
      </c>
    </row>
    <row r="61" spans="1:18" x14ac:dyDescent="0.3">
      <c r="A61" t="s">
        <v>122</v>
      </c>
      <c r="B61" s="1">
        <v>45816</v>
      </c>
      <c r="C61" t="s">
        <v>48</v>
      </c>
      <c r="D61" t="s">
        <v>39</v>
      </c>
      <c r="E61" t="s">
        <v>27</v>
      </c>
      <c r="F61" t="s">
        <v>87</v>
      </c>
      <c r="G61">
        <v>5</v>
      </c>
      <c r="H61">
        <v>1415.14</v>
      </c>
      <c r="I61">
        <v>0.21</v>
      </c>
      <c r="J61">
        <v>5589.8</v>
      </c>
      <c r="K61" t="s">
        <v>41</v>
      </c>
      <c r="L61" t="s">
        <v>29</v>
      </c>
      <c r="M61" t="s">
        <v>54</v>
      </c>
      <c r="N61" t="s">
        <v>37</v>
      </c>
      <c r="O61">
        <f>Table1[[#All],[Quantity]]*Table1[[#All],[Unit Price (?)]]</f>
        <v>7075.7000000000007</v>
      </c>
      <c r="P61" t="str">
        <f>TEXT(Table1[[#All],[Order Date]],"dddd")</f>
        <v>Sunday</v>
      </c>
      <c r="Q61" t="str">
        <f>TEXT(Table1[[#All],[Order Date]],"mmm")</f>
        <v>Jun</v>
      </c>
      <c r="R61" t="str">
        <f>IF(Table1[[#All],[Total Price (?)]]&gt;1000,"High Value","Normal")</f>
        <v>High Value</v>
      </c>
    </row>
    <row r="62" spans="1:18" x14ac:dyDescent="0.3">
      <c r="A62" t="s">
        <v>123</v>
      </c>
      <c r="B62" s="1">
        <v>45668</v>
      </c>
      <c r="C62" t="s">
        <v>36</v>
      </c>
      <c r="D62" t="s">
        <v>43</v>
      </c>
      <c r="E62" t="s">
        <v>61</v>
      </c>
      <c r="F62" t="s">
        <v>92</v>
      </c>
      <c r="G62">
        <v>4</v>
      </c>
      <c r="H62">
        <v>1748.34</v>
      </c>
      <c r="I62">
        <v>0.12</v>
      </c>
      <c r="J62">
        <v>6154.16</v>
      </c>
      <c r="K62" t="s">
        <v>33</v>
      </c>
      <c r="L62" t="s">
        <v>29</v>
      </c>
      <c r="M62" t="s">
        <v>30</v>
      </c>
      <c r="N62" t="s">
        <v>22</v>
      </c>
      <c r="O62">
        <f>Table1[[#All],[Quantity]]*Table1[[#All],[Unit Price (?)]]</f>
        <v>6993.36</v>
      </c>
      <c r="P62" t="str">
        <f>TEXT(Table1[[#All],[Order Date]],"dddd")</f>
        <v>Saturday</v>
      </c>
      <c r="Q62" t="str">
        <f>TEXT(Table1[[#All],[Order Date]],"mmm")</f>
        <v>Jan</v>
      </c>
      <c r="R62" t="str">
        <f>IF(Table1[[#All],[Total Price (?)]]&gt;1000,"High Value","Normal")</f>
        <v>High Value</v>
      </c>
    </row>
    <row r="63" spans="1:18" x14ac:dyDescent="0.3">
      <c r="A63" t="s">
        <v>124</v>
      </c>
      <c r="B63" s="1">
        <v>45801</v>
      </c>
      <c r="C63" t="s">
        <v>15</v>
      </c>
      <c r="D63" t="s">
        <v>16</v>
      </c>
      <c r="E63" t="s">
        <v>99</v>
      </c>
      <c r="F63" t="s">
        <v>111</v>
      </c>
      <c r="G63">
        <v>3</v>
      </c>
      <c r="H63">
        <v>2823.38</v>
      </c>
      <c r="I63">
        <v>0.13</v>
      </c>
      <c r="J63">
        <v>7369.02</v>
      </c>
      <c r="K63" t="s">
        <v>46</v>
      </c>
      <c r="L63" t="s">
        <v>29</v>
      </c>
      <c r="M63" t="s">
        <v>54</v>
      </c>
      <c r="N63" t="s">
        <v>22</v>
      </c>
      <c r="O63">
        <f>Table1[[#All],[Quantity]]*Table1[[#All],[Unit Price (?)]]</f>
        <v>8470.14</v>
      </c>
      <c r="P63" t="str">
        <f>TEXT(Table1[[#All],[Order Date]],"dddd")</f>
        <v>Saturday</v>
      </c>
      <c r="Q63" t="str">
        <f>TEXT(Table1[[#All],[Order Date]],"mmm")</f>
        <v>May</v>
      </c>
      <c r="R63" t="str">
        <f>IF(Table1[[#All],[Total Price (?)]]&gt;1000,"High Value","Normal")</f>
        <v>High Value</v>
      </c>
    </row>
    <row r="64" spans="1:18" x14ac:dyDescent="0.3">
      <c r="A64" t="s">
        <v>125</v>
      </c>
      <c r="B64" s="1">
        <v>45749</v>
      </c>
      <c r="C64" t="s">
        <v>36</v>
      </c>
      <c r="D64" t="s">
        <v>16</v>
      </c>
      <c r="E64" t="s">
        <v>49</v>
      </c>
      <c r="F64" t="s">
        <v>50</v>
      </c>
      <c r="G64">
        <v>4</v>
      </c>
      <c r="H64">
        <v>3264.92</v>
      </c>
      <c r="I64">
        <v>0.12</v>
      </c>
      <c r="J64">
        <v>11492.52</v>
      </c>
      <c r="K64" t="s">
        <v>19</v>
      </c>
      <c r="L64" t="s">
        <v>29</v>
      </c>
      <c r="M64" t="s">
        <v>54</v>
      </c>
      <c r="N64" t="s">
        <v>22</v>
      </c>
      <c r="O64">
        <f>Table1[[#All],[Quantity]]*Table1[[#All],[Unit Price (?)]]</f>
        <v>13059.68</v>
      </c>
      <c r="P64" t="str">
        <f>TEXT(Table1[[#All],[Order Date]],"dddd")</f>
        <v>Wednesday</v>
      </c>
      <c r="Q64" t="str">
        <f>TEXT(Table1[[#All],[Order Date]],"mmm")</f>
        <v>Apr</v>
      </c>
      <c r="R64" t="str">
        <f>IF(Table1[[#All],[Total Price (?)]]&gt;1000,"High Value","Normal")</f>
        <v>High Value</v>
      </c>
    </row>
    <row r="65" spans="1:18" x14ac:dyDescent="0.3">
      <c r="A65" t="s">
        <v>126</v>
      </c>
      <c r="B65" s="1">
        <v>45764</v>
      </c>
      <c r="C65" t="s">
        <v>15</v>
      </c>
      <c r="D65" t="s">
        <v>39</v>
      </c>
      <c r="E65" t="s">
        <v>49</v>
      </c>
      <c r="F65" t="s">
        <v>73</v>
      </c>
      <c r="G65">
        <v>4</v>
      </c>
      <c r="H65">
        <v>2812.02</v>
      </c>
      <c r="I65">
        <v>0.09</v>
      </c>
      <c r="J65">
        <v>10235.75</v>
      </c>
      <c r="K65" t="s">
        <v>33</v>
      </c>
      <c r="L65" t="s">
        <v>34</v>
      </c>
      <c r="M65" t="s">
        <v>21</v>
      </c>
      <c r="N65" t="s">
        <v>22</v>
      </c>
      <c r="O65">
        <f>Table1[[#All],[Quantity]]*Table1[[#All],[Unit Price (?)]]</f>
        <v>11248.08</v>
      </c>
      <c r="P65" t="str">
        <f>TEXT(Table1[[#All],[Order Date]],"dddd")</f>
        <v>Thursday</v>
      </c>
      <c r="Q65" t="str">
        <f>TEXT(Table1[[#All],[Order Date]],"mmm")</f>
        <v>Apr</v>
      </c>
      <c r="R65" t="str">
        <f>IF(Table1[[#All],[Total Price (?)]]&gt;1000,"High Value","Normal")</f>
        <v>High Value</v>
      </c>
    </row>
    <row r="66" spans="1:18" x14ac:dyDescent="0.3">
      <c r="A66" t="s">
        <v>127</v>
      </c>
      <c r="B66" s="1">
        <v>45684</v>
      </c>
      <c r="C66" t="s">
        <v>15</v>
      </c>
      <c r="D66" t="s">
        <v>43</v>
      </c>
      <c r="E66" t="s">
        <v>49</v>
      </c>
      <c r="F66" t="s">
        <v>53</v>
      </c>
      <c r="G66">
        <v>1</v>
      </c>
      <c r="H66">
        <v>3634.29</v>
      </c>
      <c r="I66">
        <v>0.08</v>
      </c>
      <c r="J66">
        <v>3343.55</v>
      </c>
      <c r="K66" t="s">
        <v>46</v>
      </c>
      <c r="L66" t="s">
        <v>20</v>
      </c>
      <c r="M66" t="s">
        <v>21</v>
      </c>
      <c r="N66" t="s">
        <v>22</v>
      </c>
      <c r="O66">
        <f>Table1[[#All],[Quantity]]*Table1[[#All],[Unit Price (?)]]</f>
        <v>3634.29</v>
      </c>
      <c r="P66" t="str">
        <f>TEXT(Table1[[#All],[Order Date]],"dddd")</f>
        <v>Monday</v>
      </c>
      <c r="Q66" t="str">
        <f>TEXT(Table1[[#All],[Order Date]],"mmm")</f>
        <v>Jan</v>
      </c>
      <c r="R66" t="str">
        <f>IF(Table1[[#All],[Total Price (?)]]&gt;1000,"High Value","Normal")</f>
        <v>High Value</v>
      </c>
    </row>
    <row r="67" spans="1:18" x14ac:dyDescent="0.3">
      <c r="A67" t="s">
        <v>128</v>
      </c>
      <c r="B67" s="1">
        <v>45839</v>
      </c>
      <c r="C67" t="s">
        <v>36</v>
      </c>
      <c r="D67" t="s">
        <v>43</v>
      </c>
      <c r="E67" t="s">
        <v>49</v>
      </c>
      <c r="F67" t="s">
        <v>53</v>
      </c>
      <c r="G67">
        <v>3</v>
      </c>
      <c r="H67">
        <v>4904.5</v>
      </c>
      <c r="I67">
        <v>0.21</v>
      </c>
      <c r="J67">
        <v>11623.67</v>
      </c>
      <c r="K67" t="s">
        <v>33</v>
      </c>
      <c r="L67" t="s">
        <v>29</v>
      </c>
      <c r="M67" t="s">
        <v>30</v>
      </c>
      <c r="N67" t="s">
        <v>22</v>
      </c>
      <c r="O67">
        <f>Table1[[#All],[Quantity]]*Table1[[#All],[Unit Price (?)]]</f>
        <v>14713.5</v>
      </c>
      <c r="P67" t="str">
        <f>TEXT(Table1[[#All],[Order Date]],"dddd")</f>
        <v>Tuesday</v>
      </c>
      <c r="Q67" t="str">
        <f>TEXT(Table1[[#All],[Order Date]],"mmm")</f>
        <v>Jul</v>
      </c>
      <c r="R67" t="str">
        <f>IF(Table1[[#All],[Total Price (?)]]&gt;1000,"High Value","Normal")</f>
        <v>High Value</v>
      </c>
    </row>
    <row r="68" spans="1:18" x14ac:dyDescent="0.3">
      <c r="A68" t="s">
        <v>129</v>
      </c>
      <c r="B68" s="1">
        <v>45733</v>
      </c>
      <c r="C68" t="s">
        <v>36</v>
      </c>
      <c r="D68" t="s">
        <v>43</v>
      </c>
      <c r="E68" t="s">
        <v>99</v>
      </c>
      <c r="F68" t="s">
        <v>120</v>
      </c>
      <c r="G68">
        <v>1</v>
      </c>
      <c r="H68">
        <v>4874.05</v>
      </c>
      <c r="I68">
        <v>0.14000000000000001</v>
      </c>
      <c r="J68">
        <v>4191.68</v>
      </c>
      <c r="K68" t="s">
        <v>19</v>
      </c>
      <c r="L68" t="s">
        <v>34</v>
      </c>
      <c r="M68" t="s">
        <v>21</v>
      </c>
      <c r="N68" t="s">
        <v>22</v>
      </c>
      <c r="O68">
        <f>Table1[[#All],[Quantity]]*Table1[[#All],[Unit Price (?)]]</f>
        <v>4874.05</v>
      </c>
      <c r="P68" t="str">
        <f>TEXT(Table1[[#All],[Order Date]],"dddd")</f>
        <v>Monday</v>
      </c>
      <c r="Q68" t="str">
        <f>TEXT(Table1[[#All],[Order Date]],"mmm")</f>
        <v>Mar</v>
      </c>
      <c r="R68" t="str">
        <f>IF(Table1[[#All],[Total Price (?)]]&gt;1000,"High Value","Normal")</f>
        <v>High Value</v>
      </c>
    </row>
    <row r="69" spans="1:18" x14ac:dyDescent="0.3">
      <c r="A69" t="s">
        <v>130</v>
      </c>
      <c r="B69" s="1">
        <v>45675</v>
      </c>
      <c r="C69" t="s">
        <v>24</v>
      </c>
      <c r="D69" t="s">
        <v>39</v>
      </c>
      <c r="E69" t="s">
        <v>49</v>
      </c>
      <c r="F69" t="s">
        <v>56</v>
      </c>
      <c r="G69">
        <v>4</v>
      </c>
      <c r="H69">
        <v>2445.6999999999998</v>
      </c>
      <c r="I69">
        <v>0.09</v>
      </c>
      <c r="J69">
        <v>8902.35</v>
      </c>
      <c r="K69" t="s">
        <v>33</v>
      </c>
      <c r="L69" t="s">
        <v>34</v>
      </c>
      <c r="M69" t="s">
        <v>54</v>
      </c>
      <c r="N69" t="s">
        <v>37</v>
      </c>
      <c r="O69">
        <f>Table1[[#All],[Quantity]]*Table1[[#All],[Unit Price (?)]]</f>
        <v>9782.7999999999993</v>
      </c>
      <c r="P69" t="str">
        <f>TEXT(Table1[[#All],[Order Date]],"dddd")</f>
        <v>Saturday</v>
      </c>
      <c r="Q69" t="str">
        <f>TEXT(Table1[[#All],[Order Date]],"mmm")</f>
        <v>Jan</v>
      </c>
      <c r="R69" t="str">
        <f>IF(Table1[[#All],[Total Price (?)]]&gt;1000,"High Value","Normal")</f>
        <v>High Value</v>
      </c>
    </row>
    <row r="70" spans="1:18" x14ac:dyDescent="0.3">
      <c r="A70" t="s">
        <v>131</v>
      </c>
      <c r="B70" s="1">
        <v>45767</v>
      </c>
      <c r="C70" t="s">
        <v>24</v>
      </c>
      <c r="D70" t="s">
        <v>43</v>
      </c>
      <c r="E70" t="s">
        <v>49</v>
      </c>
      <c r="F70" t="s">
        <v>56</v>
      </c>
      <c r="G70">
        <v>1</v>
      </c>
      <c r="H70">
        <v>2927.4</v>
      </c>
      <c r="I70">
        <v>0.17</v>
      </c>
      <c r="J70">
        <v>2429.7399999999998</v>
      </c>
      <c r="K70" t="s">
        <v>41</v>
      </c>
      <c r="L70" t="s">
        <v>34</v>
      </c>
      <c r="M70" t="s">
        <v>54</v>
      </c>
      <c r="N70" t="s">
        <v>88</v>
      </c>
      <c r="O70">
        <f>Table1[[#All],[Quantity]]*Table1[[#All],[Unit Price (?)]]</f>
        <v>2927.4</v>
      </c>
      <c r="P70" t="str">
        <f>TEXT(Table1[[#All],[Order Date]],"dddd")</f>
        <v>Sunday</v>
      </c>
      <c r="Q70" t="str">
        <f>TEXT(Table1[[#All],[Order Date]],"mmm")</f>
        <v>Apr</v>
      </c>
      <c r="R70" t="str">
        <f>IF(Table1[[#All],[Total Price (?)]]&gt;1000,"High Value","Normal")</f>
        <v>High Value</v>
      </c>
    </row>
    <row r="71" spans="1:18" x14ac:dyDescent="0.3">
      <c r="A71" t="s">
        <v>132</v>
      </c>
      <c r="B71" s="1">
        <v>45716</v>
      </c>
      <c r="C71" t="s">
        <v>52</v>
      </c>
      <c r="D71" t="s">
        <v>25</v>
      </c>
      <c r="E71" t="s">
        <v>99</v>
      </c>
      <c r="F71" t="s">
        <v>120</v>
      </c>
      <c r="G71">
        <v>4</v>
      </c>
      <c r="H71">
        <v>3070.96</v>
      </c>
      <c r="I71">
        <v>0.2</v>
      </c>
      <c r="J71">
        <v>9827.07</v>
      </c>
      <c r="K71" t="s">
        <v>58</v>
      </c>
      <c r="L71" t="s">
        <v>29</v>
      </c>
      <c r="M71" t="s">
        <v>54</v>
      </c>
      <c r="N71" t="s">
        <v>22</v>
      </c>
      <c r="O71">
        <f>Table1[[#All],[Quantity]]*Table1[[#All],[Unit Price (?)]]</f>
        <v>12283.84</v>
      </c>
      <c r="P71" t="str">
        <f>TEXT(Table1[[#All],[Order Date]],"dddd")</f>
        <v>Friday</v>
      </c>
      <c r="Q71" t="str">
        <f>TEXT(Table1[[#All],[Order Date]],"mmm")</f>
        <v>Feb</v>
      </c>
      <c r="R71" t="str">
        <f>IF(Table1[[#All],[Total Price (?)]]&gt;1000,"High Value","Normal")</f>
        <v>High Value</v>
      </c>
    </row>
    <row r="72" spans="1:18" x14ac:dyDescent="0.3">
      <c r="A72" t="s">
        <v>133</v>
      </c>
      <c r="B72" s="1">
        <v>45821</v>
      </c>
      <c r="C72" t="s">
        <v>36</v>
      </c>
      <c r="D72" t="s">
        <v>16</v>
      </c>
      <c r="E72" t="s">
        <v>49</v>
      </c>
      <c r="F72" t="s">
        <v>53</v>
      </c>
      <c r="G72">
        <v>5</v>
      </c>
      <c r="H72">
        <v>3143.03</v>
      </c>
      <c r="I72">
        <v>0.15</v>
      </c>
      <c r="J72">
        <v>13357.88</v>
      </c>
      <c r="K72" t="s">
        <v>41</v>
      </c>
      <c r="L72" t="s">
        <v>34</v>
      </c>
      <c r="M72" t="s">
        <v>21</v>
      </c>
      <c r="N72" t="s">
        <v>37</v>
      </c>
      <c r="O72">
        <f>Table1[[#All],[Quantity]]*Table1[[#All],[Unit Price (?)]]</f>
        <v>15715.150000000001</v>
      </c>
      <c r="P72" t="str">
        <f>TEXT(Table1[[#All],[Order Date]],"dddd")</f>
        <v>Friday</v>
      </c>
      <c r="Q72" t="str">
        <f>TEXT(Table1[[#All],[Order Date]],"mmm")</f>
        <v>Jun</v>
      </c>
      <c r="R72" t="str">
        <f>IF(Table1[[#All],[Total Price (?)]]&gt;1000,"High Value","Normal")</f>
        <v>High Value</v>
      </c>
    </row>
    <row r="73" spans="1:18" x14ac:dyDescent="0.3">
      <c r="A73" t="s">
        <v>134</v>
      </c>
      <c r="B73" s="1">
        <v>45782</v>
      </c>
      <c r="C73" t="s">
        <v>15</v>
      </c>
      <c r="D73" t="s">
        <v>25</v>
      </c>
      <c r="E73" t="s">
        <v>61</v>
      </c>
      <c r="F73" t="s">
        <v>75</v>
      </c>
      <c r="G73">
        <v>2</v>
      </c>
      <c r="H73">
        <v>951.69</v>
      </c>
      <c r="I73">
        <v>0.02</v>
      </c>
      <c r="J73">
        <v>1865.31</v>
      </c>
      <c r="K73" t="s">
        <v>58</v>
      </c>
      <c r="L73" t="s">
        <v>20</v>
      </c>
      <c r="M73" t="s">
        <v>54</v>
      </c>
      <c r="N73" t="s">
        <v>22</v>
      </c>
      <c r="O73">
        <f>Table1[[#All],[Quantity]]*Table1[[#All],[Unit Price (?)]]</f>
        <v>1903.38</v>
      </c>
      <c r="P73" t="str">
        <f>TEXT(Table1[[#All],[Order Date]],"dddd")</f>
        <v>Monday</v>
      </c>
      <c r="Q73" t="str">
        <f>TEXT(Table1[[#All],[Order Date]],"mmm")</f>
        <v>May</v>
      </c>
      <c r="R73" t="str">
        <f>IF(Table1[[#All],[Total Price (?)]]&gt;1000,"High Value","Normal")</f>
        <v>High Value</v>
      </c>
    </row>
    <row r="74" spans="1:18" x14ac:dyDescent="0.3">
      <c r="A74" t="s">
        <v>135</v>
      </c>
      <c r="B74" s="1">
        <v>45780</v>
      </c>
      <c r="C74" t="s">
        <v>15</v>
      </c>
      <c r="D74" t="s">
        <v>16</v>
      </c>
      <c r="E74" t="s">
        <v>27</v>
      </c>
      <c r="F74" t="s">
        <v>87</v>
      </c>
      <c r="G74">
        <v>3</v>
      </c>
      <c r="H74">
        <v>3564.08</v>
      </c>
      <c r="I74">
        <v>0.18</v>
      </c>
      <c r="J74">
        <v>8767.64</v>
      </c>
      <c r="K74" t="s">
        <v>58</v>
      </c>
      <c r="L74" t="s">
        <v>20</v>
      </c>
      <c r="M74" t="s">
        <v>30</v>
      </c>
      <c r="N74" t="s">
        <v>22</v>
      </c>
      <c r="O74">
        <f>Table1[[#All],[Quantity]]*Table1[[#All],[Unit Price (?)]]</f>
        <v>10692.24</v>
      </c>
      <c r="P74" t="str">
        <f>TEXT(Table1[[#All],[Order Date]],"dddd")</f>
        <v>Saturday</v>
      </c>
      <c r="Q74" t="str">
        <f>TEXT(Table1[[#All],[Order Date]],"mmm")</f>
        <v>May</v>
      </c>
      <c r="R74" t="str">
        <f>IF(Table1[[#All],[Total Price (?)]]&gt;1000,"High Value","Normal")</f>
        <v>High Value</v>
      </c>
    </row>
    <row r="75" spans="1:18" x14ac:dyDescent="0.3">
      <c r="A75" t="s">
        <v>136</v>
      </c>
      <c r="B75" s="1">
        <v>45831</v>
      </c>
      <c r="C75" t="s">
        <v>48</v>
      </c>
      <c r="D75" t="s">
        <v>16</v>
      </c>
      <c r="E75" t="s">
        <v>99</v>
      </c>
      <c r="F75" t="s">
        <v>100</v>
      </c>
      <c r="G75">
        <v>2</v>
      </c>
      <c r="H75">
        <v>3273.41</v>
      </c>
      <c r="I75">
        <v>0.23</v>
      </c>
      <c r="J75">
        <v>5041.05</v>
      </c>
      <c r="K75" t="s">
        <v>58</v>
      </c>
      <c r="L75" t="s">
        <v>29</v>
      </c>
      <c r="M75" t="s">
        <v>54</v>
      </c>
      <c r="N75" t="s">
        <v>22</v>
      </c>
      <c r="O75">
        <f>Table1[[#All],[Quantity]]*Table1[[#All],[Unit Price (?)]]</f>
        <v>6546.82</v>
      </c>
      <c r="P75" t="str">
        <f>TEXT(Table1[[#All],[Order Date]],"dddd")</f>
        <v>Monday</v>
      </c>
      <c r="Q75" t="str">
        <f>TEXT(Table1[[#All],[Order Date]],"mmm")</f>
        <v>Jun</v>
      </c>
      <c r="R75" t="str">
        <f>IF(Table1[[#All],[Total Price (?)]]&gt;1000,"High Value","Normal")</f>
        <v>High Value</v>
      </c>
    </row>
    <row r="76" spans="1:18" x14ac:dyDescent="0.3">
      <c r="A76" t="s">
        <v>137</v>
      </c>
      <c r="B76" s="1">
        <v>45827</v>
      </c>
      <c r="C76" t="s">
        <v>48</v>
      </c>
      <c r="D76" t="s">
        <v>25</v>
      </c>
      <c r="E76" t="s">
        <v>99</v>
      </c>
      <c r="F76" t="s">
        <v>111</v>
      </c>
      <c r="G76">
        <v>3</v>
      </c>
      <c r="H76">
        <v>3528.7</v>
      </c>
      <c r="I76">
        <v>0.24</v>
      </c>
      <c r="J76">
        <v>8045.44</v>
      </c>
      <c r="K76" t="s">
        <v>58</v>
      </c>
      <c r="L76" t="s">
        <v>34</v>
      </c>
      <c r="M76" t="s">
        <v>21</v>
      </c>
      <c r="N76" t="s">
        <v>22</v>
      </c>
      <c r="O76">
        <f>Table1[[#All],[Quantity]]*Table1[[#All],[Unit Price (?)]]</f>
        <v>10586.099999999999</v>
      </c>
      <c r="P76" t="str">
        <f>TEXT(Table1[[#All],[Order Date]],"dddd")</f>
        <v>Thursday</v>
      </c>
      <c r="Q76" t="str">
        <f>TEXT(Table1[[#All],[Order Date]],"mmm")</f>
        <v>Jun</v>
      </c>
      <c r="R76" t="str">
        <f>IF(Table1[[#All],[Total Price (?)]]&gt;1000,"High Value","Normal")</f>
        <v>High Value</v>
      </c>
    </row>
    <row r="77" spans="1:18" x14ac:dyDescent="0.3">
      <c r="A77" t="s">
        <v>138</v>
      </c>
      <c r="B77" s="1">
        <v>45730</v>
      </c>
      <c r="C77" t="s">
        <v>48</v>
      </c>
      <c r="D77" t="s">
        <v>16</v>
      </c>
      <c r="E77" t="s">
        <v>27</v>
      </c>
      <c r="F77" t="s">
        <v>79</v>
      </c>
      <c r="G77">
        <v>3</v>
      </c>
      <c r="H77">
        <v>226.74</v>
      </c>
      <c r="I77">
        <v>0.06</v>
      </c>
      <c r="J77">
        <v>639.41</v>
      </c>
      <c r="K77" t="s">
        <v>46</v>
      </c>
      <c r="L77" t="s">
        <v>29</v>
      </c>
      <c r="M77" t="s">
        <v>21</v>
      </c>
      <c r="N77" t="s">
        <v>59</v>
      </c>
      <c r="O77">
        <f>Table1[[#All],[Quantity]]*Table1[[#All],[Unit Price (?)]]</f>
        <v>680.22</v>
      </c>
      <c r="P77" t="str">
        <f>TEXT(Table1[[#All],[Order Date]],"dddd")</f>
        <v>Friday</v>
      </c>
      <c r="Q77" t="str">
        <f>TEXT(Table1[[#All],[Order Date]],"mmm")</f>
        <v>Mar</v>
      </c>
      <c r="R77" t="str">
        <f>IF(Table1[[#All],[Total Price (?)]]&gt;1000,"High Value","Normal")</f>
        <v>Normal</v>
      </c>
    </row>
    <row r="78" spans="1:18" x14ac:dyDescent="0.3">
      <c r="A78" t="s">
        <v>139</v>
      </c>
      <c r="B78" s="1">
        <v>45772</v>
      </c>
      <c r="C78" t="s">
        <v>52</v>
      </c>
      <c r="D78" t="s">
        <v>25</v>
      </c>
      <c r="E78" t="s">
        <v>99</v>
      </c>
      <c r="F78" t="s">
        <v>120</v>
      </c>
      <c r="G78">
        <v>4</v>
      </c>
      <c r="H78">
        <v>4588.76</v>
      </c>
      <c r="I78">
        <v>0.05</v>
      </c>
      <c r="J78">
        <v>17437.29</v>
      </c>
      <c r="K78" t="s">
        <v>41</v>
      </c>
      <c r="L78" t="s">
        <v>29</v>
      </c>
      <c r="M78" t="s">
        <v>21</v>
      </c>
      <c r="N78" t="s">
        <v>22</v>
      </c>
      <c r="O78">
        <f>Table1[[#All],[Quantity]]*Table1[[#All],[Unit Price (?)]]</f>
        <v>18355.04</v>
      </c>
      <c r="P78" t="str">
        <f>TEXT(Table1[[#All],[Order Date]],"dddd")</f>
        <v>Friday</v>
      </c>
      <c r="Q78" t="str">
        <f>TEXT(Table1[[#All],[Order Date]],"mmm")</f>
        <v>Apr</v>
      </c>
      <c r="R78" t="str">
        <f>IF(Table1[[#All],[Total Price (?)]]&gt;1000,"High Value","Normal")</f>
        <v>High Value</v>
      </c>
    </row>
    <row r="79" spans="1:18" x14ac:dyDescent="0.3">
      <c r="A79" t="s">
        <v>140</v>
      </c>
      <c r="B79" s="1">
        <v>45697</v>
      </c>
      <c r="C79" t="s">
        <v>48</v>
      </c>
      <c r="D79" t="s">
        <v>39</v>
      </c>
      <c r="E79" t="s">
        <v>49</v>
      </c>
      <c r="F79" t="s">
        <v>56</v>
      </c>
      <c r="G79">
        <v>3</v>
      </c>
      <c r="H79">
        <v>1673.19</v>
      </c>
      <c r="I79">
        <v>0.03</v>
      </c>
      <c r="J79">
        <v>4868.9799999999996</v>
      </c>
      <c r="K79" t="s">
        <v>46</v>
      </c>
      <c r="L79" t="s">
        <v>34</v>
      </c>
      <c r="M79" t="s">
        <v>54</v>
      </c>
      <c r="N79" t="s">
        <v>22</v>
      </c>
      <c r="O79">
        <f>Table1[[#All],[Quantity]]*Table1[[#All],[Unit Price (?)]]</f>
        <v>5019.57</v>
      </c>
      <c r="P79" t="str">
        <f>TEXT(Table1[[#All],[Order Date]],"dddd")</f>
        <v>Sunday</v>
      </c>
      <c r="Q79" t="str">
        <f>TEXT(Table1[[#All],[Order Date]],"mmm")</f>
        <v>Feb</v>
      </c>
      <c r="R79" t="str">
        <f>IF(Table1[[#All],[Total Price (?)]]&gt;1000,"High Value","Normal")</f>
        <v>High Value</v>
      </c>
    </row>
    <row r="80" spans="1:18" x14ac:dyDescent="0.3">
      <c r="A80" t="s">
        <v>141</v>
      </c>
      <c r="B80" s="1">
        <v>45796</v>
      </c>
      <c r="C80" t="s">
        <v>48</v>
      </c>
      <c r="D80" t="s">
        <v>25</v>
      </c>
      <c r="E80" t="s">
        <v>49</v>
      </c>
      <c r="F80" t="s">
        <v>53</v>
      </c>
      <c r="G80">
        <v>4</v>
      </c>
      <c r="H80">
        <v>531.49</v>
      </c>
      <c r="I80">
        <v>0.06</v>
      </c>
      <c r="J80">
        <v>1998.4</v>
      </c>
      <c r="K80" t="s">
        <v>33</v>
      </c>
      <c r="L80" t="s">
        <v>20</v>
      </c>
      <c r="M80" t="s">
        <v>54</v>
      </c>
      <c r="N80" t="s">
        <v>37</v>
      </c>
      <c r="O80">
        <f>Table1[[#All],[Quantity]]*Table1[[#All],[Unit Price (?)]]</f>
        <v>2125.96</v>
      </c>
      <c r="P80" t="str">
        <f>TEXT(Table1[[#All],[Order Date]],"dddd")</f>
        <v>Monday</v>
      </c>
      <c r="Q80" t="str">
        <f>TEXT(Table1[[#All],[Order Date]],"mmm")</f>
        <v>May</v>
      </c>
      <c r="R80" t="str">
        <f>IF(Table1[[#All],[Total Price (?)]]&gt;1000,"High Value","Normal")</f>
        <v>High Value</v>
      </c>
    </row>
    <row r="81" spans="1:18" x14ac:dyDescent="0.3">
      <c r="A81" t="s">
        <v>142</v>
      </c>
      <c r="B81" s="1">
        <v>45673</v>
      </c>
      <c r="C81" t="s">
        <v>48</v>
      </c>
      <c r="D81" t="s">
        <v>25</v>
      </c>
      <c r="E81" t="s">
        <v>17</v>
      </c>
      <c r="F81" t="s">
        <v>40</v>
      </c>
      <c r="G81">
        <v>5</v>
      </c>
      <c r="H81">
        <v>1872.72</v>
      </c>
      <c r="I81">
        <v>0.19</v>
      </c>
      <c r="J81">
        <v>7584.52</v>
      </c>
      <c r="K81" t="s">
        <v>58</v>
      </c>
      <c r="L81" t="s">
        <v>20</v>
      </c>
      <c r="M81" t="s">
        <v>21</v>
      </c>
      <c r="N81" t="s">
        <v>88</v>
      </c>
      <c r="O81">
        <f>Table1[[#All],[Quantity]]*Table1[[#All],[Unit Price (?)]]</f>
        <v>9363.6</v>
      </c>
      <c r="P81" t="str">
        <f>TEXT(Table1[[#All],[Order Date]],"dddd")</f>
        <v>Thursday</v>
      </c>
      <c r="Q81" t="str">
        <f>TEXT(Table1[[#All],[Order Date]],"mmm")</f>
        <v>Jan</v>
      </c>
      <c r="R81" t="str">
        <f>IF(Table1[[#All],[Total Price (?)]]&gt;1000,"High Value","Normal")</f>
        <v>High Value</v>
      </c>
    </row>
    <row r="82" spans="1:18" x14ac:dyDescent="0.3">
      <c r="A82" t="s">
        <v>143</v>
      </c>
      <c r="B82" s="1">
        <v>45668</v>
      </c>
      <c r="C82" t="s">
        <v>36</v>
      </c>
      <c r="D82" t="s">
        <v>43</v>
      </c>
      <c r="E82" t="s">
        <v>61</v>
      </c>
      <c r="F82" t="s">
        <v>66</v>
      </c>
      <c r="G82">
        <v>4</v>
      </c>
      <c r="H82">
        <v>4416.1499999999996</v>
      </c>
      <c r="I82">
        <v>0.12</v>
      </c>
      <c r="J82">
        <v>15544.85</v>
      </c>
      <c r="K82" t="s">
        <v>19</v>
      </c>
      <c r="L82" t="s">
        <v>34</v>
      </c>
      <c r="M82" t="s">
        <v>54</v>
      </c>
      <c r="N82" t="s">
        <v>22</v>
      </c>
      <c r="O82">
        <f>Table1[[#All],[Quantity]]*Table1[[#All],[Unit Price (?)]]</f>
        <v>17664.599999999999</v>
      </c>
      <c r="P82" t="str">
        <f>TEXT(Table1[[#All],[Order Date]],"dddd")</f>
        <v>Saturday</v>
      </c>
      <c r="Q82" t="str">
        <f>TEXT(Table1[[#All],[Order Date]],"mmm")</f>
        <v>Jan</v>
      </c>
      <c r="R82" t="str">
        <f>IF(Table1[[#All],[Total Price (?)]]&gt;1000,"High Value","Normal")</f>
        <v>High Value</v>
      </c>
    </row>
    <row r="83" spans="1:18" x14ac:dyDescent="0.3">
      <c r="A83" t="s">
        <v>144</v>
      </c>
      <c r="B83" s="1">
        <v>45788</v>
      </c>
      <c r="C83" t="s">
        <v>36</v>
      </c>
      <c r="D83" t="s">
        <v>16</v>
      </c>
      <c r="E83" t="s">
        <v>99</v>
      </c>
      <c r="F83" t="s">
        <v>120</v>
      </c>
      <c r="G83">
        <v>2</v>
      </c>
      <c r="H83">
        <v>4962.0600000000004</v>
      </c>
      <c r="I83">
        <v>0.23</v>
      </c>
      <c r="J83">
        <v>7641.57</v>
      </c>
      <c r="K83" t="s">
        <v>41</v>
      </c>
      <c r="L83" t="s">
        <v>20</v>
      </c>
      <c r="M83" t="s">
        <v>30</v>
      </c>
      <c r="N83" t="s">
        <v>22</v>
      </c>
      <c r="O83">
        <f>Table1[[#All],[Quantity]]*Table1[[#All],[Unit Price (?)]]</f>
        <v>9924.1200000000008</v>
      </c>
      <c r="P83" t="str">
        <f>TEXT(Table1[[#All],[Order Date]],"dddd")</f>
        <v>Sunday</v>
      </c>
      <c r="Q83" t="str">
        <f>TEXT(Table1[[#All],[Order Date]],"mmm")</f>
        <v>May</v>
      </c>
      <c r="R83" t="str">
        <f>IF(Table1[[#All],[Total Price (?)]]&gt;1000,"High Value","Normal")</f>
        <v>High Value</v>
      </c>
    </row>
    <row r="84" spans="1:18" x14ac:dyDescent="0.3">
      <c r="A84" t="s">
        <v>145</v>
      </c>
      <c r="B84" s="1">
        <v>45704</v>
      </c>
      <c r="C84" t="s">
        <v>15</v>
      </c>
      <c r="D84" t="s">
        <v>43</v>
      </c>
      <c r="E84" t="s">
        <v>61</v>
      </c>
      <c r="F84" t="s">
        <v>92</v>
      </c>
      <c r="G84">
        <v>3</v>
      </c>
      <c r="H84">
        <v>2135.9</v>
      </c>
      <c r="I84">
        <v>0.12</v>
      </c>
      <c r="J84">
        <v>5638.78</v>
      </c>
      <c r="K84" t="s">
        <v>33</v>
      </c>
      <c r="L84" t="s">
        <v>29</v>
      </c>
      <c r="M84" t="s">
        <v>30</v>
      </c>
      <c r="N84" t="s">
        <v>22</v>
      </c>
      <c r="O84">
        <f>Table1[[#All],[Quantity]]*Table1[[#All],[Unit Price (?)]]</f>
        <v>6407.7000000000007</v>
      </c>
      <c r="P84" t="str">
        <f>TEXT(Table1[[#All],[Order Date]],"dddd")</f>
        <v>Sunday</v>
      </c>
      <c r="Q84" t="str">
        <f>TEXT(Table1[[#All],[Order Date]],"mmm")</f>
        <v>Feb</v>
      </c>
      <c r="R84" t="str">
        <f>IF(Table1[[#All],[Total Price (?)]]&gt;1000,"High Value","Normal")</f>
        <v>High Value</v>
      </c>
    </row>
    <row r="85" spans="1:18" x14ac:dyDescent="0.3">
      <c r="A85" t="s">
        <v>146</v>
      </c>
      <c r="B85" s="1">
        <v>45810</v>
      </c>
      <c r="C85" t="s">
        <v>52</v>
      </c>
      <c r="D85" t="s">
        <v>39</v>
      </c>
      <c r="E85" t="s">
        <v>61</v>
      </c>
      <c r="F85" t="s">
        <v>92</v>
      </c>
      <c r="G85">
        <v>2</v>
      </c>
      <c r="H85">
        <v>4333.7299999999996</v>
      </c>
      <c r="I85">
        <v>7.0000000000000007E-2</v>
      </c>
      <c r="J85">
        <v>8060.74</v>
      </c>
      <c r="K85" t="s">
        <v>33</v>
      </c>
      <c r="L85" t="s">
        <v>29</v>
      </c>
      <c r="M85" t="s">
        <v>30</v>
      </c>
      <c r="N85" t="s">
        <v>37</v>
      </c>
      <c r="O85">
        <f>Table1[[#All],[Quantity]]*Table1[[#All],[Unit Price (?)]]</f>
        <v>8667.4599999999991</v>
      </c>
      <c r="P85" t="str">
        <f>TEXT(Table1[[#All],[Order Date]],"dddd")</f>
        <v>Monday</v>
      </c>
      <c r="Q85" t="str">
        <f>TEXT(Table1[[#All],[Order Date]],"mmm")</f>
        <v>Jun</v>
      </c>
      <c r="R85" t="str">
        <f>IF(Table1[[#All],[Total Price (?)]]&gt;1000,"High Value","Normal")</f>
        <v>High Value</v>
      </c>
    </row>
    <row r="86" spans="1:18" x14ac:dyDescent="0.3">
      <c r="A86" t="s">
        <v>147</v>
      </c>
      <c r="B86" s="1">
        <v>45716</v>
      </c>
      <c r="C86" t="s">
        <v>24</v>
      </c>
      <c r="D86" t="s">
        <v>25</v>
      </c>
      <c r="E86" t="s">
        <v>27</v>
      </c>
      <c r="F86" t="s">
        <v>28</v>
      </c>
      <c r="G86">
        <v>3</v>
      </c>
      <c r="H86">
        <v>4203.63</v>
      </c>
      <c r="I86">
        <v>0.14000000000000001</v>
      </c>
      <c r="J86">
        <v>10845.37</v>
      </c>
      <c r="K86" t="s">
        <v>46</v>
      </c>
      <c r="L86" t="s">
        <v>29</v>
      </c>
      <c r="M86" t="s">
        <v>21</v>
      </c>
      <c r="N86" t="s">
        <v>37</v>
      </c>
      <c r="O86">
        <f>Table1[[#All],[Quantity]]*Table1[[#All],[Unit Price (?)]]</f>
        <v>12610.89</v>
      </c>
      <c r="P86" t="str">
        <f>TEXT(Table1[[#All],[Order Date]],"dddd")</f>
        <v>Friday</v>
      </c>
      <c r="Q86" t="str">
        <f>TEXT(Table1[[#All],[Order Date]],"mmm")</f>
        <v>Feb</v>
      </c>
      <c r="R86" t="str">
        <f>IF(Table1[[#All],[Total Price (?)]]&gt;1000,"High Value","Normal")</f>
        <v>High Value</v>
      </c>
    </row>
    <row r="87" spans="1:18" x14ac:dyDescent="0.3">
      <c r="A87" t="s">
        <v>148</v>
      </c>
      <c r="B87" s="1">
        <v>45675</v>
      </c>
      <c r="C87" t="s">
        <v>15</v>
      </c>
      <c r="D87" t="s">
        <v>43</v>
      </c>
      <c r="E87" t="s">
        <v>49</v>
      </c>
      <c r="F87" t="s">
        <v>50</v>
      </c>
      <c r="G87">
        <v>5</v>
      </c>
      <c r="H87">
        <v>1948.33</v>
      </c>
      <c r="I87">
        <v>0.23</v>
      </c>
      <c r="J87">
        <v>7501.07</v>
      </c>
      <c r="K87" t="s">
        <v>46</v>
      </c>
      <c r="L87" t="s">
        <v>29</v>
      </c>
      <c r="M87" t="s">
        <v>54</v>
      </c>
      <c r="N87" t="s">
        <v>22</v>
      </c>
      <c r="O87">
        <f>Table1[[#All],[Quantity]]*Table1[[#All],[Unit Price (?)]]</f>
        <v>9741.65</v>
      </c>
      <c r="P87" t="str">
        <f>TEXT(Table1[[#All],[Order Date]],"dddd")</f>
        <v>Saturday</v>
      </c>
      <c r="Q87" t="str">
        <f>TEXT(Table1[[#All],[Order Date]],"mmm")</f>
        <v>Jan</v>
      </c>
      <c r="R87" t="str">
        <f>IF(Table1[[#All],[Total Price (?)]]&gt;1000,"High Value","Normal")</f>
        <v>High Value</v>
      </c>
    </row>
    <row r="88" spans="1:18" x14ac:dyDescent="0.3">
      <c r="A88" t="s">
        <v>149</v>
      </c>
      <c r="B88" s="1">
        <v>45826</v>
      </c>
      <c r="C88" t="s">
        <v>24</v>
      </c>
      <c r="D88" t="s">
        <v>43</v>
      </c>
      <c r="E88" t="s">
        <v>61</v>
      </c>
      <c r="F88" t="s">
        <v>92</v>
      </c>
      <c r="G88">
        <v>4</v>
      </c>
      <c r="H88">
        <v>3555.62</v>
      </c>
      <c r="I88">
        <v>0.2</v>
      </c>
      <c r="J88">
        <v>11377.98</v>
      </c>
      <c r="K88" t="s">
        <v>46</v>
      </c>
      <c r="L88" t="s">
        <v>29</v>
      </c>
      <c r="M88" t="s">
        <v>30</v>
      </c>
      <c r="N88" t="s">
        <v>22</v>
      </c>
      <c r="O88">
        <f>Table1[[#All],[Quantity]]*Table1[[#All],[Unit Price (?)]]</f>
        <v>14222.48</v>
      </c>
      <c r="P88" t="str">
        <f>TEXT(Table1[[#All],[Order Date]],"dddd")</f>
        <v>Wednesday</v>
      </c>
      <c r="Q88" t="str">
        <f>TEXT(Table1[[#All],[Order Date]],"mmm")</f>
        <v>Jun</v>
      </c>
      <c r="R88" t="str">
        <f>IF(Table1[[#All],[Total Price (?)]]&gt;1000,"High Value","Normal")</f>
        <v>High Value</v>
      </c>
    </row>
    <row r="89" spans="1:18" x14ac:dyDescent="0.3">
      <c r="A89" t="s">
        <v>150</v>
      </c>
      <c r="B89" s="1">
        <v>45705</v>
      </c>
      <c r="C89" t="s">
        <v>36</v>
      </c>
      <c r="D89" t="s">
        <v>25</v>
      </c>
      <c r="E89" t="s">
        <v>17</v>
      </c>
      <c r="F89" t="s">
        <v>44</v>
      </c>
      <c r="G89">
        <v>1</v>
      </c>
      <c r="H89">
        <v>4383.53</v>
      </c>
      <c r="I89">
        <v>0.11</v>
      </c>
      <c r="J89">
        <v>3901.34</v>
      </c>
      <c r="K89" t="s">
        <v>33</v>
      </c>
      <c r="L89" t="s">
        <v>34</v>
      </c>
      <c r="M89" t="s">
        <v>21</v>
      </c>
      <c r="N89" t="s">
        <v>22</v>
      </c>
      <c r="O89">
        <f>Table1[[#All],[Quantity]]*Table1[[#All],[Unit Price (?)]]</f>
        <v>4383.53</v>
      </c>
      <c r="P89" t="str">
        <f>TEXT(Table1[[#All],[Order Date]],"dddd")</f>
        <v>Monday</v>
      </c>
      <c r="Q89" t="str">
        <f>TEXT(Table1[[#All],[Order Date]],"mmm")</f>
        <v>Feb</v>
      </c>
      <c r="R89" t="str">
        <f>IF(Table1[[#All],[Total Price (?)]]&gt;1000,"High Value","Normal")</f>
        <v>High Value</v>
      </c>
    </row>
    <row r="90" spans="1:18" x14ac:dyDescent="0.3">
      <c r="A90" t="s">
        <v>151</v>
      </c>
      <c r="B90" s="1">
        <v>45828</v>
      </c>
      <c r="C90" t="s">
        <v>52</v>
      </c>
      <c r="D90" t="s">
        <v>16</v>
      </c>
      <c r="E90" t="s">
        <v>61</v>
      </c>
      <c r="F90" t="s">
        <v>92</v>
      </c>
      <c r="G90">
        <v>3</v>
      </c>
      <c r="H90">
        <v>1758.95</v>
      </c>
      <c r="I90">
        <v>0.17</v>
      </c>
      <c r="J90">
        <v>4379.79</v>
      </c>
      <c r="K90" t="s">
        <v>58</v>
      </c>
      <c r="L90" t="s">
        <v>34</v>
      </c>
      <c r="M90" t="s">
        <v>21</v>
      </c>
      <c r="N90" t="s">
        <v>37</v>
      </c>
      <c r="O90">
        <f>Table1[[#All],[Quantity]]*Table1[[#All],[Unit Price (?)]]</f>
        <v>5276.85</v>
      </c>
      <c r="P90" t="str">
        <f>TEXT(Table1[[#All],[Order Date]],"dddd")</f>
        <v>Friday</v>
      </c>
      <c r="Q90" t="str">
        <f>TEXT(Table1[[#All],[Order Date]],"mmm")</f>
        <v>Jun</v>
      </c>
      <c r="R90" t="str">
        <f>IF(Table1[[#All],[Total Price (?)]]&gt;1000,"High Value","Normal")</f>
        <v>High Value</v>
      </c>
    </row>
    <row r="91" spans="1:18" x14ac:dyDescent="0.3">
      <c r="A91" t="s">
        <v>152</v>
      </c>
      <c r="B91" s="1">
        <v>45679</v>
      </c>
      <c r="C91" t="s">
        <v>15</v>
      </c>
      <c r="D91" t="s">
        <v>39</v>
      </c>
      <c r="E91" t="s">
        <v>27</v>
      </c>
      <c r="F91" t="s">
        <v>87</v>
      </c>
      <c r="G91">
        <v>1</v>
      </c>
      <c r="H91">
        <v>3125.55</v>
      </c>
      <c r="I91">
        <v>0.06</v>
      </c>
      <c r="J91">
        <v>2938.02</v>
      </c>
      <c r="K91" t="s">
        <v>41</v>
      </c>
      <c r="L91" t="s">
        <v>29</v>
      </c>
      <c r="M91" t="s">
        <v>21</v>
      </c>
      <c r="N91" t="s">
        <v>59</v>
      </c>
      <c r="O91">
        <f>Table1[[#All],[Quantity]]*Table1[[#All],[Unit Price (?)]]</f>
        <v>3125.55</v>
      </c>
      <c r="P91" t="str">
        <f>TEXT(Table1[[#All],[Order Date]],"dddd")</f>
        <v>Wednesday</v>
      </c>
      <c r="Q91" t="str">
        <f>TEXT(Table1[[#All],[Order Date]],"mmm")</f>
        <v>Jan</v>
      </c>
      <c r="R91" t="str">
        <f>IF(Table1[[#All],[Total Price (?)]]&gt;1000,"High Value","Normal")</f>
        <v>High Value</v>
      </c>
    </row>
    <row r="92" spans="1:18" x14ac:dyDescent="0.3">
      <c r="A92" t="s">
        <v>153</v>
      </c>
      <c r="B92" s="1">
        <v>45733</v>
      </c>
      <c r="C92" t="s">
        <v>24</v>
      </c>
      <c r="D92" t="s">
        <v>39</v>
      </c>
      <c r="E92" t="s">
        <v>17</v>
      </c>
      <c r="F92" t="s">
        <v>40</v>
      </c>
      <c r="G92">
        <v>2</v>
      </c>
      <c r="H92">
        <v>3500.61</v>
      </c>
      <c r="I92">
        <v>0.23</v>
      </c>
      <c r="J92">
        <v>5390.94</v>
      </c>
      <c r="K92" t="s">
        <v>58</v>
      </c>
      <c r="L92" t="s">
        <v>34</v>
      </c>
      <c r="M92" t="s">
        <v>54</v>
      </c>
      <c r="N92" t="s">
        <v>88</v>
      </c>
      <c r="O92">
        <f>Table1[[#All],[Quantity]]*Table1[[#All],[Unit Price (?)]]</f>
        <v>7001.22</v>
      </c>
      <c r="P92" t="str">
        <f>TEXT(Table1[[#All],[Order Date]],"dddd")</f>
        <v>Monday</v>
      </c>
      <c r="Q92" t="str">
        <f>TEXT(Table1[[#All],[Order Date]],"mmm")</f>
        <v>Mar</v>
      </c>
      <c r="R92" t="str">
        <f>IF(Table1[[#All],[Total Price (?)]]&gt;1000,"High Value","Normal")</f>
        <v>High Value</v>
      </c>
    </row>
    <row r="93" spans="1:18" x14ac:dyDescent="0.3">
      <c r="A93" t="s">
        <v>154</v>
      </c>
      <c r="B93" s="1">
        <v>45713</v>
      </c>
      <c r="C93" t="s">
        <v>15</v>
      </c>
      <c r="D93" t="s">
        <v>43</v>
      </c>
      <c r="E93" t="s">
        <v>99</v>
      </c>
      <c r="F93" t="s">
        <v>111</v>
      </c>
      <c r="G93">
        <v>2</v>
      </c>
      <c r="H93">
        <v>2702.71</v>
      </c>
      <c r="I93">
        <v>0.14000000000000001</v>
      </c>
      <c r="J93">
        <v>4648.66</v>
      </c>
      <c r="K93" t="s">
        <v>41</v>
      </c>
      <c r="L93" t="s">
        <v>20</v>
      </c>
      <c r="M93" t="s">
        <v>54</v>
      </c>
      <c r="N93" t="s">
        <v>22</v>
      </c>
      <c r="O93">
        <f>Table1[[#All],[Quantity]]*Table1[[#All],[Unit Price (?)]]</f>
        <v>5405.42</v>
      </c>
      <c r="P93" t="str">
        <f>TEXT(Table1[[#All],[Order Date]],"dddd")</f>
        <v>Tuesday</v>
      </c>
      <c r="Q93" t="str">
        <f>TEXT(Table1[[#All],[Order Date]],"mmm")</f>
        <v>Feb</v>
      </c>
      <c r="R93" t="str">
        <f>IF(Table1[[#All],[Total Price (?)]]&gt;1000,"High Value","Normal")</f>
        <v>High Value</v>
      </c>
    </row>
    <row r="94" spans="1:18" x14ac:dyDescent="0.3">
      <c r="A94" t="s">
        <v>155</v>
      </c>
      <c r="B94" s="1">
        <v>45748</v>
      </c>
      <c r="C94" t="s">
        <v>36</v>
      </c>
      <c r="D94" t="s">
        <v>25</v>
      </c>
      <c r="E94" t="s">
        <v>27</v>
      </c>
      <c r="F94" t="s">
        <v>87</v>
      </c>
      <c r="G94">
        <v>5</v>
      </c>
      <c r="H94">
        <v>801.28</v>
      </c>
      <c r="I94">
        <v>0.12</v>
      </c>
      <c r="J94">
        <v>3525.63</v>
      </c>
      <c r="K94" t="s">
        <v>19</v>
      </c>
      <c r="L94" t="s">
        <v>34</v>
      </c>
      <c r="M94" t="s">
        <v>30</v>
      </c>
      <c r="N94" t="s">
        <v>22</v>
      </c>
      <c r="O94">
        <f>Table1[[#All],[Quantity]]*Table1[[#All],[Unit Price (?)]]</f>
        <v>4006.3999999999996</v>
      </c>
      <c r="P94" t="str">
        <f>TEXT(Table1[[#All],[Order Date]],"dddd")</f>
        <v>Tuesday</v>
      </c>
      <c r="Q94" t="str">
        <f>TEXT(Table1[[#All],[Order Date]],"mmm")</f>
        <v>Apr</v>
      </c>
      <c r="R94" t="str">
        <f>IF(Table1[[#All],[Total Price (?)]]&gt;1000,"High Value","Normal")</f>
        <v>High Value</v>
      </c>
    </row>
    <row r="95" spans="1:18" x14ac:dyDescent="0.3">
      <c r="A95" t="s">
        <v>156</v>
      </c>
      <c r="B95" s="1">
        <v>45783</v>
      </c>
      <c r="C95" t="s">
        <v>15</v>
      </c>
      <c r="D95" t="s">
        <v>39</v>
      </c>
      <c r="E95" t="s">
        <v>17</v>
      </c>
      <c r="F95" t="s">
        <v>40</v>
      </c>
      <c r="G95">
        <v>1</v>
      </c>
      <c r="H95">
        <v>2264.48</v>
      </c>
      <c r="I95">
        <v>0.09</v>
      </c>
      <c r="J95">
        <v>2060.6799999999998</v>
      </c>
      <c r="K95" t="s">
        <v>33</v>
      </c>
      <c r="L95" t="s">
        <v>20</v>
      </c>
      <c r="M95" t="s">
        <v>21</v>
      </c>
      <c r="N95" t="s">
        <v>22</v>
      </c>
      <c r="O95">
        <f>Table1[[#All],[Quantity]]*Table1[[#All],[Unit Price (?)]]</f>
        <v>2264.48</v>
      </c>
      <c r="P95" t="str">
        <f>TEXT(Table1[[#All],[Order Date]],"dddd")</f>
        <v>Tuesday</v>
      </c>
      <c r="Q95" t="str">
        <f>TEXT(Table1[[#All],[Order Date]],"mmm")</f>
        <v>May</v>
      </c>
      <c r="R95" t="str">
        <f>IF(Table1[[#All],[Total Price (?)]]&gt;1000,"High Value","Normal")</f>
        <v>High Value</v>
      </c>
    </row>
    <row r="96" spans="1:18" x14ac:dyDescent="0.3">
      <c r="A96" t="s">
        <v>157</v>
      </c>
      <c r="B96" s="1">
        <v>45821</v>
      </c>
      <c r="C96" t="s">
        <v>48</v>
      </c>
      <c r="D96" t="s">
        <v>39</v>
      </c>
      <c r="E96" t="s">
        <v>49</v>
      </c>
      <c r="F96" t="s">
        <v>53</v>
      </c>
      <c r="G96">
        <v>4</v>
      </c>
      <c r="H96">
        <v>4281.34</v>
      </c>
      <c r="I96">
        <v>0.03</v>
      </c>
      <c r="J96">
        <v>16611.599999999999</v>
      </c>
      <c r="K96" t="s">
        <v>46</v>
      </c>
      <c r="L96" t="s">
        <v>20</v>
      </c>
      <c r="M96" t="s">
        <v>30</v>
      </c>
      <c r="N96" t="s">
        <v>22</v>
      </c>
      <c r="O96">
        <f>Table1[[#All],[Quantity]]*Table1[[#All],[Unit Price (?)]]</f>
        <v>17125.36</v>
      </c>
      <c r="P96" t="str">
        <f>TEXT(Table1[[#All],[Order Date]],"dddd")</f>
        <v>Friday</v>
      </c>
      <c r="Q96" t="str">
        <f>TEXT(Table1[[#All],[Order Date]],"mmm")</f>
        <v>Jun</v>
      </c>
      <c r="R96" t="str">
        <f>IF(Table1[[#All],[Total Price (?)]]&gt;1000,"High Value","Normal")</f>
        <v>High Value</v>
      </c>
    </row>
    <row r="97" spans="1:18" x14ac:dyDescent="0.3">
      <c r="A97" t="s">
        <v>158</v>
      </c>
      <c r="B97" s="1">
        <v>45730</v>
      </c>
      <c r="C97" t="s">
        <v>48</v>
      </c>
      <c r="D97" t="s">
        <v>25</v>
      </c>
      <c r="E97" t="s">
        <v>99</v>
      </c>
      <c r="F97" t="s">
        <v>120</v>
      </c>
      <c r="G97">
        <v>5</v>
      </c>
      <c r="H97">
        <v>4338.83</v>
      </c>
      <c r="I97">
        <v>0.19</v>
      </c>
      <c r="J97">
        <v>17572.259999999998</v>
      </c>
      <c r="K97" t="s">
        <v>46</v>
      </c>
      <c r="L97" t="s">
        <v>20</v>
      </c>
      <c r="M97" t="s">
        <v>54</v>
      </c>
      <c r="N97" t="s">
        <v>88</v>
      </c>
      <c r="O97">
        <f>Table1[[#All],[Quantity]]*Table1[[#All],[Unit Price (?)]]</f>
        <v>21694.15</v>
      </c>
      <c r="P97" t="str">
        <f>TEXT(Table1[[#All],[Order Date]],"dddd")</f>
        <v>Friday</v>
      </c>
      <c r="Q97" t="str">
        <f>TEXT(Table1[[#All],[Order Date]],"mmm")</f>
        <v>Mar</v>
      </c>
      <c r="R97" t="str">
        <f>IF(Table1[[#All],[Total Price (?)]]&gt;1000,"High Value","Normal")</f>
        <v>High Value</v>
      </c>
    </row>
    <row r="98" spans="1:18" x14ac:dyDescent="0.3">
      <c r="A98" t="s">
        <v>159</v>
      </c>
      <c r="B98" s="1">
        <v>45691</v>
      </c>
      <c r="C98" t="s">
        <v>36</v>
      </c>
      <c r="D98" t="s">
        <v>43</v>
      </c>
      <c r="E98" t="s">
        <v>99</v>
      </c>
      <c r="F98" t="s">
        <v>100</v>
      </c>
      <c r="G98">
        <v>2</v>
      </c>
      <c r="H98">
        <v>3142.37</v>
      </c>
      <c r="I98">
        <v>0.17</v>
      </c>
      <c r="J98">
        <v>5216.33</v>
      </c>
      <c r="K98" t="s">
        <v>46</v>
      </c>
      <c r="L98" t="s">
        <v>20</v>
      </c>
      <c r="M98" t="s">
        <v>21</v>
      </c>
      <c r="N98" t="s">
        <v>22</v>
      </c>
      <c r="O98">
        <f>Table1[[#All],[Quantity]]*Table1[[#All],[Unit Price (?)]]</f>
        <v>6284.74</v>
      </c>
      <c r="P98" t="str">
        <f>TEXT(Table1[[#All],[Order Date]],"dddd")</f>
        <v>Monday</v>
      </c>
      <c r="Q98" t="str">
        <f>TEXT(Table1[[#All],[Order Date]],"mmm")</f>
        <v>Feb</v>
      </c>
      <c r="R98" t="str">
        <f>IF(Table1[[#All],[Total Price (?)]]&gt;1000,"High Value","Normal")</f>
        <v>High Value</v>
      </c>
    </row>
    <row r="99" spans="1:18" x14ac:dyDescent="0.3">
      <c r="A99" t="s">
        <v>160</v>
      </c>
      <c r="B99" s="1">
        <v>45731</v>
      </c>
      <c r="C99" t="s">
        <v>48</v>
      </c>
      <c r="D99" t="s">
        <v>39</v>
      </c>
      <c r="E99" t="s">
        <v>17</v>
      </c>
      <c r="F99" t="s">
        <v>32</v>
      </c>
      <c r="G99">
        <v>3</v>
      </c>
      <c r="H99">
        <v>3688.56</v>
      </c>
      <c r="I99">
        <v>0.02</v>
      </c>
      <c r="J99">
        <v>10844.37</v>
      </c>
      <c r="K99" t="s">
        <v>58</v>
      </c>
      <c r="L99" t="s">
        <v>29</v>
      </c>
      <c r="M99" t="s">
        <v>30</v>
      </c>
      <c r="N99" t="s">
        <v>22</v>
      </c>
      <c r="O99">
        <f>Table1[[#All],[Quantity]]*Table1[[#All],[Unit Price (?)]]</f>
        <v>11065.68</v>
      </c>
      <c r="P99" t="str">
        <f>TEXT(Table1[[#All],[Order Date]],"dddd")</f>
        <v>Saturday</v>
      </c>
      <c r="Q99" t="str">
        <f>TEXT(Table1[[#All],[Order Date]],"mmm")</f>
        <v>Mar</v>
      </c>
      <c r="R99" t="str">
        <f>IF(Table1[[#All],[Total Price (?)]]&gt;1000,"High Value","Normal")</f>
        <v>High Value</v>
      </c>
    </row>
    <row r="100" spans="1:18" x14ac:dyDescent="0.3">
      <c r="A100" t="s">
        <v>161</v>
      </c>
      <c r="B100" s="1">
        <v>45728</v>
      </c>
      <c r="C100" t="s">
        <v>52</v>
      </c>
      <c r="D100" t="s">
        <v>39</v>
      </c>
      <c r="E100" t="s">
        <v>61</v>
      </c>
      <c r="F100" t="s">
        <v>75</v>
      </c>
      <c r="G100">
        <v>5</v>
      </c>
      <c r="H100">
        <v>2558.79</v>
      </c>
      <c r="I100">
        <v>7.0000000000000007E-2</v>
      </c>
      <c r="J100">
        <v>11898.37</v>
      </c>
      <c r="K100" t="s">
        <v>33</v>
      </c>
      <c r="L100" t="s">
        <v>34</v>
      </c>
      <c r="M100" t="s">
        <v>54</v>
      </c>
      <c r="N100" t="s">
        <v>37</v>
      </c>
      <c r="O100">
        <f>Table1[[#All],[Quantity]]*Table1[[#All],[Unit Price (?)]]</f>
        <v>12793.95</v>
      </c>
      <c r="P100" t="str">
        <f>TEXT(Table1[[#All],[Order Date]],"dddd")</f>
        <v>Wednesday</v>
      </c>
      <c r="Q100" t="str">
        <f>TEXT(Table1[[#All],[Order Date]],"mmm")</f>
        <v>Mar</v>
      </c>
      <c r="R100" t="str">
        <f>IF(Table1[[#All],[Total Price (?)]]&gt;1000,"High Value","Normal")</f>
        <v>High Value</v>
      </c>
    </row>
    <row r="101" spans="1:18" x14ac:dyDescent="0.3">
      <c r="A101" t="s">
        <v>162</v>
      </c>
      <c r="B101" s="1">
        <v>45700</v>
      </c>
      <c r="C101" t="s">
        <v>15</v>
      </c>
      <c r="D101" t="s">
        <v>25</v>
      </c>
      <c r="E101" t="s">
        <v>49</v>
      </c>
      <c r="F101" t="s">
        <v>53</v>
      </c>
      <c r="G101">
        <v>1</v>
      </c>
      <c r="H101">
        <v>789.71</v>
      </c>
      <c r="I101">
        <v>0.24</v>
      </c>
      <c r="J101">
        <v>600.17999999999995</v>
      </c>
      <c r="K101" t="s">
        <v>58</v>
      </c>
      <c r="L101" t="s">
        <v>34</v>
      </c>
      <c r="M101" t="s">
        <v>21</v>
      </c>
      <c r="N101" t="s">
        <v>59</v>
      </c>
      <c r="O101">
        <f>Table1[[#All],[Quantity]]*Table1[[#All],[Unit Price (?)]]</f>
        <v>789.71</v>
      </c>
      <c r="P101" t="str">
        <f>TEXT(Table1[[#All],[Order Date]],"dddd")</f>
        <v>Wednesday</v>
      </c>
      <c r="Q101" t="str">
        <f>TEXT(Table1[[#All],[Order Date]],"mmm")</f>
        <v>Feb</v>
      </c>
      <c r="R101" t="str">
        <f>IF(Table1[[#All],[Total Price (?)]]&gt;1000,"High Value","Normal")</f>
        <v>Normal</v>
      </c>
    </row>
    <row r="102" spans="1:18" x14ac:dyDescent="0.3">
      <c r="A102" t="s">
        <v>163</v>
      </c>
      <c r="B102" s="1">
        <v>45790</v>
      </c>
      <c r="C102" t="s">
        <v>24</v>
      </c>
      <c r="D102" t="s">
        <v>39</v>
      </c>
      <c r="E102" t="s">
        <v>27</v>
      </c>
      <c r="F102" t="s">
        <v>28</v>
      </c>
      <c r="G102">
        <v>3</v>
      </c>
      <c r="H102">
        <v>2729.2</v>
      </c>
      <c r="I102">
        <v>0.11</v>
      </c>
      <c r="J102">
        <v>7286.96</v>
      </c>
      <c r="K102" t="s">
        <v>41</v>
      </c>
      <c r="L102" t="s">
        <v>20</v>
      </c>
      <c r="M102" t="s">
        <v>21</v>
      </c>
      <c r="N102" t="s">
        <v>22</v>
      </c>
      <c r="O102">
        <f>Table1[[#All],[Quantity]]*Table1[[#All],[Unit Price (?)]]</f>
        <v>8187.5999999999995</v>
      </c>
      <c r="P102" t="str">
        <f>TEXT(Table1[[#All],[Order Date]],"dddd")</f>
        <v>Tuesday</v>
      </c>
      <c r="Q102" t="str">
        <f>TEXT(Table1[[#All],[Order Date]],"mmm")</f>
        <v>May</v>
      </c>
      <c r="R102" t="str">
        <f>IF(Table1[[#All],[Total Price (?)]]&gt;1000,"High Value","Normal")</f>
        <v>High Value</v>
      </c>
    </row>
    <row r="103" spans="1:18" x14ac:dyDescent="0.3">
      <c r="A103" t="s">
        <v>164</v>
      </c>
      <c r="B103" s="1">
        <v>45711</v>
      </c>
      <c r="C103" t="s">
        <v>52</v>
      </c>
      <c r="D103" t="s">
        <v>43</v>
      </c>
      <c r="E103" t="s">
        <v>99</v>
      </c>
      <c r="F103" t="s">
        <v>120</v>
      </c>
      <c r="G103">
        <v>5</v>
      </c>
      <c r="H103">
        <v>4432.75</v>
      </c>
      <c r="I103">
        <v>0.14000000000000001</v>
      </c>
      <c r="J103">
        <v>19060.830000000002</v>
      </c>
      <c r="K103" t="s">
        <v>41</v>
      </c>
      <c r="L103" t="s">
        <v>20</v>
      </c>
      <c r="M103" t="s">
        <v>21</v>
      </c>
      <c r="N103" t="s">
        <v>22</v>
      </c>
      <c r="O103">
        <f>Table1[[#All],[Quantity]]*Table1[[#All],[Unit Price (?)]]</f>
        <v>22163.75</v>
      </c>
      <c r="P103" t="str">
        <f>TEXT(Table1[[#All],[Order Date]],"dddd")</f>
        <v>Sunday</v>
      </c>
      <c r="Q103" t="str">
        <f>TEXT(Table1[[#All],[Order Date]],"mmm")</f>
        <v>Feb</v>
      </c>
      <c r="R103" t="str">
        <f>IF(Table1[[#All],[Total Price (?)]]&gt;1000,"High Value","Normal")</f>
        <v>High Value</v>
      </c>
    </row>
    <row r="104" spans="1:18" x14ac:dyDescent="0.3">
      <c r="A104" t="s">
        <v>165</v>
      </c>
      <c r="B104" s="1">
        <v>45796</v>
      </c>
      <c r="C104" t="s">
        <v>48</v>
      </c>
      <c r="D104" t="s">
        <v>16</v>
      </c>
      <c r="E104" t="s">
        <v>49</v>
      </c>
      <c r="F104" t="s">
        <v>53</v>
      </c>
      <c r="G104">
        <v>1</v>
      </c>
      <c r="H104">
        <v>4736.68</v>
      </c>
      <c r="I104">
        <v>0.08</v>
      </c>
      <c r="J104">
        <v>4357.75</v>
      </c>
      <c r="K104" t="s">
        <v>58</v>
      </c>
      <c r="L104" t="s">
        <v>20</v>
      </c>
      <c r="M104" t="s">
        <v>30</v>
      </c>
      <c r="N104" t="s">
        <v>22</v>
      </c>
      <c r="O104">
        <f>Table1[[#All],[Quantity]]*Table1[[#All],[Unit Price (?)]]</f>
        <v>4736.68</v>
      </c>
      <c r="P104" t="str">
        <f>TEXT(Table1[[#All],[Order Date]],"dddd")</f>
        <v>Monday</v>
      </c>
      <c r="Q104" t="str">
        <f>TEXT(Table1[[#All],[Order Date]],"mmm")</f>
        <v>May</v>
      </c>
      <c r="R104" t="str">
        <f>IF(Table1[[#All],[Total Price (?)]]&gt;1000,"High Value","Normal")</f>
        <v>High Value</v>
      </c>
    </row>
    <row r="105" spans="1:18" x14ac:dyDescent="0.3">
      <c r="A105" t="s">
        <v>166</v>
      </c>
      <c r="B105" s="1">
        <v>45841</v>
      </c>
      <c r="C105" t="s">
        <v>48</v>
      </c>
      <c r="D105" t="s">
        <v>25</v>
      </c>
      <c r="E105" t="s">
        <v>27</v>
      </c>
      <c r="F105" t="s">
        <v>68</v>
      </c>
      <c r="G105">
        <v>5</v>
      </c>
      <c r="H105">
        <v>2153.7199999999998</v>
      </c>
      <c r="I105">
        <v>0.19</v>
      </c>
      <c r="J105">
        <v>8722.57</v>
      </c>
      <c r="K105" t="s">
        <v>41</v>
      </c>
      <c r="L105" t="s">
        <v>34</v>
      </c>
      <c r="M105" t="s">
        <v>54</v>
      </c>
      <c r="N105" t="s">
        <v>22</v>
      </c>
      <c r="O105">
        <f>Table1[[#All],[Quantity]]*Table1[[#All],[Unit Price (?)]]</f>
        <v>10768.599999999999</v>
      </c>
      <c r="P105" t="str">
        <f>TEXT(Table1[[#All],[Order Date]],"dddd")</f>
        <v>Thursday</v>
      </c>
      <c r="Q105" t="str">
        <f>TEXT(Table1[[#All],[Order Date]],"mmm")</f>
        <v>Jul</v>
      </c>
      <c r="R105" t="str">
        <f>IF(Table1[[#All],[Total Price (?)]]&gt;1000,"High Value","Normal")</f>
        <v>High Value</v>
      </c>
    </row>
    <row r="106" spans="1:18" x14ac:dyDescent="0.3">
      <c r="A106" t="s">
        <v>167</v>
      </c>
      <c r="B106" s="1">
        <v>45792</v>
      </c>
      <c r="C106" t="s">
        <v>15</v>
      </c>
      <c r="D106" t="s">
        <v>39</v>
      </c>
      <c r="E106" t="s">
        <v>49</v>
      </c>
      <c r="F106" t="s">
        <v>50</v>
      </c>
      <c r="G106">
        <v>3</v>
      </c>
      <c r="H106">
        <v>1164.6199999999999</v>
      </c>
      <c r="I106">
        <v>0.11</v>
      </c>
      <c r="J106">
        <v>3109.54</v>
      </c>
      <c r="K106" t="s">
        <v>58</v>
      </c>
      <c r="L106" t="s">
        <v>29</v>
      </c>
      <c r="M106" t="s">
        <v>54</v>
      </c>
      <c r="N106" t="s">
        <v>22</v>
      </c>
      <c r="O106">
        <f>Table1[[#All],[Quantity]]*Table1[[#All],[Unit Price (?)]]</f>
        <v>3493.8599999999997</v>
      </c>
      <c r="P106" t="str">
        <f>TEXT(Table1[[#All],[Order Date]],"dddd")</f>
        <v>Thursday</v>
      </c>
      <c r="Q106" t="str">
        <f>TEXT(Table1[[#All],[Order Date]],"mmm")</f>
        <v>May</v>
      </c>
      <c r="R106" t="str">
        <f>IF(Table1[[#All],[Total Price (?)]]&gt;1000,"High Value","Normal")</f>
        <v>High Value</v>
      </c>
    </row>
    <row r="107" spans="1:18" x14ac:dyDescent="0.3">
      <c r="A107" t="s">
        <v>168</v>
      </c>
      <c r="B107" s="1">
        <v>45785</v>
      </c>
      <c r="C107" t="s">
        <v>24</v>
      </c>
      <c r="D107" t="s">
        <v>16</v>
      </c>
      <c r="E107" t="s">
        <v>99</v>
      </c>
      <c r="F107" t="s">
        <v>111</v>
      </c>
      <c r="G107">
        <v>2</v>
      </c>
      <c r="H107">
        <v>4844.21</v>
      </c>
      <c r="I107">
        <v>0.24</v>
      </c>
      <c r="J107">
        <v>7363.2</v>
      </c>
      <c r="K107" t="s">
        <v>41</v>
      </c>
      <c r="L107" t="s">
        <v>34</v>
      </c>
      <c r="M107" t="s">
        <v>30</v>
      </c>
      <c r="N107" t="s">
        <v>22</v>
      </c>
      <c r="O107">
        <f>Table1[[#All],[Quantity]]*Table1[[#All],[Unit Price (?)]]</f>
        <v>9688.42</v>
      </c>
      <c r="P107" t="str">
        <f>TEXT(Table1[[#All],[Order Date]],"dddd")</f>
        <v>Thursday</v>
      </c>
      <c r="Q107" t="str">
        <f>TEXT(Table1[[#All],[Order Date]],"mmm")</f>
        <v>May</v>
      </c>
      <c r="R107" t="str">
        <f>IF(Table1[[#All],[Total Price (?)]]&gt;1000,"High Value","Normal")</f>
        <v>High Value</v>
      </c>
    </row>
    <row r="108" spans="1:18" x14ac:dyDescent="0.3">
      <c r="A108" t="s">
        <v>169</v>
      </c>
      <c r="B108" s="1">
        <v>45673</v>
      </c>
      <c r="C108" t="s">
        <v>24</v>
      </c>
      <c r="D108" t="s">
        <v>43</v>
      </c>
      <c r="E108" t="s">
        <v>27</v>
      </c>
      <c r="F108" t="s">
        <v>79</v>
      </c>
      <c r="G108">
        <v>2</v>
      </c>
      <c r="H108">
        <v>3956.19</v>
      </c>
      <c r="I108">
        <v>0.05</v>
      </c>
      <c r="J108">
        <v>7516.76</v>
      </c>
      <c r="K108" t="s">
        <v>46</v>
      </c>
      <c r="L108" t="s">
        <v>20</v>
      </c>
      <c r="M108" t="s">
        <v>21</v>
      </c>
      <c r="N108" t="s">
        <v>22</v>
      </c>
      <c r="O108">
        <f>Table1[[#All],[Quantity]]*Table1[[#All],[Unit Price (?)]]</f>
        <v>7912.38</v>
      </c>
      <c r="P108" t="str">
        <f>TEXT(Table1[[#All],[Order Date]],"dddd")</f>
        <v>Thursday</v>
      </c>
      <c r="Q108" t="str">
        <f>TEXT(Table1[[#All],[Order Date]],"mmm")</f>
        <v>Jan</v>
      </c>
      <c r="R108" t="str">
        <f>IF(Table1[[#All],[Total Price (?)]]&gt;1000,"High Value","Normal")</f>
        <v>High Value</v>
      </c>
    </row>
    <row r="109" spans="1:18" x14ac:dyDescent="0.3">
      <c r="A109" t="s">
        <v>170</v>
      </c>
      <c r="B109" s="1">
        <v>45778</v>
      </c>
      <c r="C109" t="s">
        <v>52</v>
      </c>
      <c r="D109" t="s">
        <v>39</v>
      </c>
      <c r="E109" t="s">
        <v>61</v>
      </c>
      <c r="F109" t="s">
        <v>66</v>
      </c>
      <c r="G109">
        <v>3</v>
      </c>
      <c r="H109">
        <v>4306.1899999999996</v>
      </c>
      <c r="I109">
        <v>0.04</v>
      </c>
      <c r="J109">
        <v>12401.83</v>
      </c>
      <c r="K109" t="s">
        <v>33</v>
      </c>
      <c r="L109" t="s">
        <v>20</v>
      </c>
      <c r="M109" t="s">
        <v>54</v>
      </c>
      <c r="N109" t="s">
        <v>88</v>
      </c>
      <c r="O109">
        <f>Table1[[#All],[Quantity]]*Table1[[#All],[Unit Price (?)]]</f>
        <v>12918.57</v>
      </c>
      <c r="P109" t="str">
        <f>TEXT(Table1[[#All],[Order Date]],"dddd")</f>
        <v>Thursday</v>
      </c>
      <c r="Q109" t="str">
        <f>TEXT(Table1[[#All],[Order Date]],"mmm")</f>
        <v>May</v>
      </c>
      <c r="R109" t="str">
        <f>IF(Table1[[#All],[Total Price (?)]]&gt;1000,"High Value","Normal")</f>
        <v>High Value</v>
      </c>
    </row>
    <row r="110" spans="1:18" x14ac:dyDescent="0.3">
      <c r="A110" t="s">
        <v>171</v>
      </c>
      <c r="B110" s="1">
        <v>45783</v>
      </c>
      <c r="C110" t="s">
        <v>52</v>
      </c>
      <c r="D110" t="s">
        <v>16</v>
      </c>
      <c r="E110" t="s">
        <v>17</v>
      </c>
      <c r="F110" t="s">
        <v>18</v>
      </c>
      <c r="G110">
        <v>2</v>
      </c>
      <c r="H110">
        <v>2985.38</v>
      </c>
      <c r="I110">
        <v>0</v>
      </c>
      <c r="J110">
        <v>5970.76</v>
      </c>
      <c r="K110" t="s">
        <v>58</v>
      </c>
      <c r="L110" t="s">
        <v>34</v>
      </c>
      <c r="M110" t="s">
        <v>30</v>
      </c>
      <c r="N110" t="s">
        <v>22</v>
      </c>
      <c r="O110">
        <f>Table1[[#All],[Quantity]]*Table1[[#All],[Unit Price (?)]]</f>
        <v>5970.76</v>
      </c>
      <c r="P110" t="str">
        <f>TEXT(Table1[[#All],[Order Date]],"dddd")</f>
        <v>Tuesday</v>
      </c>
      <c r="Q110" t="str">
        <f>TEXT(Table1[[#All],[Order Date]],"mmm")</f>
        <v>May</v>
      </c>
      <c r="R110" t="str">
        <f>IF(Table1[[#All],[Total Price (?)]]&gt;1000,"High Value","Normal")</f>
        <v>High Value</v>
      </c>
    </row>
    <row r="111" spans="1:18" x14ac:dyDescent="0.3">
      <c r="A111" t="s">
        <v>172</v>
      </c>
      <c r="B111" s="1">
        <v>45693</v>
      </c>
      <c r="C111" t="s">
        <v>24</v>
      </c>
      <c r="D111" t="s">
        <v>43</v>
      </c>
      <c r="E111" t="s">
        <v>49</v>
      </c>
      <c r="F111" t="s">
        <v>56</v>
      </c>
      <c r="G111">
        <v>3</v>
      </c>
      <c r="H111">
        <v>2614.87</v>
      </c>
      <c r="I111">
        <v>0.03</v>
      </c>
      <c r="J111">
        <v>7609.27</v>
      </c>
      <c r="K111" t="s">
        <v>41</v>
      </c>
      <c r="L111" t="s">
        <v>34</v>
      </c>
      <c r="M111" t="s">
        <v>21</v>
      </c>
      <c r="N111" t="s">
        <v>37</v>
      </c>
      <c r="O111">
        <f>Table1[[#All],[Quantity]]*Table1[[#All],[Unit Price (?)]]</f>
        <v>7844.61</v>
      </c>
      <c r="P111" t="str">
        <f>TEXT(Table1[[#All],[Order Date]],"dddd")</f>
        <v>Wednesday</v>
      </c>
      <c r="Q111" t="str">
        <f>TEXT(Table1[[#All],[Order Date]],"mmm")</f>
        <v>Feb</v>
      </c>
      <c r="R111" t="str">
        <f>IF(Table1[[#All],[Total Price (?)]]&gt;1000,"High Value","Normal")</f>
        <v>High Value</v>
      </c>
    </row>
    <row r="112" spans="1:18" x14ac:dyDescent="0.3">
      <c r="A112" t="s">
        <v>173</v>
      </c>
      <c r="B112" s="1">
        <v>45763</v>
      </c>
      <c r="C112" t="s">
        <v>48</v>
      </c>
      <c r="D112" t="s">
        <v>25</v>
      </c>
      <c r="E112" t="s">
        <v>17</v>
      </c>
      <c r="F112" t="s">
        <v>32</v>
      </c>
      <c r="G112">
        <v>4</v>
      </c>
      <c r="H112">
        <v>4251.76</v>
      </c>
      <c r="I112">
        <v>0.11</v>
      </c>
      <c r="J112">
        <v>15136.27</v>
      </c>
      <c r="K112" t="s">
        <v>58</v>
      </c>
      <c r="L112" t="s">
        <v>20</v>
      </c>
      <c r="M112" t="s">
        <v>54</v>
      </c>
      <c r="N112" t="s">
        <v>22</v>
      </c>
      <c r="O112">
        <f>Table1[[#All],[Quantity]]*Table1[[#All],[Unit Price (?)]]</f>
        <v>17007.04</v>
      </c>
      <c r="P112" t="str">
        <f>TEXT(Table1[[#All],[Order Date]],"dddd")</f>
        <v>Wednesday</v>
      </c>
      <c r="Q112" t="str">
        <f>TEXT(Table1[[#All],[Order Date]],"mmm")</f>
        <v>Apr</v>
      </c>
      <c r="R112" t="str">
        <f>IF(Table1[[#All],[Total Price (?)]]&gt;1000,"High Value","Normal")</f>
        <v>High Value</v>
      </c>
    </row>
    <row r="113" spans="1:18" x14ac:dyDescent="0.3">
      <c r="A113" t="s">
        <v>174</v>
      </c>
      <c r="B113" s="1">
        <v>45801</v>
      </c>
      <c r="C113" t="s">
        <v>24</v>
      </c>
      <c r="D113" t="s">
        <v>39</v>
      </c>
      <c r="E113" t="s">
        <v>49</v>
      </c>
      <c r="F113" t="s">
        <v>56</v>
      </c>
      <c r="G113">
        <v>2</v>
      </c>
      <c r="H113">
        <v>421.84</v>
      </c>
      <c r="I113">
        <v>7.0000000000000007E-2</v>
      </c>
      <c r="J113">
        <v>784.62</v>
      </c>
      <c r="K113" t="s">
        <v>46</v>
      </c>
      <c r="L113" t="s">
        <v>29</v>
      </c>
      <c r="M113" t="s">
        <v>21</v>
      </c>
      <c r="N113" t="s">
        <v>22</v>
      </c>
      <c r="O113">
        <f>Table1[[#All],[Quantity]]*Table1[[#All],[Unit Price (?)]]</f>
        <v>843.68</v>
      </c>
      <c r="P113" t="str">
        <f>TEXT(Table1[[#All],[Order Date]],"dddd")</f>
        <v>Saturday</v>
      </c>
      <c r="Q113" t="str">
        <f>TEXT(Table1[[#All],[Order Date]],"mmm")</f>
        <v>May</v>
      </c>
      <c r="R113" t="str">
        <f>IF(Table1[[#All],[Total Price (?)]]&gt;1000,"High Value","Normal")</f>
        <v>Normal</v>
      </c>
    </row>
    <row r="114" spans="1:18" x14ac:dyDescent="0.3">
      <c r="A114" t="s">
        <v>175</v>
      </c>
      <c r="B114" s="1">
        <v>45707</v>
      </c>
      <c r="C114" t="s">
        <v>48</v>
      </c>
      <c r="D114" t="s">
        <v>43</v>
      </c>
      <c r="E114" t="s">
        <v>27</v>
      </c>
      <c r="F114" t="s">
        <v>28</v>
      </c>
      <c r="G114">
        <v>4</v>
      </c>
      <c r="H114">
        <v>585.97</v>
      </c>
      <c r="I114">
        <v>0.18</v>
      </c>
      <c r="J114">
        <v>1921.98</v>
      </c>
      <c r="K114" t="s">
        <v>33</v>
      </c>
      <c r="L114" t="s">
        <v>29</v>
      </c>
      <c r="M114" t="s">
        <v>21</v>
      </c>
      <c r="N114" t="s">
        <v>22</v>
      </c>
      <c r="O114">
        <f>Table1[[#All],[Quantity]]*Table1[[#All],[Unit Price (?)]]</f>
        <v>2343.88</v>
      </c>
      <c r="P114" t="str">
        <f>TEXT(Table1[[#All],[Order Date]],"dddd")</f>
        <v>Wednesday</v>
      </c>
      <c r="Q114" t="str">
        <f>TEXT(Table1[[#All],[Order Date]],"mmm")</f>
        <v>Feb</v>
      </c>
      <c r="R114" t="str">
        <f>IF(Table1[[#All],[Total Price (?)]]&gt;1000,"High Value","Normal")</f>
        <v>High Value</v>
      </c>
    </row>
    <row r="115" spans="1:18" x14ac:dyDescent="0.3">
      <c r="A115" t="s">
        <v>176</v>
      </c>
      <c r="B115" s="1">
        <v>45691</v>
      </c>
      <c r="C115" t="s">
        <v>15</v>
      </c>
      <c r="D115" t="s">
        <v>39</v>
      </c>
      <c r="E115" t="s">
        <v>61</v>
      </c>
      <c r="F115" t="s">
        <v>92</v>
      </c>
      <c r="G115">
        <v>4</v>
      </c>
      <c r="H115">
        <v>3675.1</v>
      </c>
      <c r="I115">
        <v>0.08</v>
      </c>
      <c r="J115">
        <v>13524.37</v>
      </c>
      <c r="K115" t="s">
        <v>41</v>
      </c>
      <c r="L115" t="s">
        <v>34</v>
      </c>
      <c r="M115" t="s">
        <v>30</v>
      </c>
      <c r="N115" t="s">
        <v>22</v>
      </c>
      <c r="O115">
        <f>Table1[[#All],[Quantity]]*Table1[[#All],[Unit Price (?)]]</f>
        <v>14700.4</v>
      </c>
      <c r="P115" t="str">
        <f>TEXT(Table1[[#All],[Order Date]],"dddd")</f>
        <v>Monday</v>
      </c>
      <c r="Q115" t="str">
        <f>TEXT(Table1[[#All],[Order Date]],"mmm")</f>
        <v>Feb</v>
      </c>
      <c r="R115" t="str">
        <f>IF(Table1[[#All],[Total Price (?)]]&gt;1000,"High Value","Normal")</f>
        <v>High Value</v>
      </c>
    </row>
    <row r="116" spans="1:18" x14ac:dyDescent="0.3">
      <c r="A116" t="s">
        <v>177</v>
      </c>
      <c r="B116" s="1">
        <v>45749</v>
      </c>
      <c r="C116" t="s">
        <v>24</v>
      </c>
      <c r="D116" t="s">
        <v>43</v>
      </c>
      <c r="E116" t="s">
        <v>61</v>
      </c>
      <c r="F116" t="s">
        <v>92</v>
      </c>
      <c r="G116">
        <v>1</v>
      </c>
      <c r="H116">
        <v>2216.19</v>
      </c>
      <c r="I116">
        <v>0.19</v>
      </c>
      <c r="J116">
        <v>1795.11</v>
      </c>
      <c r="K116" t="s">
        <v>58</v>
      </c>
      <c r="L116" t="s">
        <v>20</v>
      </c>
      <c r="M116" t="s">
        <v>30</v>
      </c>
      <c r="N116" t="s">
        <v>22</v>
      </c>
      <c r="O116">
        <f>Table1[[#All],[Quantity]]*Table1[[#All],[Unit Price (?)]]</f>
        <v>2216.19</v>
      </c>
      <c r="P116" t="str">
        <f>TEXT(Table1[[#All],[Order Date]],"dddd")</f>
        <v>Wednesday</v>
      </c>
      <c r="Q116" t="str">
        <f>TEXT(Table1[[#All],[Order Date]],"mmm")</f>
        <v>Apr</v>
      </c>
      <c r="R116" t="str">
        <f>IF(Table1[[#All],[Total Price (?)]]&gt;1000,"High Value","Normal")</f>
        <v>High Value</v>
      </c>
    </row>
    <row r="117" spans="1:18" x14ac:dyDescent="0.3">
      <c r="A117" t="s">
        <v>178</v>
      </c>
      <c r="B117" s="1">
        <v>45733</v>
      </c>
      <c r="C117" t="s">
        <v>24</v>
      </c>
      <c r="D117" t="s">
        <v>39</v>
      </c>
      <c r="E117" t="s">
        <v>27</v>
      </c>
      <c r="F117" t="s">
        <v>28</v>
      </c>
      <c r="G117">
        <v>4</v>
      </c>
      <c r="H117">
        <v>4353.6499999999996</v>
      </c>
      <c r="I117">
        <v>0.18</v>
      </c>
      <c r="J117">
        <v>14279.97</v>
      </c>
      <c r="K117" t="s">
        <v>41</v>
      </c>
      <c r="L117" t="s">
        <v>34</v>
      </c>
      <c r="M117" t="s">
        <v>30</v>
      </c>
      <c r="N117" t="s">
        <v>22</v>
      </c>
      <c r="O117">
        <f>Table1[[#All],[Quantity]]*Table1[[#All],[Unit Price (?)]]</f>
        <v>17414.599999999999</v>
      </c>
      <c r="P117" t="str">
        <f>TEXT(Table1[[#All],[Order Date]],"dddd")</f>
        <v>Monday</v>
      </c>
      <c r="Q117" t="str">
        <f>TEXT(Table1[[#All],[Order Date]],"mmm")</f>
        <v>Mar</v>
      </c>
      <c r="R117" t="str">
        <f>IF(Table1[[#All],[Total Price (?)]]&gt;1000,"High Value","Normal")</f>
        <v>High Value</v>
      </c>
    </row>
    <row r="118" spans="1:18" x14ac:dyDescent="0.3">
      <c r="A118" t="s">
        <v>179</v>
      </c>
      <c r="B118" s="1">
        <v>45712</v>
      </c>
      <c r="C118" t="s">
        <v>52</v>
      </c>
      <c r="D118" t="s">
        <v>39</v>
      </c>
      <c r="E118" t="s">
        <v>27</v>
      </c>
      <c r="F118" t="s">
        <v>68</v>
      </c>
      <c r="G118">
        <v>1</v>
      </c>
      <c r="H118">
        <v>1815.56</v>
      </c>
      <c r="I118">
        <v>0.14000000000000001</v>
      </c>
      <c r="J118">
        <v>1561.38</v>
      </c>
      <c r="K118" t="s">
        <v>41</v>
      </c>
      <c r="L118" t="s">
        <v>20</v>
      </c>
      <c r="M118" t="s">
        <v>54</v>
      </c>
      <c r="N118" t="s">
        <v>22</v>
      </c>
      <c r="O118">
        <f>Table1[[#All],[Quantity]]*Table1[[#All],[Unit Price (?)]]</f>
        <v>1815.56</v>
      </c>
      <c r="P118" t="str">
        <f>TEXT(Table1[[#All],[Order Date]],"dddd")</f>
        <v>Monday</v>
      </c>
      <c r="Q118" t="str">
        <f>TEXT(Table1[[#All],[Order Date]],"mmm")</f>
        <v>Feb</v>
      </c>
      <c r="R118" t="str">
        <f>IF(Table1[[#All],[Total Price (?)]]&gt;1000,"High Value","Normal")</f>
        <v>High Value</v>
      </c>
    </row>
    <row r="119" spans="1:18" x14ac:dyDescent="0.3">
      <c r="A119" t="s">
        <v>180</v>
      </c>
      <c r="B119" s="1">
        <v>45839</v>
      </c>
      <c r="C119" t="s">
        <v>36</v>
      </c>
      <c r="D119" t="s">
        <v>39</v>
      </c>
      <c r="E119" t="s">
        <v>49</v>
      </c>
      <c r="F119" t="s">
        <v>56</v>
      </c>
      <c r="G119">
        <v>2</v>
      </c>
      <c r="H119">
        <v>1439.02</v>
      </c>
      <c r="I119">
        <v>0.19</v>
      </c>
      <c r="J119">
        <v>2331.21</v>
      </c>
      <c r="K119" t="s">
        <v>46</v>
      </c>
      <c r="L119" t="s">
        <v>20</v>
      </c>
      <c r="M119" t="s">
        <v>30</v>
      </c>
      <c r="N119" t="s">
        <v>22</v>
      </c>
      <c r="O119">
        <f>Table1[[#All],[Quantity]]*Table1[[#All],[Unit Price (?)]]</f>
        <v>2878.04</v>
      </c>
      <c r="P119" t="str">
        <f>TEXT(Table1[[#All],[Order Date]],"dddd")</f>
        <v>Tuesday</v>
      </c>
      <c r="Q119" t="str">
        <f>TEXT(Table1[[#All],[Order Date]],"mmm")</f>
        <v>Jul</v>
      </c>
      <c r="R119" t="str">
        <f>IF(Table1[[#All],[Total Price (?)]]&gt;1000,"High Value","Normal")</f>
        <v>High Value</v>
      </c>
    </row>
    <row r="120" spans="1:18" x14ac:dyDescent="0.3">
      <c r="A120" t="s">
        <v>181</v>
      </c>
      <c r="B120" s="1">
        <v>45784</v>
      </c>
      <c r="C120" t="s">
        <v>24</v>
      </c>
      <c r="D120" t="s">
        <v>25</v>
      </c>
      <c r="E120" t="s">
        <v>61</v>
      </c>
      <c r="F120" t="s">
        <v>92</v>
      </c>
      <c r="G120">
        <v>1</v>
      </c>
      <c r="H120">
        <v>549.61</v>
      </c>
      <c r="I120">
        <v>0.13</v>
      </c>
      <c r="J120">
        <v>478.16</v>
      </c>
      <c r="K120" t="s">
        <v>19</v>
      </c>
      <c r="L120" t="s">
        <v>29</v>
      </c>
      <c r="M120" t="s">
        <v>30</v>
      </c>
      <c r="N120" t="s">
        <v>22</v>
      </c>
      <c r="O120">
        <f>Table1[[#All],[Quantity]]*Table1[[#All],[Unit Price (?)]]</f>
        <v>549.61</v>
      </c>
      <c r="P120" t="str">
        <f>TEXT(Table1[[#All],[Order Date]],"dddd")</f>
        <v>Wednesday</v>
      </c>
      <c r="Q120" t="str">
        <f>TEXT(Table1[[#All],[Order Date]],"mmm")</f>
        <v>May</v>
      </c>
      <c r="R120" t="str">
        <f>IF(Table1[[#All],[Total Price (?)]]&gt;1000,"High Value","Normal")</f>
        <v>Normal</v>
      </c>
    </row>
    <row r="121" spans="1:18" x14ac:dyDescent="0.3">
      <c r="A121" t="s">
        <v>182</v>
      </c>
      <c r="B121" s="1">
        <v>45793</v>
      </c>
      <c r="C121" t="s">
        <v>15</v>
      </c>
      <c r="D121" t="s">
        <v>16</v>
      </c>
      <c r="E121" t="s">
        <v>61</v>
      </c>
      <c r="F121" t="s">
        <v>66</v>
      </c>
      <c r="G121">
        <v>5</v>
      </c>
      <c r="H121">
        <v>516.29</v>
      </c>
      <c r="I121">
        <v>0.01</v>
      </c>
      <c r="J121">
        <v>2555.64</v>
      </c>
      <c r="K121" t="s">
        <v>46</v>
      </c>
      <c r="L121" t="s">
        <v>29</v>
      </c>
      <c r="M121" t="s">
        <v>54</v>
      </c>
      <c r="N121" t="s">
        <v>22</v>
      </c>
      <c r="O121">
        <f>Table1[[#All],[Quantity]]*Table1[[#All],[Unit Price (?)]]</f>
        <v>2581.4499999999998</v>
      </c>
      <c r="P121" t="str">
        <f>TEXT(Table1[[#All],[Order Date]],"dddd")</f>
        <v>Friday</v>
      </c>
      <c r="Q121" t="str">
        <f>TEXT(Table1[[#All],[Order Date]],"mmm")</f>
        <v>May</v>
      </c>
      <c r="R121" t="str">
        <f>IF(Table1[[#All],[Total Price (?)]]&gt;1000,"High Value","Normal")</f>
        <v>High Value</v>
      </c>
    </row>
    <row r="122" spans="1:18" x14ac:dyDescent="0.3">
      <c r="A122" t="s">
        <v>183</v>
      </c>
      <c r="B122" s="1">
        <v>45768</v>
      </c>
      <c r="C122" t="s">
        <v>48</v>
      </c>
      <c r="D122" t="s">
        <v>16</v>
      </c>
      <c r="E122" t="s">
        <v>99</v>
      </c>
      <c r="F122" t="s">
        <v>115</v>
      </c>
      <c r="G122">
        <v>4</v>
      </c>
      <c r="H122">
        <v>2129.5</v>
      </c>
      <c r="I122">
        <v>0.05</v>
      </c>
      <c r="J122">
        <v>8092.1</v>
      </c>
      <c r="K122" t="s">
        <v>41</v>
      </c>
      <c r="L122" t="s">
        <v>29</v>
      </c>
      <c r="M122" t="s">
        <v>21</v>
      </c>
      <c r="N122" t="s">
        <v>22</v>
      </c>
      <c r="O122">
        <f>Table1[[#All],[Quantity]]*Table1[[#All],[Unit Price (?)]]</f>
        <v>8518</v>
      </c>
      <c r="P122" t="str">
        <f>TEXT(Table1[[#All],[Order Date]],"dddd")</f>
        <v>Monday</v>
      </c>
      <c r="Q122" t="str">
        <f>TEXT(Table1[[#All],[Order Date]],"mmm")</f>
        <v>Apr</v>
      </c>
      <c r="R122" t="str">
        <f>IF(Table1[[#All],[Total Price (?)]]&gt;1000,"High Value","Normal")</f>
        <v>High Value</v>
      </c>
    </row>
    <row r="123" spans="1:18" x14ac:dyDescent="0.3">
      <c r="A123" t="s">
        <v>184</v>
      </c>
      <c r="B123" s="1">
        <v>45702</v>
      </c>
      <c r="C123" t="s">
        <v>36</v>
      </c>
      <c r="D123" t="s">
        <v>16</v>
      </c>
      <c r="E123" t="s">
        <v>17</v>
      </c>
      <c r="F123" t="s">
        <v>32</v>
      </c>
      <c r="G123">
        <v>3</v>
      </c>
      <c r="H123">
        <v>322.55</v>
      </c>
      <c r="I123">
        <v>0.1</v>
      </c>
      <c r="J123">
        <v>870.89</v>
      </c>
      <c r="K123" t="s">
        <v>41</v>
      </c>
      <c r="L123" t="s">
        <v>29</v>
      </c>
      <c r="M123" t="s">
        <v>21</v>
      </c>
      <c r="N123" t="s">
        <v>22</v>
      </c>
      <c r="O123">
        <f>Table1[[#All],[Quantity]]*Table1[[#All],[Unit Price (?)]]</f>
        <v>967.65000000000009</v>
      </c>
      <c r="P123" t="str">
        <f>TEXT(Table1[[#All],[Order Date]],"dddd")</f>
        <v>Friday</v>
      </c>
      <c r="Q123" t="str">
        <f>TEXT(Table1[[#All],[Order Date]],"mmm")</f>
        <v>Feb</v>
      </c>
      <c r="R123" t="str">
        <f>IF(Table1[[#All],[Total Price (?)]]&gt;1000,"High Value","Normal")</f>
        <v>Normal</v>
      </c>
    </row>
    <row r="124" spans="1:18" x14ac:dyDescent="0.3">
      <c r="A124" t="s">
        <v>185</v>
      </c>
      <c r="B124" s="1">
        <v>45792</v>
      </c>
      <c r="C124" t="s">
        <v>52</v>
      </c>
      <c r="D124" t="s">
        <v>43</v>
      </c>
      <c r="E124" t="s">
        <v>99</v>
      </c>
      <c r="F124" t="s">
        <v>100</v>
      </c>
      <c r="G124">
        <v>3</v>
      </c>
      <c r="H124">
        <v>687.92</v>
      </c>
      <c r="I124">
        <v>0.12</v>
      </c>
      <c r="J124">
        <v>1816.11</v>
      </c>
      <c r="K124" t="s">
        <v>46</v>
      </c>
      <c r="L124" t="s">
        <v>34</v>
      </c>
      <c r="M124" t="s">
        <v>30</v>
      </c>
      <c r="N124" t="s">
        <v>22</v>
      </c>
      <c r="O124">
        <f>Table1[[#All],[Quantity]]*Table1[[#All],[Unit Price (?)]]</f>
        <v>2063.7599999999998</v>
      </c>
      <c r="P124" t="str">
        <f>TEXT(Table1[[#All],[Order Date]],"dddd")</f>
        <v>Thursday</v>
      </c>
      <c r="Q124" t="str">
        <f>TEXT(Table1[[#All],[Order Date]],"mmm")</f>
        <v>May</v>
      </c>
      <c r="R124" t="str">
        <f>IF(Table1[[#All],[Total Price (?)]]&gt;1000,"High Value","Normal")</f>
        <v>High Value</v>
      </c>
    </row>
    <row r="125" spans="1:18" x14ac:dyDescent="0.3">
      <c r="A125" t="s">
        <v>186</v>
      </c>
      <c r="B125" s="1">
        <v>45722</v>
      </c>
      <c r="C125" t="s">
        <v>36</v>
      </c>
      <c r="D125" t="s">
        <v>25</v>
      </c>
      <c r="E125" t="s">
        <v>27</v>
      </c>
      <c r="F125" t="s">
        <v>68</v>
      </c>
      <c r="G125">
        <v>3</v>
      </c>
      <c r="H125">
        <v>453.17</v>
      </c>
      <c r="I125">
        <v>0.22</v>
      </c>
      <c r="J125">
        <v>1060.42</v>
      </c>
      <c r="K125" t="s">
        <v>33</v>
      </c>
      <c r="L125" t="s">
        <v>29</v>
      </c>
      <c r="M125" t="s">
        <v>54</v>
      </c>
      <c r="N125" t="s">
        <v>22</v>
      </c>
      <c r="O125">
        <f>Table1[[#All],[Quantity]]*Table1[[#All],[Unit Price (?)]]</f>
        <v>1359.51</v>
      </c>
      <c r="P125" t="str">
        <f>TEXT(Table1[[#All],[Order Date]],"dddd")</f>
        <v>Thursday</v>
      </c>
      <c r="Q125" t="str">
        <f>TEXT(Table1[[#All],[Order Date]],"mmm")</f>
        <v>Mar</v>
      </c>
      <c r="R125" t="str">
        <f>IF(Table1[[#All],[Total Price (?)]]&gt;1000,"High Value","Normal")</f>
        <v>High Value</v>
      </c>
    </row>
    <row r="126" spans="1:18" x14ac:dyDescent="0.3">
      <c r="A126" t="s">
        <v>187</v>
      </c>
      <c r="B126" s="1">
        <v>45823</v>
      </c>
      <c r="C126" t="s">
        <v>36</v>
      </c>
      <c r="D126" t="s">
        <v>25</v>
      </c>
      <c r="E126" t="s">
        <v>17</v>
      </c>
      <c r="F126" t="s">
        <v>32</v>
      </c>
      <c r="G126">
        <v>4</v>
      </c>
      <c r="H126">
        <v>3576.54</v>
      </c>
      <c r="I126">
        <v>0.1</v>
      </c>
      <c r="J126">
        <v>12875.54</v>
      </c>
      <c r="K126" t="s">
        <v>41</v>
      </c>
      <c r="L126" t="s">
        <v>29</v>
      </c>
      <c r="M126" t="s">
        <v>54</v>
      </c>
      <c r="N126" t="s">
        <v>22</v>
      </c>
      <c r="O126">
        <f>Table1[[#All],[Quantity]]*Table1[[#All],[Unit Price (?)]]</f>
        <v>14306.16</v>
      </c>
      <c r="P126" t="str">
        <f>TEXT(Table1[[#All],[Order Date]],"dddd")</f>
        <v>Sunday</v>
      </c>
      <c r="Q126" t="str">
        <f>TEXT(Table1[[#All],[Order Date]],"mmm")</f>
        <v>Jun</v>
      </c>
      <c r="R126" t="str">
        <f>IF(Table1[[#All],[Total Price (?)]]&gt;1000,"High Value","Normal")</f>
        <v>High Value</v>
      </c>
    </row>
    <row r="127" spans="1:18" x14ac:dyDescent="0.3">
      <c r="A127" t="s">
        <v>188</v>
      </c>
      <c r="B127" s="1">
        <v>45809</v>
      </c>
      <c r="C127" t="s">
        <v>36</v>
      </c>
      <c r="D127" t="s">
        <v>25</v>
      </c>
      <c r="E127" t="s">
        <v>99</v>
      </c>
      <c r="F127" t="s">
        <v>100</v>
      </c>
      <c r="G127">
        <v>3</v>
      </c>
      <c r="H127">
        <v>531.84</v>
      </c>
      <c r="I127">
        <v>0.21</v>
      </c>
      <c r="J127">
        <v>1260.46</v>
      </c>
      <c r="K127" t="s">
        <v>41</v>
      </c>
      <c r="L127" t="s">
        <v>29</v>
      </c>
      <c r="M127" t="s">
        <v>54</v>
      </c>
      <c r="N127" t="s">
        <v>22</v>
      </c>
      <c r="O127">
        <f>Table1[[#All],[Quantity]]*Table1[[#All],[Unit Price (?)]]</f>
        <v>1595.52</v>
      </c>
      <c r="P127" t="str">
        <f>TEXT(Table1[[#All],[Order Date]],"dddd")</f>
        <v>Sunday</v>
      </c>
      <c r="Q127" t="str">
        <f>TEXT(Table1[[#All],[Order Date]],"mmm")</f>
        <v>Jun</v>
      </c>
      <c r="R127" t="str">
        <f>IF(Table1[[#All],[Total Price (?)]]&gt;1000,"High Value","Normal")</f>
        <v>High Value</v>
      </c>
    </row>
    <row r="128" spans="1:18" x14ac:dyDescent="0.3">
      <c r="A128" t="s">
        <v>189</v>
      </c>
      <c r="B128" s="1">
        <v>45810</v>
      </c>
      <c r="C128" t="s">
        <v>48</v>
      </c>
      <c r="D128" t="s">
        <v>16</v>
      </c>
      <c r="E128" t="s">
        <v>27</v>
      </c>
      <c r="F128" t="s">
        <v>79</v>
      </c>
      <c r="G128">
        <v>3</v>
      </c>
      <c r="H128">
        <v>1185.7</v>
      </c>
      <c r="I128">
        <v>0.19</v>
      </c>
      <c r="J128">
        <v>2881.25</v>
      </c>
      <c r="K128" t="s">
        <v>46</v>
      </c>
      <c r="L128" t="s">
        <v>29</v>
      </c>
      <c r="M128" t="s">
        <v>54</v>
      </c>
      <c r="N128" t="s">
        <v>22</v>
      </c>
      <c r="O128">
        <f>Table1[[#All],[Quantity]]*Table1[[#All],[Unit Price (?)]]</f>
        <v>3557.1000000000004</v>
      </c>
      <c r="P128" t="str">
        <f>TEXT(Table1[[#All],[Order Date]],"dddd")</f>
        <v>Monday</v>
      </c>
      <c r="Q128" t="str">
        <f>TEXT(Table1[[#All],[Order Date]],"mmm")</f>
        <v>Jun</v>
      </c>
      <c r="R128" t="str">
        <f>IF(Table1[[#All],[Total Price (?)]]&gt;1000,"High Value","Normal")</f>
        <v>High Value</v>
      </c>
    </row>
    <row r="129" spans="1:18" x14ac:dyDescent="0.3">
      <c r="A129" t="s">
        <v>190</v>
      </c>
      <c r="B129" s="1">
        <v>45670</v>
      </c>
      <c r="C129" t="s">
        <v>15</v>
      </c>
      <c r="D129" t="s">
        <v>43</v>
      </c>
      <c r="E129" t="s">
        <v>61</v>
      </c>
      <c r="F129" t="s">
        <v>66</v>
      </c>
      <c r="G129">
        <v>1</v>
      </c>
      <c r="H129">
        <v>817.58</v>
      </c>
      <c r="I129">
        <v>0.05</v>
      </c>
      <c r="J129">
        <v>776.7</v>
      </c>
      <c r="K129" t="s">
        <v>19</v>
      </c>
      <c r="L129" t="s">
        <v>20</v>
      </c>
      <c r="M129" t="s">
        <v>21</v>
      </c>
      <c r="N129" t="s">
        <v>88</v>
      </c>
      <c r="O129">
        <f>Table1[[#All],[Quantity]]*Table1[[#All],[Unit Price (?)]]</f>
        <v>817.58</v>
      </c>
      <c r="P129" t="str">
        <f>TEXT(Table1[[#All],[Order Date]],"dddd")</f>
        <v>Monday</v>
      </c>
      <c r="Q129" t="str">
        <f>TEXT(Table1[[#All],[Order Date]],"mmm")</f>
        <v>Jan</v>
      </c>
      <c r="R129" t="str">
        <f>IF(Table1[[#All],[Total Price (?)]]&gt;1000,"High Value","Normal")</f>
        <v>Normal</v>
      </c>
    </row>
    <row r="130" spans="1:18" x14ac:dyDescent="0.3">
      <c r="A130" t="s">
        <v>191</v>
      </c>
      <c r="B130" s="1">
        <v>45704</v>
      </c>
      <c r="C130" t="s">
        <v>48</v>
      </c>
      <c r="D130" t="s">
        <v>39</v>
      </c>
      <c r="E130" t="s">
        <v>17</v>
      </c>
      <c r="F130" t="s">
        <v>44</v>
      </c>
      <c r="G130">
        <v>5</v>
      </c>
      <c r="H130">
        <v>2299.64</v>
      </c>
      <c r="I130">
        <v>0.23</v>
      </c>
      <c r="J130">
        <v>8853.61</v>
      </c>
      <c r="K130" t="s">
        <v>41</v>
      </c>
      <c r="L130" t="s">
        <v>29</v>
      </c>
      <c r="M130" t="s">
        <v>21</v>
      </c>
      <c r="N130" t="s">
        <v>37</v>
      </c>
      <c r="O130">
        <f>Table1[[#All],[Quantity]]*Table1[[#All],[Unit Price (?)]]</f>
        <v>11498.199999999999</v>
      </c>
      <c r="P130" t="str">
        <f>TEXT(Table1[[#All],[Order Date]],"dddd")</f>
        <v>Sunday</v>
      </c>
      <c r="Q130" t="str">
        <f>TEXT(Table1[[#All],[Order Date]],"mmm")</f>
        <v>Feb</v>
      </c>
      <c r="R130" t="str">
        <f>IF(Table1[[#All],[Total Price (?)]]&gt;1000,"High Value","Normal")</f>
        <v>High Value</v>
      </c>
    </row>
    <row r="131" spans="1:18" x14ac:dyDescent="0.3">
      <c r="A131" t="s">
        <v>192</v>
      </c>
      <c r="B131" s="1">
        <v>45819</v>
      </c>
      <c r="C131" t="s">
        <v>48</v>
      </c>
      <c r="D131" t="s">
        <v>16</v>
      </c>
      <c r="E131" t="s">
        <v>99</v>
      </c>
      <c r="F131" t="s">
        <v>100</v>
      </c>
      <c r="G131">
        <v>4</v>
      </c>
      <c r="H131">
        <v>3193.79</v>
      </c>
      <c r="I131">
        <v>0.2</v>
      </c>
      <c r="J131">
        <v>10220.129999999999</v>
      </c>
      <c r="K131" t="s">
        <v>58</v>
      </c>
      <c r="L131" t="s">
        <v>34</v>
      </c>
      <c r="M131" t="s">
        <v>21</v>
      </c>
      <c r="N131" t="s">
        <v>22</v>
      </c>
      <c r="O131">
        <f>Table1[[#All],[Quantity]]*Table1[[#All],[Unit Price (?)]]</f>
        <v>12775.16</v>
      </c>
      <c r="P131" t="str">
        <f>TEXT(Table1[[#All],[Order Date]],"dddd")</f>
        <v>Wednesday</v>
      </c>
      <c r="Q131" t="str">
        <f>TEXT(Table1[[#All],[Order Date]],"mmm")</f>
        <v>Jun</v>
      </c>
      <c r="R131" t="str">
        <f>IF(Table1[[#All],[Total Price (?)]]&gt;1000,"High Value","Normal")</f>
        <v>High Value</v>
      </c>
    </row>
    <row r="132" spans="1:18" x14ac:dyDescent="0.3">
      <c r="A132" t="s">
        <v>193</v>
      </c>
      <c r="B132" s="1">
        <v>45666</v>
      </c>
      <c r="C132" t="s">
        <v>48</v>
      </c>
      <c r="D132" t="s">
        <v>16</v>
      </c>
      <c r="E132" t="s">
        <v>17</v>
      </c>
      <c r="F132" t="s">
        <v>32</v>
      </c>
      <c r="G132">
        <v>1</v>
      </c>
      <c r="H132">
        <v>1906.81</v>
      </c>
      <c r="I132">
        <v>7.0000000000000007E-2</v>
      </c>
      <c r="J132">
        <v>1773.33</v>
      </c>
      <c r="K132" t="s">
        <v>41</v>
      </c>
      <c r="L132" t="s">
        <v>20</v>
      </c>
      <c r="M132" t="s">
        <v>21</v>
      </c>
      <c r="N132" t="s">
        <v>22</v>
      </c>
      <c r="O132">
        <f>Table1[[#All],[Quantity]]*Table1[[#All],[Unit Price (?)]]</f>
        <v>1906.81</v>
      </c>
      <c r="P132" t="str">
        <f>TEXT(Table1[[#All],[Order Date]],"dddd")</f>
        <v>Thursday</v>
      </c>
      <c r="Q132" t="str">
        <f>TEXT(Table1[[#All],[Order Date]],"mmm")</f>
        <v>Jan</v>
      </c>
      <c r="R132" t="str">
        <f>IF(Table1[[#All],[Total Price (?)]]&gt;1000,"High Value","Normal")</f>
        <v>High Value</v>
      </c>
    </row>
    <row r="133" spans="1:18" x14ac:dyDescent="0.3">
      <c r="A133" t="s">
        <v>194</v>
      </c>
      <c r="B133" s="1">
        <v>45816</v>
      </c>
      <c r="C133" t="s">
        <v>48</v>
      </c>
      <c r="D133" t="s">
        <v>43</v>
      </c>
      <c r="E133" t="s">
        <v>27</v>
      </c>
      <c r="F133" t="s">
        <v>87</v>
      </c>
      <c r="G133">
        <v>1</v>
      </c>
      <c r="H133">
        <v>2303.6999999999998</v>
      </c>
      <c r="I133">
        <v>0.2</v>
      </c>
      <c r="J133">
        <v>1842.96</v>
      </c>
      <c r="K133" t="s">
        <v>33</v>
      </c>
      <c r="L133" t="s">
        <v>29</v>
      </c>
      <c r="M133" t="s">
        <v>21</v>
      </c>
      <c r="N133" t="s">
        <v>22</v>
      </c>
      <c r="O133">
        <f>Table1[[#All],[Quantity]]*Table1[[#All],[Unit Price (?)]]</f>
        <v>2303.6999999999998</v>
      </c>
      <c r="P133" t="str">
        <f>TEXT(Table1[[#All],[Order Date]],"dddd")</f>
        <v>Sunday</v>
      </c>
      <c r="Q133" t="str">
        <f>TEXT(Table1[[#All],[Order Date]],"mmm")</f>
        <v>Jun</v>
      </c>
      <c r="R133" t="str">
        <f>IF(Table1[[#All],[Total Price (?)]]&gt;1000,"High Value","Normal")</f>
        <v>High Value</v>
      </c>
    </row>
    <row r="134" spans="1:18" x14ac:dyDescent="0.3">
      <c r="A134" t="s">
        <v>195</v>
      </c>
      <c r="B134" s="1">
        <v>45721</v>
      </c>
      <c r="C134" t="s">
        <v>24</v>
      </c>
      <c r="D134" t="s">
        <v>43</v>
      </c>
      <c r="E134" t="s">
        <v>49</v>
      </c>
      <c r="F134" t="s">
        <v>73</v>
      </c>
      <c r="G134">
        <v>3</v>
      </c>
      <c r="H134">
        <v>4913.6899999999996</v>
      </c>
      <c r="I134">
        <v>0.02</v>
      </c>
      <c r="J134">
        <v>14446.25</v>
      </c>
      <c r="K134" t="s">
        <v>41</v>
      </c>
      <c r="L134" t="s">
        <v>20</v>
      </c>
      <c r="M134" t="s">
        <v>21</v>
      </c>
      <c r="N134" t="s">
        <v>22</v>
      </c>
      <c r="O134">
        <f>Table1[[#All],[Quantity]]*Table1[[#All],[Unit Price (?)]]</f>
        <v>14741.07</v>
      </c>
      <c r="P134" t="str">
        <f>TEXT(Table1[[#All],[Order Date]],"dddd")</f>
        <v>Wednesday</v>
      </c>
      <c r="Q134" t="str">
        <f>TEXT(Table1[[#All],[Order Date]],"mmm")</f>
        <v>Mar</v>
      </c>
      <c r="R134" t="str">
        <f>IF(Table1[[#All],[Total Price (?)]]&gt;1000,"High Value","Normal")</f>
        <v>High Value</v>
      </c>
    </row>
    <row r="135" spans="1:18" x14ac:dyDescent="0.3">
      <c r="A135" t="s">
        <v>196</v>
      </c>
      <c r="B135" s="1">
        <v>45737</v>
      </c>
      <c r="C135" t="s">
        <v>36</v>
      </c>
      <c r="D135" t="s">
        <v>25</v>
      </c>
      <c r="E135" t="s">
        <v>49</v>
      </c>
      <c r="F135" t="s">
        <v>50</v>
      </c>
      <c r="G135">
        <v>2</v>
      </c>
      <c r="H135">
        <v>1883.1</v>
      </c>
      <c r="I135">
        <v>0.23</v>
      </c>
      <c r="J135">
        <v>2899.97</v>
      </c>
      <c r="K135" t="s">
        <v>33</v>
      </c>
      <c r="L135" t="s">
        <v>29</v>
      </c>
      <c r="M135" t="s">
        <v>30</v>
      </c>
      <c r="N135" t="s">
        <v>88</v>
      </c>
      <c r="O135">
        <f>Table1[[#All],[Quantity]]*Table1[[#All],[Unit Price (?)]]</f>
        <v>3766.2</v>
      </c>
      <c r="P135" t="str">
        <f>TEXT(Table1[[#All],[Order Date]],"dddd")</f>
        <v>Friday</v>
      </c>
      <c r="Q135" t="str">
        <f>TEXT(Table1[[#All],[Order Date]],"mmm")</f>
        <v>Mar</v>
      </c>
      <c r="R135" t="str">
        <f>IF(Table1[[#All],[Total Price (?)]]&gt;1000,"High Value","Normal")</f>
        <v>High Value</v>
      </c>
    </row>
    <row r="136" spans="1:18" x14ac:dyDescent="0.3">
      <c r="A136" t="s">
        <v>197</v>
      </c>
      <c r="B136" s="1">
        <v>45711</v>
      </c>
      <c r="C136" t="s">
        <v>15</v>
      </c>
      <c r="D136" t="s">
        <v>43</v>
      </c>
      <c r="E136" t="s">
        <v>27</v>
      </c>
      <c r="F136" t="s">
        <v>79</v>
      </c>
      <c r="G136">
        <v>1</v>
      </c>
      <c r="H136">
        <v>2834.02</v>
      </c>
      <c r="I136">
        <v>0.1</v>
      </c>
      <c r="J136">
        <v>2550.62</v>
      </c>
      <c r="K136" t="s">
        <v>58</v>
      </c>
      <c r="L136" t="s">
        <v>34</v>
      </c>
      <c r="M136" t="s">
        <v>30</v>
      </c>
      <c r="N136" t="s">
        <v>22</v>
      </c>
      <c r="O136">
        <f>Table1[[#All],[Quantity]]*Table1[[#All],[Unit Price (?)]]</f>
        <v>2834.02</v>
      </c>
      <c r="P136" t="str">
        <f>TEXT(Table1[[#All],[Order Date]],"dddd")</f>
        <v>Sunday</v>
      </c>
      <c r="Q136" t="str">
        <f>TEXT(Table1[[#All],[Order Date]],"mmm")</f>
        <v>Feb</v>
      </c>
      <c r="R136" t="str">
        <f>IF(Table1[[#All],[Total Price (?)]]&gt;1000,"High Value","Normal")</f>
        <v>High Value</v>
      </c>
    </row>
    <row r="137" spans="1:18" x14ac:dyDescent="0.3">
      <c r="A137" t="s">
        <v>198</v>
      </c>
      <c r="B137" s="1">
        <v>45672</v>
      </c>
      <c r="C137" t="s">
        <v>15</v>
      </c>
      <c r="D137" t="s">
        <v>39</v>
      </c>
      <c r="E137" t="s">
        <v>27</v>
      </c>
      <c r="F137" t="s">
        <v>68</v>
      </c>
      <c r="G137">
        <v>4</v>
      </c>
      <c r="H137">
        <v>731.86</v>
      </c>
      <c r="I137">
        <v>0.18</v>
      </c>
      <c r="J137">
        <v>2400.5</v>
      </c>
      <c r="K137" t="s">
        <v>46</v>
      </c>
      <c r="L137" t="s">
        <v>29</v>
      </c>
      <c r="M137" t="s">
        <v>54</v>
      </c>
      <c r="N137" t="s">
        <v>22</v>
      </c>
      <c r="O137">
        <f>Table1[[#All],[Quantity]]*Table1[[#All],[Unit Price (?)]]</f>
        <v>2927.44</v>
      </c>
      <c r="P137" t="str">
        <f>TEXT(Table1[[#All],[Order Date]],"dddd")</f>
        <v>Wednesday</v>
      </c>
      <c r="Q137" t="str">
        <f>TEXT(Table1[[#All],[Order Date]],"mmm")</f>
        <v>Jan</v>
      </c>
      <c r="R137" t="str">
        <f>IF(Table1[[#All],[Total Price (?)]]&gt;1000,"High Value","Normal")</f>
        <v>High Value</v>
      </c>
    </row>
    <row r="138" spans="1:18" x14ac:dyDescent="0.3">
      <c r="A138" t="s">
        <v>199</v>
      </c>
      <c r="B138" s="1">
        <v>45700</v>
      </c>
      <c r="C138" t="s">
        <v>36</v>
      </c>
      <c r="D138" t="s">
        <v>43</v>
      </c>
      <c r="E138" t="s">
        <v>99</v>
      </c>
      <c r="F138" t="s">
        <v>100</v>
      </c>
      <c r="G138">
        <v>4</v>
      </c>
      <c r="H138">
        <v>2591.59</v>
      </c>
      <c r="I138">
        <v>0</v>
      </c>
      <c r="J138">
        <v>10366.36</v>
      </c>
      <c r="K138" t="s">
        <v>58</v>
      </c>
      <c r="L138" t="s">
        <v>29</v>
      </c>
      <c r="M138" t="s">
        <v>30</v>
      </c>
      <c r="N138" t="s">
        <v>59</v>
      </c>
      <c r="O138">
        <f>Table1[[#All],[Quantity]]*Table1[[#All],[Unit Price (?)]]</f>
        <v>10366.36</v>
      </c>
      <c r="P138" t="str">
        <f>TEXT(Table1[[#All],[Order Date]],"dddd")</f>
        <v>Wednesday</v>
      </c>
      <c r="Q138" t="str">
        <f>TEXT(Table1[[#All],[Order Date]],"mmm")</f>
        <v>Feb</v>
      </c>
      <c r="R138" t="str">
        <f>IF(Table1[[#All],[Total Price (?)]]&gt;1000,"High Value","Normal")</f>
        <v>High Value</v>
      </c>
    </row>
    <row r="139" spans="1:18" x14ac:dyDescent="0.3">
      <c r="A139" t="s">
        <v>200</v>
      </c>
      <c r="B139" s="1">
        <v>45837</v>
      </c>
      <c r="C139" t="s">
        <v>52</v>
      </c>
      <c r="D139" t="s">
        <v>16</v>
      </c>
      <c r="E139" t="s">
        <v>99</v>
      </c>
      <c r="F139" t="s">
        <v>115</v>
      </c>
      <c r="G139">
        <v>2</v>
      </c>
      <c r="H139">
        <v>478.11</v>
      </c>
      <c r="I139">
        <v>0.21</v>
      </c>
      <c r="J139">
        <v>755.41</v>
      </c>
      <c r="K139" t="s">
        <v>19</v>
      </c>
      <c r="L139" t="s">
        <v>20</v>
      </c>
      <c r="M139" t="s">
        <v>54</v>
      </c>
      <c r="N139" t="s">
        <v>22</v>
      </c>
      <c r="O139">
        <f>Table1[[#All],[Quantity]]*Table1[[#All],[Unit Price (?)]]</f>
        <v>956.22</v>
      </c>
      <c r="P139" t="str">
        <f>TEXT(Table1[[#All],[Order Date]],"dddd")</f>
        <v>Sunday</v>
      </c>
      <c r="Q139" t="str">
        <f>TEXT(Table1[[#All],[Order Date]],"mmm")</f>
        <v>Jun</v>
      </c>
      <c r="R139" t="str">
        <f>IF(Table1[[#All],[Total Price (?)]]&gt;1000,"High Value","Normal")</f>
        <v>Normal</v>
      </c>
    </row>
    <row r="140" spans="1:18" x14ac:dyDescent="0.3">
      <c r="A140" t="s">
        <v>201</v>
      </c>
      <c r="B140" s="1">
        <v>45770</v>
      </c>
      <c r="C140" t="s">
        <v>36</v>
      </c>
      <c r="D140" t="s">
        <v>43</v>
      </c>
      <c r="E140" t="s">
        <v>27</v>
      </c>
      <c r="F140" t="s">
        <v>68</v>
      </c>
      <c r="G140">
        <v>2</v>
      </c>
      <c r="H140">
        <v>986.15</v>
      </c>
      <c r="I140">
        <v>0.17</v>
      </c>
      <c r="J140">
        <v>1637.01</v>
      </c>
      <c r="K140" t="s">
        <v>41</v>
      </c>
      <c r="L140" t="s">
        <v>20</v>
      </c>
      <c r="M140" t="s">
        <v>21</v>
      </c>
      <c r="N140" t="s">
        <v>22</v>
      </c>
      <c r="O140">
        <f>Table1[[#All],[Quantity]]*Table1[[#All],[Unit Price (?)]]</f>
        <v>1972.3</v>
      </c>
      <c r="P140" t="str">
        <f>TEXT(Table1[[#All],[Order Date]],"dddd")</f>
        <v>Wednesday</v>
      </c>
      <c r="Q140" t="str">
        <f>TEXT(Table1[[#All],[Order Date]],"mmm")</f>
        <v>Apr</v>
      </c>
      <c r="R140" t="str">
        <f>IF(Table1[[#All],[Total Price (?)]]&gt;1000,"High Value","Normal")</f>
        <v>High Value</v>
      </c>
    </row>
    <row r="141" spans="1:18" x14ac:dyDescent="0.3">
      <c r="A141" t="s">
        <v>202</v>
      </c>
      <c r="B141" s="1">
        <v>45830</v>
      </c>
      <c r="C141" t="s">
        <v>15</v>
      </c>
      <c r="D141" t="s">
        <v>43</v>
      </c>
      <c r="E141" t="s">
        <v>17</v>
      </c>
      <c r="F141" t="s">
        <v>40</v>
      </c>
      <c r="G141">
        <v>5</v>
      </c>
      <c r="H141">
        <v>1496.15</v>
      </c>
      <c r="I141">
        <v>0.19</v>
      </c>
      <c r="J141">
        <v>6059.41</v>
      </c>
      <c r="K141" t="s">
        <v>19</v>
      </c>
      <c r="L141" t="s">
        <v>34</v>
      </c>
      <c r="M141" t="s">
        <v>30</v>
      </c>
      <c r="N141" t="s">
        <v>22</v>
      </c>
      <c r="O141">
        <f>Table1[[#All],[Quantity]]*Table1[[#All],[Unit Price (?)]]</f>
        <v>7480.75</v>
      </c>
      <c r="P141" t="str">
        <f>TEXT(Table1[[#All],[Order Date]],"dddd")</f>
        <v>Sunday</v>
      </c>
      <c r="Q141" t="str">
        <f>TEXT(Table1[[#All],[Order Date]],"mmm")</f>
        <v>Jun</v>
      </c>
      <c r="R141" t="str">
        <f>IF(Table1[[#All],[Total Price (?)]]&gt;1000,"High Value","Normal")</f>
        <v>High Value</v>
      </c>
    </row>
    <row r="142" spans="1:18" x14ac:dyDescent="0.3">
      <c r="A142" t="s">
        <v>203</v>
      </c>
      <c r="B142" s="1">
        <v>45799</v>
      </c>
      <c r="C142" t="s">
        <v>52</v>
      </c>
      <c r="D142" t="s">
        <v>25</v>
      </c>
      <c r="E142" t="s">
        <v>99</v>
      </c>
      <c r="F142" t="s">
        <v>115</v>
      </c>
      <c r="G142">
        <v>5</v>
      </c>
      <c r="H142">
        <v>4923.75</v>
      </c>
      <c r="I142">
        <v>0.12</v>
      </c>
      <c r="J142">
        <v>21664.5</v>
      </c>
      <c r="K142" t="s">
        <v>46</v>
      </c>
      <c r="L142" t="s">
        <v>29</v>
      </c>
      <c r="M142" t="s">
        <v>30</v>
      </c>
      <c r="N142" t="s">
        <v>22</v>
      </c>
      <c r="O142">
        <f>Table1[[#All],[Quantity]]*Table1[[#All],[Unit Price (?)]]</f>
        <v>24618.75</v>
      </c>
      <c r="P142" t="str">
        <f>TEXT(Table1[[#All],[Order Date]],"dddd")</f>
        <v>Thursday</v>
      </c>
      <c r="Q142" t="str">
        <f>TEXT(Table1[[#All],[Order Date]],"mmm")</f>
        <v>May</v>
      </c>
      <c r="R142" t="str">
        <f>IF(Table1[[#All],[Total Price (?)]]&gt;1000,"High Value","Normal")</f>
        <v>High Value</v>
      </c>
    </row>
    <row r="143" spans="1:18" x14ac:dyDescent="0.3">
      <c r="A143" t="s">
        <v>204</v>
      </c>
      <c r="B143" s="1">
        <v>45721</v>
      </c>
      <c r="C143" t="s">
        <v>52</v>
      </c>
      <c r="D143" t="s">
        <v>16</v>
      </c>
      <c r="E143" t="s">
        <v>49</v>
      </c>
      <c r="F143" t="s">
        <v>73</v>
      </c>
      <c r="G143">
        <v>3</v>
      </c>
      <c r="H143">
        <v>355.68</v>
      </c>
      <c r="I143">
        <v>0.12</v>
      </c>
      <c r="J143">
        <v>939</v>
      </c>
      <c r="K143" t="s">
        <v>33</v>
      </c>
      <c r="L143" t="s">
        <v>20</v>
      </c>
      <c r="M143" t="s">
        <v>30</v>
      </c>
      <c r="N143" t="s">
        <v>22</v>
      </c>
      <c r="O143">
        <f>Table1[[#All],[Quantity]]*Table1[[#All],[Unit Price (?)]]</f>
        <v>1067.04</v>
      </c>
      <c r="P143" t="str">
        <f>TEXT(Table1[[#All],[Order Date]],"dddd")</f>
        <v>Wednesday</v>
      </c>
      <c r="Q143" t="str">
        <f>TEXT(Table1[[#All],[Order Date]],"mmm")</f>
        <v>Mar</v>
      </c>
      <c r="R143" t="str">
        <f>IF(Table1[[#All],[Total Price (?)]]&gt;1000,"High Value","Normal")</f>
        <v>Normal</v>
      </c>
    </row>
    <row r="144" spans="1:18" x14ac:dyDescent="0.3">
      <c r="A144" t="s">
        <v>205</v>
      </c>
      <c r="B144" s="1">
        <v>45701</v>
      </c>
      <c r="C144" t="s">
        <v>15</v>
      </c>
      <c r="D144" t="s">
        <v>16</v>
      </c>
      <c r="E144" t="s">
        <v>27</v>
      </c>
      <c r="F144" t="s">
        <v>79</v>
      </c>
      <c r="G144">
        <v>3</v>
      </c>
      <c r="H144">
        <v>2301.66</v>
      </c>
      <c r="I144">
        <v>0.13</v>
      </c>
      <c r="J144">
        <v>6007.33</v>
      </c>
      <c r="K144" t="s">
        <v>58</v>
      </c>
      <c r="L144" t="s">
        <v>20</v>
      </c>
      <c r="M144" t="s">
        <v>30</v>
      </c>
      <c r="N144" t="s">
        <v>37</v>
      </c>
      <c r="O144">
        <f>Table1[[#All],[Quantity]]*Table1[[#All],[Unit Price (?)]]</f>
        <v>6904.98</v>
      </c>
      <c r="P144" t="str">
        <f>TEXT(Table1[[#All],[Order Date]],"dddd")</f>
        <v>Thursday</v>
      </c>
      <c r="Q144" t="str">
        <f>TEXT(Table1[[#All],[Order Date]],"mmm")</f>
        <v>Feb</v>
      </c>
      <c r="R144" t="str">
        <f>IF(Table1[[#All],[Total Price (?)]]&gt;1000,"High Value","Normal")</f>
        <v>High Value</v>
      </c>
    </row>
    <row r="145" spans="1:18" x14ac:dyDescent="0.3">
      <c r="A145" t="s">
        <v>206</v>
      </c>
      <c r="B145" s="1">
        <v>45787</v>
      </c>
      <c r="C145" t="s">
        <v>15</v>
      </c>
      <c r="D145" t="s">
        <v>16</v>
      </c>
      <c r="E145" t="s">
        <v>61</v>
      </c>
      <c r="F145" t="s">
        <v>92</v>
      </c>
      <c r="G145">
        <v>1</v>
      </c>
      <c r="H145">
        <v>2042.62</v>
      </c>
      <c r="I145">
        <v>0.09</v>
      </c>
      <c r="J145">
        <v>1858.78</v>
      </c>
      <c r="K145" t="s">
        <v>58</v>
      </c>
      <c r="L145" t="s">
        <v>34</v>
      </c>
      <c r="M145" t="s">
        <v>30</v>
      </c>
      <c r="N145" t="s">
        <v>22</v>
      </c>
      <c r="O145">
        <f>Table1[[#All],[Quantity]]*Table1[[#All],[Unit Price (?)]]</f>
        <v>2042.62</v>
      </c>
      <c r="P145" t="str">
        <f>TEXT(Table1[[#All],[Order Date]],"dddd")</f>
        <v>Saturday</v>
      </c>
      <c r="Q145" t="str">
        <f>TEXT(Table1[[#All],[Order Date]],"mmm")</f>
        <v>May</v>
      </c>
      <c r="R145" t="str">
        <f>IF(Table1[[#All],[Total Price (?)]]&gt;1000,"High Value","Normal")</f>
        <v>High Value</v>
      </c>
    </row>
    <row r="146" spans="1:18" x14ac:dyDescent="0.3">
      <c r="A146" t="s">
        <v>207</v>
      </c>
      <c r="B146" s="1">
        <v>45756</v>
      </c>
      <c r="C146" t="s">
        <v>24</v>
      </c>
      <c r="D146" t="s">
        <v>43</v>
      </c>
      <c r="E146" t="s">
        <v>17</v>
      </c>
      <c r="F146" t="s">
        <v>32</v>
      </c>
      <c r="G146">
        <v>2</v>
      </c>
      <c r="H146">
        <v>287.69</v>
      </c>
      <c r="I146">
        <v>0.23</v>
      </c>
      <c r="J146">
        <v>443.04</v>
      </c>
      <c r="K146" t="s">
        <v>46</v>
      </c>
      <c r="L146" t="s">
        <v>20</v>
      </c>
      <c r="M146" t="s">
        <v>30</v>
      </c>
      <c r="N146" t="s">
        <v>88</v>
      </c>
      <c r="O146">
        <f>Table1[[#All],[Quantity]]*Table1[[#All],[Unit Price (?)]]</f>
        <v>575.38</v>
      </c>
      <c r="P146" t="str">
        <f>TEXT(Table1[[#All],[Order Date]],"dddd")</f>
        <v>Wednesday</v>
      </c>
      <c r="Q146" t="str">
        <f>TEXT(Table1[[#All],[Order Date]],"mmm")</f>
        <v>Apr</v>
      </c>
      <c r="R146" t="str">
        <f>IF(Table1[[#All],[Total Price (?)]]&gt;1000,"High Value","Normal")</f>
        <v>Normal</v>
      </c>
    </row>
    <row r="147" spans="1:18" x14ac:dyDescent="0.3">
      <c r="A147" t="s">
        <v>208</v>
      </c>
      <c r="B147" s="1">
        <v>45736</v>
      </c>
      <c r="C147" t="s">
        <v>36</v>
      </c>
      <c r="D147" t="s">
        <v>25</v>
      </c>
      <c r="E147" t="s">
        <v>49</v>
      </c>
      <c r="F147" t="s">
        <v>50</v>
      </c>
      <c r="G147">
        <v>1</v>
      </c>
      <c r="H147">
        <v>1354.03</v>
      </c>
      <c r="I147">
        <v>0.21</v>
      </c>
      <c r="J147">
        <v>1069.68</v>
      </c>
      <c r="K147" t="s">
        <v>58</v>
      </c>
      <c r="L147" t="s">
        <v>20</v>
      </c>
      <c r="M147" t="s">
        <v>21</v>
      </c>
      <c r="N147" t="s">
        <v>22</v>
      </c>
      <c r="O147">
        <f>Table1[[#All],[Quantity]]*Table1[[#All],[Unit Price (?)]]</f>
        <v>1354.03</v>
      </c>
      <c r="P147" t="str">
        <f>TEXT(Table1[[#All],[Order Date]],"dddd")</f>
        <v>Thursday</v>
      </c>
      <c r="Q147" t="str">
        <f>TEXT(Table1[[#All],[Order Date]],"mmm")</f>
        <v>Mar</v>
      </c>
      <c r="R147" t="str">
        <f>IF(Table1[[#All],[Total Price (?)]]&gt;1000,"High Value","Normal")</f>
        <v>High Value</v>
      </c>
    </row>
    <row r="148" spans="1:18" x14ac:dyDescent="0.3">
      <c r="A148" t="s">
        <v>209</v>
      </c>
      <c r="B148" s="1">
        <v>45831</v>
      </c>
      <c r="C148" t="s">
        <v>15</v>
      </c>
      <c r="D148" t="s">
        <v>16</v>
      </c>
      <c r="E148" t="s">
        <v>99</v>
      </c>
      <c r="F148" t="s">
        <v>100</v>
      </c>
      <c r="G148">
        <v>2</v>
      </c>
      <c r="H148">
        <v>2157.15</v>
      </c>
      <c r="I148">
        <v>0.2</v>
      </c>
      <c r="J148">
        <v>3451.44</v>
      </c>
      <c r="K148" t="s">
        <v>58</v>
      </c>
      <c r="L148" t="s">
        <v>20</v>
      </c>
      <c r="M148" t="s">
        <v>30</v>
      </c>
      <c r="N148" t="s">
        <v>22</v>
      </c>
      <c r="O148">
        <f>Table1[[#All],[Quantity]]*Table1[[#All],[Unit Price (?)]]</f>
        <v>4314.3</v>
      </c>
      <c r="P148" t="str">
        <f>TEXT(Table1[[#All],[Order Date]],"dddd")</f>
        <v>Monday</v>
      </c>
      <c r="Q148" t="str">
        <f>TEXT(Table1[[#All],[Order Date]],"mmm")</f>
        <v>Jun</v>
      </c>
      <c r="R148" t="str">
        <f>IF(Table1[[#All],[Total Price (?)]]&gt;1000,"High Value","Normal")</f>
        <v>High Value</v>
      </c>
    </row>
    <row r="149" spans="1:18" x14ac:dyDescent="0.3">
      <c r="A149" t="s">
        <v>210</v>
      </c>
      <c r="B149" s="1">
        <v>45837</v>
      </c>
      <c r="C149" t="s">
        <v>36</v>
      </c>
      <c r="D149" t="s">
        <v>43</v>
      </c>
      <c r="E149" t="s">
        <v>49</v>
      </c>
      <c r="F149" t="s">
        <v>56</v>
      </c>
      <c r="G149">
        <v>2</v>
      </c>
      <c r="H149">
        <v>1527.23</v>
      </c>
      <c r="I149">
        <v>0</v>
      </c>
      <c r="J149">
        <v>3054.46</v>
      </c>
      <c r="K149" t="s">
        <v>33</v>
      </c>
      <c r="L149" t="s">
        <v>20</v>
      </c>
      <c r="M149" t="s">
        <v>30</v>
      </c>
      <c r="N149" t="s">
        <v>22</v>
      </c>
      <c r="O149">
        <f>Table1[[#All],[Quantity]]*Table1[[#All],[Unit Price (?)]]</f>
        <v>3054.46</v>
      </c>
      <c r="P149" t="str">
        <f>TEXT(Table1[[#All],[Order Date]],"dddd")</f>
        <v>Sunday</v>
      </c>
      <c r="Q149" t="str">
        <f>TEXT(Table1[[#All],[Order Date]],"mmm")</f>
        <v>Jun</v>
      </c>
      <c r="R149" t="str">
        <f>IF(Table1[[#All],[Total Price (?)]]&gt;1000,"High Value","Normal")</f>
        <v>High Value</v>
      </c>
    </row>
    <row r="150" spans="1:18" x14ac:dyDescent="0.3">
      <c r="A150" t="s">
        <v>211</v>
      </c>
      <c r="B150" s="1">
        <v>45784</v>
      </c>
      <c r="C150" t="s">
        <v>36</v>
      </c>
      <c r="D150" t="s">
        <v>16</v>
      </c>
      <c r="E150" t="s">
        <v>61</v>
      </c>
      <c r="F150" t="s">
        <v>62</v>
      </c>
      <c r="G150">
        <v>5</v>
      </c>
      <c r="H150">
        <v>2766</v>
      </c>
      <c r="I150">
        <v>0.2</v>
      </c>
      <c r="J150">
        <v>11064</v>
      </c>
      <c r="K150" t="s">
        <v>46</v>
      </c>
      <c r="L150" t="s">
        <v>20</v>
      </c>
      <c r="M150" t="s">
        <v>21</v>
      </c>
      <c r="N150" t="s">
        <v>22</v>
      </c>
      <c r="O150">
        <f>Table1[[#All],[Quantity]]*Table1[[#All],[Unit Price (?)]]</f>
        <v>13830</v>
      </c>
      <c r="P150" t="str">
        <f>TEXT(Table1[[#All],[Order Date]],"dddd")</f>
        <v>Wednesday</v>
      </c>
      <c r="Q150" t="str">
        <f>TEXT(Table1[[#All],[Order Date]],"mmm")</f>
        <v>May</v>
      </c>
      <c r="R150" t="str">
        <f>IF(Table1[[#All],[Total Price (?)]]&gt;1000,"High Value","Normal")</f>
        <v>High Value</v>
      </c>
    </row>
    <row r="151" spans="1:18" x14ac:dyDescent="0.3">
      <c r="A151" t="s">
        <v>212</v>
      </c>
      <c r="B151" s="1">
        <v>45749</v>
      </c>
      <c r="C151" t="s">
        <v>48</v>
      </c>
      <c r="D151" t="s">
        <v>16</v>
      </c>
      <c r="E151" t="s">
        <v>49</v>
      </c>
      <c r="F151" t="s">
        <v>56</v>
      </c>
      <c r="G151">
        <v>1</v>
      </c>
      <c r="H151">
        <v>1849.76</v>
      </c>
      <c r="I151">
        <v>0.02</v>
      </c>
      <c r="J151">
        <v>1812.76</v>
      </c>
      <c r="K151" t="s">
        <v>46</v>
      </c>
      <c r="L151" t="s">
        <v>34</v>
      </c>
      <c r="M151" t="s">
        <v>54</v>
      </c>
      <c r="N151" t="s">
        <v>88</v>
      </c>
      <c r="O151">
        <f>Table1[[#All],[Quantity]]*Table1[[#All],[Unit Price (?)]]</f>
        <v>1849.76</v>
      </c>
      <c r="P151" t="str">
        <f>TEXT(Table1[[#All],[Order Date]],"dddd")</f>
        <v>Wednesday</v>
      </c>
      <c r="Q151" t="str">
        <f>TEXT(Table1[[#All],[Order Date]],"mmm")</f>
        <v>Apr</v>
      </c>
      <c r="R151" t="str">
        <f>IF(Table1[[#All],[Total Price (?)]]&gt;1000,"High Value","Normal")</f>
        <v>High Value</v>
      </c>
    </row>
    <row r="152" spans="1:18" x14ac:dyDescent="0.3">
      <c r="A152" t="s">
        <v>213</v>
      </c>
      <c r="B152" s="1">
        <v>45687</v>
      </c>
      <c r="C152" t="s">
        <v>24</v>
      </c>
      <c r="D152" t="s">
        <v>25</v>
      </c>
      <c r="E152" t="s">
        <v>99</v>
      </c>
      <c r="F152" t="s">
        <v>100</v>
      </c>
      <c r="G152">
        <v>3</v>
      </c>
      <c r="H152">
        <v>4086.19</v>
      </c>
      <c r="I152">
        <v>0.04</v>
      </c>
      <c r="J152">
        <v>11768.23</v>
      </c>
      <c r="K152" t="s">
        <v>46</v>
      </c>
      <c r="L152" t="s">
        <v>29</v>
      </c>
      <c r="M152" t="s">
        <v>21</v>
      </c>
      <c r="N152" t="s">
        <v>59</v>
      </c>
      <c r="O152">
        <f>Table1[[#All],[Quantity]]*Table1[[#All],[Unit Price (?)]]</f>
        <v>12258.57</v>
      </c>
      <c r="P152" t="str">
        <f>TEXT(Table1[[#All],[Order Date]],"dddd")</f>
        <v>Thursday</v>
      </c>
      <c r="Q152" t="str">
        <f>TEXT(Table1[[#All],[Order Date]],"mmm")</f>
        <v>Jan</v>
      </c>
      <c r="R152" t="str">
        <f>IF(Table1[[#All],[Total Price (?)]]&gt;1000,"High Value","Normal")</f>
        <v>High Value</v>
      </c>
    </row>
    <row r="153" spans="1:18" x14ac:dyDescent="0.3">
      <c r="A153" t="s">
        <v>214</v>
      </c>
      <c r="B153" s="1">
        <v>45711</v>
      </c>
      <c r="C153" t="s">
        <v>52</v>
      </c>
      <c r="D153" t="s">
        <v>16</v>
      </c>
      <c r="E153" t="s">
        <v>49</v>
      </c>
      <c r="F153" t="s">
        <v>73</v>
      </c>
      <c r="G153">
        <v>4</v>
      </c>
      <c r="H153">
        <v>281.22000000000003</v>
      </c>
      <c r="I153">
        <v>0.05</v>
      </c>
      <c r="J153">
        <v>1068.6400000000001</v>
      </c>
      <c r="K153" t="s">
        <v>58</v>
      </c>
      <c r="L153" t="s">
        <v>29</v>
      </c>
      <c r="M153" t="s">
        <v>54</v>
      </c>
      <c r="N153" t="s">
        <v>22</v>
      </c>
      <c r="O153">
        <f>Table1[[#All],[Quantity]]*Table1[[#All],[Unit Price (?)]]</f>
        <v>1124.8800000000001</v>
      </c>
      <c r="P153" t="str">
        <f>TEXT(Table1[[#All],[Order Date]],"dddd")</f>
        <v>Sunday</v>
      </c>
      <c r="Q153" t="str">
        <f>TEXT(Table1[[#All],[Order Date]],"mmm")</f>
        <v>Feb</v>
      </c>
      <c r="R153" t="str">
        <f>IF(Table1[[#All],[Total Price (?)]]&gt;1000,"High Value","Normal")</f>
        <v>High Value</v>
      </c>
    </row>
    <row r="154" spans="1:18" x14ac:dyDescent="0.3">
      <c r="A154" t="s">
        <v>215</v>
      </c>
      <c r="B154" s="1">
        <v>45687</v>
      </c>
      <c r="C154" t="s">
        <v>36</v>
      </c>
      <c r="D154" t="s">
        <v>16</v>
      </c>
      <c r="E154" t="s">
        <v>99</v>
      </c>
      <c r="F154" t="s">
        <v>115</v>
      </c>
      <c r="G154">
        <v>1</v>
      </c>
      <c r="H154">
        <v>3791.13</v>
      </c>
      <c r="I154">
        <v>0.05</v>
      </c>
      <c r="J154">
        <v>3601.57</v>
      </c>
      <c r="K154" t="s">
        <v>41</v>
      </c>
      <c r="L154" t="s">
        <v>34</v>
      </c>
      <c r="M154" t="s">
        <v>30</v>
      </c>
      <c r="N154" t="s">
        <v>37</v>
      </c>
      <c r="O154">
        <f>Table1[[#All],[Quantity]]*Table1[[#All],[Unit Price (?)]]</f>
        <v>3791.13</v>
      </c>
      <c r="P154" t="str">
        <f>TEXT(Table1[[#All],[Order Date]],"dddd")</f>
        <v>Thursday</v>
      </c>
      <c r="Q154" t="str">
        <f>TEXT(Table1[[#All],[Order Date]],"mmm")</f>
        <v>Jan</v>
      </c>
      <c r="R154" t="str">
        <f>IF(Table1[[#All],[Total Price (?)]]&gt;1000,"High Value","Normal")</f>
        <v>High Value</v>
      </c>
    </row>
    <row r="155" spans="1:18" x14ac:dyDescent="0.3">
      <c r="A155" t="s">
        <v>216</v>
      </c>
      <c r="B155" s="1">
        <v>45707</v>
      </c>
      <c r="C155" t="s">
        <v>24</v>
      </c>
      <c r="D155" t="s">
        <v>39</v>
      </c>
      <c r="E155" t="s">
        <v>99</v>
      </c>
      <c r="F155" t="s">
        <v>111</v>
      </c>
      <c r="G155">
        <v>4</v>
      </c>
      <c r="H155">
        <v>3742.21</v>
      </c>
      <c r="I155">
        <v>0.22</v>
      </c>
      <c r="J155">
        <v>11675.7</v>
      </c>
      <c r="K155" t="s">
        <v>46</v>
      </c>
      <c r="L155" t="s">
        <v>34</v>
      </c>
      <c r="M155" t="s">
        <v>30</v>
      </c>
      <c r="N155" t="s">
        <v>59</v>
      </c>
      <c r="O155">
        <f>Table1[[#All],[Quantity]]*Table1[[#All],[Unit Price (?)]]</f>
        <v>14968.84</v>
      </c>
      <c r="P155" t="str">
        <f>TEXT(Table1[[#All],[Order Date]],"dddd")</f>
        <v>Wednesday</v>
      </c>
      <c r="Q155" t="str">
        <f>TEXT(Table1[[#All],[Order Date]],"mmm")</f>
        <v>Feb</v>
      </c>
      <c r="R155" t="str">
        <f>IF(Table1[[#All],[Total Price (?)]]&gt;1000,"High Value","Normal")</f>
        <v>High Value</v>
      </c>
    </row>
    <row r="156" spans="1:18" x14ac:dyDescent="0.3">
      <c r="A156" t="s">
        <v>217</v>
      </c>
      <c r="B156" s="1">
        <v>45804</v>
      </c>
      <c r="C156" t="s">
        <v>15</v>
      </c>
      <c r="D156" t="s">
        <v>43</v>
      </c>
      <c r="E156" t="s">
        <v>49</v>
      </c>
      <c r="F156" t="s">
        <v>50</v>
      </c>
      <c r="G156">
        <v>1</v>
      </c>
      <c r="H156">
        <v>3662.7</v>
      </c>
      <c r="I156">
        <v>0.02</v>
      </c>
      <c r="J156">
        <v>3589.45</v>
      </c>
      <c r="K156" t="s">
        <v>33</v>
      </c>
      <c r="L156" t="s">
        <v>34</v>
      </c>
      <c r="M156" t="s">
        <v>21</v>
      </c>
      <c r="N156" t="s">
        <v>22</v>
      </c>
      <c r="O156">
        <f>Table1[[#All],[Quantity]]*Table1[[#All],[Unit Price (?)]]</f>
        <v>3662.7</v>
      </c>
      <c r="P156" t="str">
        <f>TEXT(Table1[[#All],[Order Date]],"dddd")</f>
        <v>Tuesday</v>
      </c>
      <c r="Q156" t="str">
        <f>TEXT(Table1[[#All],[Order Date]],"mmm")</f>
        <v>May</v>
      </c>
      <c r="R156" t="str">
        <f>IF(Table1[[#All],[Total Price (?)]]&gt;1000,"High Value","Normal")</f>
        <v>High Value</v>
      </c>
    </row>
    <row r="157" spans="1:18" x14ac:dyDescent="0.3">
      <c r="A157" t="s">
        <v>218</v>
      </c>
      <c r="B157" s="1">
        <v>45769</v>
      </c>
      <c r="C157" t="s">
        <v>24</v>
      </c>
      <c r="D157" t="s">
        <v>43</v>
      </c>
      <c r="E157" t="s">
        <v>99</v>
      </c>
      <c r="F157" t="s">
        <v>120</v>
      </c>
      <c r="G157">
        <v>3</v>
      </c>
      <c r="H157">
        <v>1601.83</v>
      </c>
      <c r="I157">
        <v>0.15</v>
      </c>
      <c r="J157">
        <v>4084.67</v>
      </c>
      <c r="K157" t="s">
        <v>46</v>
      </c>
      <c r="L157" t="s">
        <v>29</v>
      </c>
      <c r="M157" t="s">
        <v>30</v>
      </c>
      <c r="N157" t="s">
        <v>22</v>
      </c>
      <c r="O157">
        <f>Table1[[#All],[Quantity]]*Table1[[#All],[Unit Price (?)]]</f>
        <v>4805.49</v>
      </c>
      <c r="P157" t="str">
        <f>TEXT(Table1[[#All],[Order Date]],"dddd")</f>
        <v>Tuesday</v>
      </c>
      <c r="Q157" t="str">
        <f>TEXT(Table1[[#All],[Order Date]],"mmm")</f>
        <v>Apr</v>
      </c>
      <c r="R157" t="str">
        <f>IF(Table1[[#All],[Total Price (?)]]&gt;1000,"High Value","Normal")</f>
        <v>High Value</v>
      </c>
    </row>
    <row r="158" spans="1:18" x14ac:dyDescent="0.3">
      <c r="A158" t="s">
        <v>219</v>
      </c>
      <c r="B158" s="1">
        <v>45764</v>
      </c>
      <c r="C158" t="s">
        <v>24</v>
      </c>
      <c r="D158" t="s">
        <v>16</v>
      </c>
      <c r="E158" t="s">
        <v>99</v>
      </c>
      <c r="F158" t="s">
        <v>115</v>
      </c>
      <c r="G158">
        <v>4</v>
      </c>
      <c r="H158">
        <v>1445.32</v>
      </c>
      <c r="I158">
        <v>0.25</v>
      </c>
      <c r="J158">
        <v>4335.96</v>
      </c>
      <c r="K158" t="s">
        <v>46</v>
      </c>
      <c r="L158" t="s">
        <v>29</v>
      </c>
      <c r="M158" t="s">
        <v>54</v>
      </c>
      <c r="N158" t="s">
        <v>22</v>
      </c>
      <c r="O158">
        <f>Table1[[#All],[Quantity]]*Table1[[#All],[Unit Price (?)]]</f>
        <v>5781.28</v>
      </c>
      <c r="P158" t="str">
        <f>TEXT(Table1[[#All],[Order Date]],"dddd")</f>
        <v>Thursday</v>
      </c>
      <c r="Q158" t="str">
        <f>TEXT(Table1[[#All],[Order Date]],"mmm")</f>
        <v>Apr</v>
      </c>
      <c r="R158" t="str">
        <f>IF(Table1[[#All],[Total Price (?)]]&gt;1000,"High Value","Normal")</f>
        <v>High Value</v>
      </c>
    </row>
    <row r="159" spans="1:18" x14ac:dyDescent="0.3">
      <c r="A159" t="s">
        <v>220</v>
      </c>
      <c r="B159" s="1">
        <v>45711</v>
      </c>
      <c r="C159" t="s">
        <v>36</v>
      </c>
      <c r="D159" t="s">
        <v>16</v>
      </c>
      <c r="E159" t="s">
        <v>49</v>
      </c>
      <c r="F159" t="s">
        <v>53</v>
      </c>
      <c r="G159">
        <v>2</v>
      </c>
      <c r="H159">
        <v>4258.4799999999996</v>
      </c>
      <c r="I159">
        <v>0.17</v>
      </c>
      <c r="J159">
        <v>7069.08</v>
      </c>
      <c r="K159" t="s">
        <v>19</v>
      </c>
      <c r="L159" t="s">
        <v>20</v>
      </c>
      <c r="M159" t="s">
        <v>30</v>
      </c>
      <c r="N159" t="s">
        <v>22</v>
      </c>
      <c r="O159">
        <f>Table1[[#All],[Quantity]]*Table1[[#All],[Unit Price (?)]]</f>
        <v>8516.9599999999991</v>
      </c>
      <c r="P159" t="str">
        <f>TEXT(Table1[[#All],[Order Date]],"dddd")</f>
        <v>Sunday</v>
      </c>
      <c r="Q159" t="str">
        <f>TEXT(Table1[[#All],[Order Date]],"mmm")</f>
        <v>Feb</v>
      </c>
      <c r="R159" t="str">
        <f>IF(Table1[[#All],[Total Price (?)]]&gt;1000,"High Value","Normal")</f>
        <v>High Value</v>
      </c>
    </row>
    <row r="160" spans="1:18" x14ac:dyDescent="0.3">
      <c r="A160" t="s">
        <v>221</v>
      </c>
      <c r="B160" s="1">
        <v>45805</v>
      </c>
      <c r="C160" t="s">
        <v>15</v>
      </c>
      <c r="D160" t="s">
        <v>39</v>
      </c>
      <c r="E160" t="s">
        <v>61</v>
      </c>
      <c r="F160" t="s">
        <v>66</v>
      </c>
      <c r="G160">
        <v>1</v>
      </c>
      <c r="H160">
        <v>3064.96</v>
      </c>
      <c r="I160">
        <v>0.17</v>
      </c>
      <c r="J160">
        <v>2543.92</v>
      </c>
      <c r="K160" t="s">
        <v>41</v>
      </c>
      <c r="L160" t="s">
        <v>29</v>
      </c>
      <c r="M160" t="s">
        <v>30</v>
      </c>
      <c r="N160" t="s">
        <v>22</v>
      </c>
      <c r="O160">
        <f>Table1[[#All],[Quantity]]*Table1[[#All],[Unit Price (?)]]</f>
        <v>3064.96</v>
      </c>
      <c r="P160" t="str">
        <f>TEXT(Table1[[#All],[Order Date]],"dddd")</f>
        <v>Wednesday</v>
      </c>
      <c r="Q160" t="str">
        <f>TEXT(Table1[[#All],[Order Date]],"mmm")</f>
        <v>May</v>
      </c>
      <c r="R160" t="str">
        <f>IF(Table1[[#All],[Total Price (?)]]&gt;1000,"High Value","Normal")</f>
        <v>High Value</v>
      </c>
    </row>
    <row r="161" spans="1:18" x14ac:dyDescent="0.3">
      <c r="A161" t="s">
        <v>222</v>
      </c>
      <c r="B161" s="1">
        <v>45773</v>
      </c>
      <c r="C161" t="s">
        <v>36</v>
      </c>
      <c r="D161" t="s">
        <v>16</v>
      </c>
      <c r="E161" t="s">
        <v>17</v>
      </c>
      <c r="F161" t="s">
        <v>44</v>
      </c>
      <c r="G161">
        <v>3</v>
      </c>
      <c r="H161">
        <v>3282.85</v>
      </c>
      <c r="I161">
        <v>0.06</v>
      </c>
      <c r="J161">
        <v>9257.64</v>
      </c>
      <c r="K161" t="s">
        <v>46</v>
      </c>
      <c r="L161" t="s">
        <v>34</v>
      </c>
      <c r="M161" t="s">
        <v>54</v>
      </c>
      <c r="N161" t="s">
        <v>22</v>
      </c>
      <c r="O161">
        <f>Table1[[#All],[Quantity]]*Table1[[#All],[Unit Price (?)]]</f>
        <v>9848.5499999999993</v>
      </c>
      <c r="P161" t="str">
        <f>TEXT(Table1[[#All],[Order Date]],"dddd")</f>
        <v>Saturday</v>
      </c>
      <c r="Q161" t="str">
        <f>TEXT(Table1[[#All],[Order Date]],"mmm")</f>
        <v>Apr</v>
      </c>
      <c r="R161" t="str">
        <f>IF(Table1[[#All],[Total Price (?)]]&gt;1000,"High Value","Normal")</f>
        <v>High Value</v>
      </c>
    </row>
    <row r="162" spans="1:18" x14ac:dyDescent="0.3">
      <c r="A162" t="s">
        <v>223</v>
      </c>
      <c r="B162" s="1">
        <v>45743</v>
      </c>
      <c r="C162" t="s">
        <v>36</v>
      </c>
      <c r="D162" t="s">
        <v>39</v>
      </c>
      <c r="E162" t="s">
        <v>49</v>
      </c>
      <c r="F162" t="s">
        <v>50</v>
      </c>
      <c r="G162">
        <v>3</v>
      </c>
      <c r="H162">
        <v>3549.79</v>
      </c>
      <c r="I162">
        <v>0.05</v>
      </c>
      <c r="J162">
        <v>10116.9</v>
      </c>
      <c r="K162" t="s">
        <v>58</v>
      </c>
      <c r="L162" t="s">
        <v>34</v>
      </c>
      <c r="M162" t="s">
        <v>21</v>
      </c>
      <c r="N162" t="s">
        <v>22</v>
      </c>
      <c r="O162">
        <f>Table1[[#All],[Quantity]]*Table1[[#All],[Unit Price (?)]]</f>
        <v>10649.369999999999</v>
      </c>
      <c r="P162" t="str">
        <f>TEXT(Table1[[#All],[Order Date]],"dddd")</f>
        <v>Thursday</v>
      </c>
      <c r="Q162" t="str">
        <f>TEXT(Table1[[#All],[Order Date]],"mmm")</f>
        <v>Mar</v>
      </c>
      <c r="R162" t="str">
        <f>IF(Table1[[#All],[Total Price (?)]]&gt;1000,"High Value","Normal")</f>
        <v>High Value</v>
      </c>
    </row>
    <row r="163" spans="1:18" x14ac:dyDescent="0.3">
      <c r="A163" t="s">
        <v>224</v>
      </c>
      <c r="B163" s="1">
        <v>45834</v>
      </c>
      <c r="C163" t="s">
        <v>24</v>
      </c>
      <c r="D163" t="s">
        <v>39</v>
      </c>
      <c r="E163" t="s">
        <v>49</v>
      </c>
      <c r="F163" t="s">
        <v>73</v>
      </c>
      <c r="G163">
        <v>4</v>
      </c>
      <c r="H163">
        <v>946.02</v>
      </c>
      <c r="I163">
        <v>0.18</v>
      </c>
      <c r="J163">
        <v>3102.95</v>
      </c>
      <c r="K163" t="s">
        <v>19</v>
      </c>
      <c r="L163" t="s">
        <v>20</v>
      </c>
      <c r="M163" t="s">
        <v>54</v>
      </c>
      <c r="N163" t="s">
        <v>22</v>
      </c>
      <c r="O163">
        <f>Table1[[#All],[Quantity]]*Table1[[#All],[Unit Price (?)]]</f>
        <v>3784.08</v>
      </c>
      <c r="P163" t="str">
        <f>TEXT(Table1[[#All],[Order Date]],"dddd")</f>
        <v>Thursday</v>
      </c>
      <c r="Q163" t="str">
        <f>TEXT(Table1[[#All],[Order Date]],"mmm")</f>
        <v>Jun</v>
      </c>
      <c r="R163" t="str">
        <f>IF(Table1[[#All],[Total Price (?)]]&gt;1000,"High Value","Normal")</f>
        <v>High Value</v>
      </c>
    </row>
    <row r="164" spans="1:18" x14ac:dyDescent="0.3">
      <c r="A164" t="s">
        <v>225</v>
      </c>
      <c r="B164" s="1">
        <v>45773</v>
      </c>
      <c r="C164" t="s">
        <v>15</v>
      </c>
      <c r="D164" t="s">
        <v>43</v>
      </c>
      <c r="E164" t="s">
        <v>17</v>
      </c>
      <c r="F164" t="s">
        <v>32</v>
      </c>
      <c r="G164">
        <v>2</v>
      </c>
      <c r="H164">
        <v>3989.11</v>
      </c>
      <c r="I164">
        <v>0.13</v>
      </c>
      <c r="J164">
        <v>6941.05</v>
      </c>
      <c r="K164" t="s">
        <v>19</v>
      </c>
      <c r="L164" t="s">
        <v>29</v>
      </c>
      <c r="M164" t="s">
        <v>54</v>
      </c>
      <c r="N164" t="s">
        <v>88</v>
      </c>
      <c r="O164">
        <f>Table1[[#All],[Quantity]]*Table1[[#All],[Unit Price (?)]]</f>
        <v>7978.22</v>
      </c>
      <c r="P164" t="str">
        <f>TEXT(Table1[[#All],[Order Date]],"dddd")</f>
        <v>Saturday</v>
      </c>
      <c r="Q164" t="str">
        <f>TEXT(Table1[[#All],[Order Date]],"mmm")</f>
        <v>Apr</v>
      </c>
      <c r="R164" t="str">
        <f>IF(Table1[[#All],[Total Price (?)]]&gt;1000,"High Value","Normal")</f>
        <v>High Value</v>
      </c>
    </row>
    <row r="165" spans="1:18" x14ac:dyDescent="0.3">
      <c r="A165" t="s">
        <v>226</v>
      </c>
      <c r="B165" s="1">
        <v>45737</v>
      </c>
      <c r="C165" t="s">
        <v>24</v>
      </c>
      <c r="D165" t="s">
        <v>43</v>
      </c>
      <c r="E165" t="s">
        <v>61</v>
      </c>
      <c r="F165" t="s">
        <v>92</v>
      </c>
      <c r="G165">
        <v>5</v>
      </c>
      <c r="H165">
        <v>1907.66</v>
      </c>
      <c r="I165">
        <v>0.2</v>
      </c>
      <c r="J165">
        <v>7630.64</v>
      </c>
      <c r="K165" t="s">
        <v>46</v>
      </c>
      <c r="L165" t="s">
        <v>29</v>
      </c>
      <c r="M165" t="s">
        <v>21</v>
      </c>
      <c r="N165" t="s">
        <v>22</v>
      </c>
      <c r="O165">
        <f>Table1[[#All],[Quantity]]*Table1[[#All],[Unit Price (?)]]</f>
        <v>9538.3000000000011</v>
      </c>
      <c r="P165" t="str">
        <f>TEXT(Table1[[#All],[Order Date]],"dddd")</f>
        <v>Friday</v>
      </c>
      <c r="Q165" t="str">
        <f>TEXT(Table1[[#All],[Order Date]],"mmm")</f>
        <v>Mar</v>
      </c>
      <c r="R165" t="str">
        <f>IF(Table1[[#All],[Total Price (?)]]&gt;1000,"High Value","Normal")</f>
        <v>High Value</v>
      </c>
    </row>
    <row r="166" spans="1:18" x14ac:dyDescent="0.3">
      <c r="A166" t="s">
        <v>227</v>
      </c>
      <c r="B166" s="1">
        <v>45730</v>
      </c>
      <c r="C166" t="s">
        <v>15</v>
      </c>
      <c r="D166" t="s">
        <v>16</v>
      </c>
      <c r="E166" t="s">
        <v>17</v>
      </c>
      <c r="F166" t="s">
        <v>18</v>
      </c>
      <c r="G166">
        <v>4</v>
      </c>
      <c r="H166">
        <v>2675.91</v>
      </c>
      <c r="I166">
        <v>0.19</v>
      </c>
      <c r="J166">
        <v>8669.9500000000007</v>
      </c>
      <c r="K166" t="s">
        <v>41</v>
      </c>
      <c r="L166" t="s">
        <v>29</v>
      </c>
      <c r="M166" t="s">
        <v>21</v>
      </c>
      <c r="N166" t="s">
        <v>22</v>
      </c>
      <c r="O166">
        <f>Table1[[#All],[Quantity]]*Table1[[#All],[Unit Price (?)]]</f>
        <v>10703.64</v>
      </c>
      <c r="P166" t="str">
        <f>TEXT(Table1[[#All],[Order Date]],"dddd")</f>
        <v>Friday</v>
      </c>
      <c r="Q166" t="str">
        <f>TEXT(Table1[[#All],[Order Date]],"mmm")</f>
        <v>Mar</v>
      </c>
      <c r="R166" t="str">
        <f>IF(Table1[[#All],[Total Price (?)]]&gt;1000,"High Value","Normal")</f>
        <v>High Value</v>
      </c>
    </row>
    <row r="167" spans="1:18" x14ac:dyDescent="0.3">
      <c r="A167" t="s">
        <v>228</v>
      </c>
      <c r="B167" s="1">
        <v>45702</v>
      </c>
      <c r="C167" t="s">
        <v>48</v>
      </c>
      <c r="D167" t="s">
        <v>43</v>
      </c>
      <c r="E167" t="s">
        <v>99</v>
      </c>
      <c r="F167" t="s">
        <v>120</v>
      </c>
      <c r="G167">
        <v>5</v>
      </c>
      <c r="H167">
        <v>1788.12</v>
      </c>
      <c r="I167">
        <v>0.22</v>
      </c>
      <c r="J167">
        <v>6973.67</v>
      </c>
      <c r="K167" t="s">
        <v>41</v>
      </c>
      <c r="L167" t="s">
        <v>29</v>
      </c>
      <c r="M167" t="s">
        <v>21</v>
      </c>
      <c r="N167" t="s">
        <v>88</v>
      </c>
      <c r="O167">
        <f>Table1[[#All],[Quantity]]*Table1[[#All],[Unit Price (?)]]</f>
        <v>8940.5999999999985</v>
      </c>
      <c r="P167" t="str">
        <f>TEXT(Table1[[#All],[Order Date]],"dddd")</f>
        <v>Friday</v>
      </c>
      <c r="Q167" t="str">
        <f>TEXT(Table1[[#All],[Order Date]],"mmm")</f>
        <v>Feb</v>
      </c>
      <c r="R167" t="str">
        <f>IF(Table1[[#All],[Total Price (?)]]&gt;1000,"High Value","Normal")</f>
        <v>High Value</v>
      </c>
    </row>
    <row r="168" spans="1:18" x14ac:dyDescent="0.3">
      <c r="A168" t="s">
        <v>229</v>
      </c>
      <c r="B168" s="1">
        <v>45686</v>
      </c>
      <c r="C168" t="s">
        <v>36</v>
      </c>
      <c r="D168" t="s">
        <v>43</v>
      </c>
      <c r="E168" t="s">
        <v>61</v>
      </c>
      <c r="F168" t="s">
        <v>92</v>
      </c>
      <c r="G168">
        <v>5</v>
      </c>
      <c r="H168">
        <v>849.78</v>
      </c>
      <c r="I168">
        <v>0.04</v>
      </c>
      <c r="J168">
        <v>4078.94</v>
      </c>
      <c r="K168" t="s">
        <v>58</v>
      </c>
      <c r="L168" t="s">
        <v>20</v>
      </c>
      <c r="M168" t="s">
        <v>30</v>
      </c>
      <c r="N168" t="s">
        <v>22</v>
      </c>
      <c r="O168">
        <f>Table1[[#All],[Quantity]]*Table1[[#All],[Unit Price (?)]]</f>
        <v>4248.8999999999996</v>
      </c>
      <c r="P168" t="str">
        <f>TEXT(Table1[[#All],[Order Date]],"dddd")</f>
        <v>Wednesday</v>
      </c>
      <c r="Q168" t="str">
        <f>TEXT(Table1[[#All],[Order Date]],"mmm")</f>
        <v>Jan</v>
      </c>
      <c r="R168" t="str">
        <f>IF(Table1[[#All],[Total Price (?)]]&gt;1000,"High Value","Normal")</f>
        <v>High Value</v>
      </c>
    </row>
    <row r="169" spans="1:18" x14ac:dyDescent="0.3">
      <c r="A169" t="s">
        <v>230</v>
      </c>
      <c r="B169" s="1">
        <v>45758</v>
      </c>
      <c r="C169" t="s">
        <v>24</v>
      </c>
      <c r="D169" t="s">
        <v>16</v>
      </c>
      <c r="E169" t="s">
        <v>27</v>
      </c>
      <c r="F169" t="s">
        <v>28</v>
      </c>
      <c r="G169">
        <v>5</v>
      </c>
      <c r="H169">
        <v>1444.81</v>
      </c>
      <c r="I169">
        <v>0.16</v>
      </c>
      <c r="J169">
        <v>6068.2</v>
      </c>
      <c r="K169" t="s">
        <v>46</v>
      </c>
      <c r="L169" t="s">
        <v>20</v>
      </c>
      <c r="M169" t="s">
        <v>21</v>
      </c>
      <c r="N169" t="s">
        <v>22</v>
      </c>
      <c r="O169">
        <f>Table1[[#All],[Quantity]]*Table1[[#All],[Unit Price (?)]]</f>
        <v>7224.0499999999993</v>
      </c>
      <c r="P169" t="str">
        <f>TEXT(Table1[[#All],[Order Date]],"dddd")</f>
        <v>Friday</v>
      </c>
      <c r="Q169" t="str">
        <f>TEXT(Table1[[#All],[Order Date]],"mmm")</f>
        <v>Apr</v>
      </c>
      <c r="R169" t="str">
        <f>IF(Table1[[#All],[Total Price (?)]]&gt;1000,"High Value","Normal")</f>
        <v>High Value</v>
      </c>
    </row>
    <row r="170" spans="1:18" x14ac:dyDescent="0.3">
      <c r="A170" t="s">
        <v>231</v>
      </c>
      <c r="B170" s="1">
        <v>45755</v>
      </c>
      <c r="C170" t="s">
        <v>52</v>
      </c>
      <c r="D170" t="s">
        <v>16</v>
      </c>
      <c r="E170" t="s">
        <v>61</v>
      </c>
      <c r="F170" t="s">
        <v>75</v>
      </c>
      <c r="G170">
        <v>5</v>
      </c>
      <c r="H170">
        <v>1754.34</v>
      </c>
      <c r="I170">
        <v>0.23</v>
      </c>
      <c r="J170">
        <v>6754.21</v>
      </c>
      <c r="K170" t="s">
        <v>33</v>
      </c>
      <c r="L170" t="s">
        <v>29</v>
      </c>
      <c r="M170" t="s">
        <v>54</v>
      </c>
      <c r="N170" t="s">
        <v>22</v>
      </c>
      <c r="O170">
        <f>Table1[[#All],[Quantity]]*Table1[[#All],[Unit Price (?)]]</f>
        <v>8771.6999999999989</v>
      </c>
      <c r="P170" t="str">
        <f>TEXT(Table1[[#All],[Order Date]],"dddd")</f>
        <v>Tuesday</v>
      </c>
      <c r="Q170" t="str">
        <f>TEXT(Table1[[#All],[Order Date]],"mmm")</f>
        <v>Apr</v>
      </c>
      <c r="R170" t="str">
        <f>IF(Table1[[#All],[Total Price (?)]]&gt;1000,"High Value","Normal")</f>
        <v>High Value</v>
      </c>
    </row>
    <row r="171" spans="1:18" x14ac:dyDescent="0.3">
      <c r="A171" t="s">
        <v>232</v>
      </c>
      <c r="B171" s="1">
        <v>45677</v>
      </c>
      <c r="C171" t="s">
        <v>52</v>
      </c>
      <c r="D171" t="s">
        <v>39</v>
      </c>
      <c r="E171" t="s">
        <v>27</v>
      </c>
      <c r="F171" t="s">
        <v>28</v>
      </c>
      <c r="G171">
        <v>5</v>
      </c>
      <c r="H171">
        <v>3231.06</v>
      </c>
      <c r="I171">
        <v>0.12</v>
      </c>
      <c r="J171">
        <v>14216.66</v>
      </c>
      <c r="K171" t="s">
        <v>33</v>
      </c>
      <c r="L171" t="s">
        <v>34</v>
      </c>
      <c r="M171" t="s">
        <v>21</v>
      </c>
      <c r="N171" t="s">
        <v>22</v>
      </c>
      <c r="O171">
        <f>Table1[[#All],[Quantity]]*Table1[[#All],[Unit Price (?)]]</f>
        <v>16155.3</v>
      </c>
      <c r="P171" t="str">
        <f>TEXT(Table1[[#All],[Order Date]],"dddd")</f>
        <v>Monday</v>
      </c>
      <c r="Q171" t="str">
        <f>TEXT(Table1[[#All],[Order Date]],"mmm")</f>
        <v>Jan</v>
      </c>
      <c r="R171" t="str">
        <f>IF(Table1[[#All],[Total Price (?)]]&gt;1000,"High Value","Normal")</f>
        <v>High Value</v>
      </c>
    </row>
    <row r="172" spans="1:18" x14ac:dyDescent="0.3">
      <c r="A172" t="s">
        <v>233</v>
      </c>
      <c r="B172" s="1">
        <v>45806</v>
      </c>
      <c r="C172" t="s">
        <v>52</v>
      </c>
      <c r="D172" t="s">
        <v>25</v>
      </c>
      <c r="E172" t="s">
        <v>99</v>
      </c>
      <c r="F172" t="s">
        <v>115</v>
      </c>
      <c r="G172">
        <v>4</v>
      </c>
      <c r="H172">
        <v>457.57</v>
      </c>
      <c r="I172">
        <v>0.01</v>
      </c>
      <c r="J172">
        <v>1811.98</v>
      </c>
      <c r="K172" t="s">
        <v>41</v>
      </c>
      <c r="L172" t="s">
        <v>34</v>
      </c>
      <c r="M172" t="s">
        <v>30</v>
      </c>
      <c r="N172" t="s">
        <v>22</v>
      </c>
      <c r="O172">
        <f>Table1[[#All],[Quantity]]*Table1[[#All],[Unit Price (?)]]</f>
        <v>1830.28</v>
      </c>
      <c r="P172" t="str">
        <f>TEXT(Table1[[#All],[Order Date]],"dddd")</f>
        <v>Thursday</v>
      </c>
      <c r="Q172" t="str">
        <f>TEXT(Table1[[#All],[Order Date]],"mmm")</f>
        <v>May</v>
      </c>
      <c r="R172" t="str">
        <f>IF(Table1[[#All],[Total Price (?)]]&gt;1000,"High Value","Normal")</f>
        <v>High Value</v>
      </c>
    </row>
    <row r="173" spans="1:18" x14ac:dyDescent="0.3">
      <c r="A173" t="s">
        <v>234</v>
      </c>
      <c r="B173" s="1">
        <v>45669</v>
      </c>
      <c r="C173" t="s">
        <v>36</v>
      </c>
      <c r="D173" t="s">
        <v>43</v>
      </c>
      <c r="E173" t="s">
        <v>61</v>
      </c>
      <c r="F173" t="s">
        <v>66</v>
      </c>
      <c r="G173">
        <v>3</v>
      </c>
      <c r="H173">
        <v>3697.58</v>
      </c>
      <c r="I173">
        <v>0.22</v>
      </c>
      <c r="J173">
        <v>8652.34</v>
      </c>
      <c r="K173" t="s">
        <v>19</v>
      </c>
      <c r="L173" t="s">
        <v>34</v>
      </c>
      <c r="M173" t="s">
        <v>30</v>
      </c>
      <c r="N173" t="s">
        <v>88</v>
      </c>
      <c r="O173">
        <f>Table1[[#All],[Quantity]]*Table1[[#All],[Unit Price (?)]]</f>
        <v>11092.74</v>
      </c>
      <c r="P173" t="str">
        <f>TEXT(Table1[[#All],[Order Date]],"dddd")</f>
        <v>Sunday</v>
      </c>
      <c r="Q173" t="str">
        <f>TEXT(Table1[[#All],[Order Date]],"mmm")</f>
        <v>Jan</v>
      </c>
      <c r="R173" t="str">
        <f>IF(Table1[[#All],[Total Price (?)]]&gt;1000,"High Value","Normal")</f>
        <v>High Value</v>
      </c>
    </row>
    <row r="174" spans="1:18" x14ac:dyDescent="0.3">
      <c r="A174" t="s">
        <v>235</v>
      </c>
      <c r="B174" s="1">
        <v>45827</v>
      </c>
      <c r="C174" t="s">
        <v>15</v>
      </c>
      <c r="D174" t="s">
        <v>16</v>
      </c>
      <c r="E174" t="s">
        <v>27</v>
      </c>
      <c r="F174" t="s">
        <v>79</v>
      </c>
      <c r="G174">
        <v>1</v>
      </c>
      <c r="H174">
        <v>1410.61</v>
      </c>
      <c r="I174">
        <v>0.06</v>
      </c>
      <c r="J174">
        <v>1325.97</v>
      </c>
      <c r="K174" t="s">
        <v>19</v>
      </c>
      <c r="L174" t="s">
        <v>34</v>
      </c>
      <c r="M174" t="s">
        <v>54</v>
      </c>
      <c r="N174" t="s">
        <v>22</v>
      </c>
      <c r="O174">
        <f>Table1[[#All],[Quantity]]*Table1[[#All],[Unit Price (?)]]</f>
        <v>1410.61</v>
      </c>
      <c r="P174" t="str">
        <f>TEXT(Table1[[#All],[Order Date]],"dddd")</f>
        <v>Thursday</v>
      </c>
      <c r="Q174" t="str">
        <f>TEXT(Table1[[#All],[Order Date]],"mmm")</f>
        <v>Jun</v>
      </c>
      <c r="R174" t="str">
        <f>IF(Table1[[#All],[Total Price (?)]]&gt;1000,"High Value","Normal")</f>
        <v>High Value</v>
      </c>
    </row>
    <row r="175" spans="1:18" x14ac:dyDescent="0.3">
      <c r="A175" t="s">
        <v>236</v>
      </c>
      <c r="B175" s="1">
        <v>45681</v>
      </c>
      <c r="C175" t="s">
        <v>52</v>
      </c>
      <c r="D175" t="s">
        <v>25</v>
      </c>
      <c r="E175" t="s">
        <v>49</v>
      </c>
      <c r="F175" t="s">
        <v>50</v>
      </c>
      <c r="G175">
        <v>5</v>
      </c>
      <c r="H175">
        <v>3633.53</v>
      </c>
      <c r="I175">
        <v>0.05</v>
      </c>
      <c r="J175">
        <v>17259.27</v>
      </c>
      <c r="K175" t="s">
        <v>19</v>
      </c>
      <c r="L175" t="s">
        <v>34</v>
      </c>
      <c r="M175" t="s">
        <v>54</v>
      </c>
      <c r="N175" t="s">
        <v>59</v>
      </c>
      <c r="O175">
        <f>Table1[[#All],[Quantity]]*Table1[[#All],[Unit Price (?)]]</f>
        <v>18167.650000000001</v>
      </c>
      <c r="P175" t="str">
        <f>TEXT(Table1[[#All],[Order Date]],"dddd")</f>
        <v>Friday</v>
      </c>
      <c r="Q175" t="str">
        <f>TEXT(Table1[[#All],[Order Date]],"mmm")</f>
        <v>Jan</v>
      </c>
      <c r="R175" t="str">
        <f>IF(Table1[[#All],[Total Price (?)]]&gt;1000,"High Value","Normal")</f>
        <v>High Value</v>
      </c>
    </row>
    <row r="176" spans="1:18" x14ac:dyDescent="0.3">
      <c r="A176" t="s">
        <v>237</v>
      </c>
      <c r="B176" s="1">
        <v>45689</v>
      </c>
      <c r="C176" t="s">
        <v>15</v>
      </c>
      <c r="D176" t="s">
        <v>43</v>
      </c>
      <c r="E176" t="s">
        <v>49</v>
      </c>
      <c r="F176" t="s">
        <v>50</v>
      </c>
      <c r="G176">
        <v>1</v>
      </c>
      <c r="H176">
        <v>4731.6400000000003</v>
      </c>
      <c r="I176">
        <v>0.13</v>
      </c>
      <c r="J176">
        <v>4116.53</v>
      </c>
      <c r="K176" t="s">
        <v>41</v>
      </c>
      <c r="L176" t="s">
        <v>20</v>
      </c>
      <c r="M176" t="s">
        <v>54</v>
      </c>
      <c r="N176" t="s">
        <v>22</v>
      </c>
      <c r="O176">
        <f>Table1[[#All],[Quantity]]*Table1[[#All],[Unit Price (?)]]</f>
        <v>4731.6400000000003</v>
      </c>
      <c r="P176" t="str">
        <f>TEXT(Table1[[#All],[Order Date]],"dddd")</f>
        <v>Saturday</v>
      </c>
      <c r="Q176" t="str">
        <f>TEXT(Table1[[#All],[Order Date]],"mmm")</f>
        <v>Feb</v>
      </c>
      <c r="R176" t="str">
        <f>IF(Table1[[#All],[Total Price (?)]]&gt;1000,"High Value","Normal")</f>
        <v>High Value</v>
      </c>
    </row>
    <row r="177" spans="1:18" x14ac:dyDescent="0.3">
      <c r="A177" t="s">
        <v>238</v>
      </c>
      <c r="B177" s="1">
        <v>45781</v>
      </c>
      <c r="C177" t="s">
        <v>15</v>
      </c>
      <c r="D177" t="s">
        <v>25</v>
      </c>
      <c r="E177" t="s">
        <v>17</v>
      </c>
      <c r="F177" t="s">
        <v>18</v>
      </c>
      <c r="G177">
        <v>4</v>
      </c>
      <c r="H177">
        <v>1500.17</v>
      </c>
      <c r="I177">
        <v>0</v>
      </c>
      <c r="J177">
        <v>6000.68</v>
      </c>
      <c r="K177" t="s">
        <v>41</v>
      </c>
      <c r="L177" t="s">
        <v>29</v>
      </c>
      <c r="M177" t="s">
        <v>54</v>
      </c>
      <c r="N177" t="s">
        <v>22</v>
      </c>
      <c r="O177">
        <f>Table1[[#All],[Quantity]]*Table1[[#All],[Unit Price (?)]]</f>
        <v>6000.68</v>
      </c>
      <c r="P177" t="str">
        <f>TEXT(Table1[[#All],[Order Date]],"dddd")</f>
        <v>Sunday</v>
      </c>
      <c r="Q177" t="str">
        <f>TEXT(Table1[[#All],[Order Date]],"mmm")</f>
        <v>May</v>
      </c>
      <c r="R177" t="str">
        <f>IF(Table1[[#All],[Total Price (?)]]&gt;1000,"High Value","Normal")</f>
        <v>High Value</v>
      </c>
    </row>
    <row r="178" spans="1:18" x14ac:dyDescent="0.3">
      <c r="A178" t="s">
        <v>239</v>
      </c>
      <c r="B178" s="1">
        <v>45691</v>
      </c>
      <c r="C178" t="s">
        <v>48</v>
      </c>
      <c r="D178" t="s">
        <v>39</v>
      </c>
      <c r="E178" t="s">
        <v>99</v>
      </c>
      <c r="F178" t="s">
        <v>111</v>
      </c>
      <c r="G178">
        <v>4</v>
      </c>
      <c r="H178">
        <v>350.67</v>
      </c>
      <c r="I178">
        <v>0.14000000000000001</v>
      </c>
      <c r="J178">
        <v>1206.3</v>
      </c>
      <c r="K178" t="s">
        <v>46</v>
      </c>
      <c r="L178" t="s">
        <v>20</v>
      </c>
      <c r="M178" t="s">
        <v>30</v>
      </c>
      <c r="N178" t="s">
        <v>22</v>
      </c>
      <c r="O178">
        <f>Table1[[#All],[Quantity]]*Table1[[#All],[Unit Price (?)]]</f>
        <v>1402.68</v>
      </c>
      <c r="P178" t="str">
        <f>TEXT(Table1[[#All],[Order Date]],"dddd")</f>
        <v>Monday</v>
      </c>
      <c r="Q178" t="str">
        <f>TEXT(Table1[[#All],[Order Date]],"mmm")</f>
        <v>Feb</v>
      </c>
      <c r="R178" t="str">
        <f>IF(Table1[[#All],[Total Price (?)]]&gt;1000,"High Value","Normal")</f>
        <v>High Value</v>
      </c>
    </row>
    <row r="179" spans="1:18" x14ac:dyDescent="0.3">
      <c r="A179" t="s">
        <v>240</v>
      </c>
      <c r="B179" s="1">
        <v>45813</v>
      </c>
      <c r="C179" t="s">
        <v>36</v>
      </c>
      <c r="D179" t="s">
        <v>39</v>
      </c>
      <c r="E179" t="s">
        <v>27</v>
      </c>
      <c r="F179" t="s">
        <v>87</v>
      </c>
      <c r="G179">
        <v>5</v>
      </c>
      <c r="H179">
        <v>682.17</v>
      </c>
      <c r="I179">
        <v>0.24</v>
      </c>
      <c r="J179">
        <v>2592.25</v>
      </c>
      <c r="K179" t="s">
        <v>46</v>
      </c>
      <c r="L179" t="s">
        <v>29</v>
      </c>
      <c r="M179" t="s">
        <v>30</v>
      </c>
      <c r="N179" t="s">
        <v>88</v>
      </c>
      <c r="O179">
        <f>Table1[[#All],[Quantity]]*Table1[[#All],[Unit Price (?)]]</f>
        <v>3410.85</v>
      </c>
      <c r="P179" t="str">
        <f>TEXT(Table1[[#All],[Order Date]],"dddd")</f>
        <v>Thursday</v>
      </c>
      <c r="Q179" t="str">
        <f>TEXT(Table1[[#All],[Order Date]],"mmm")</f>
        <v>Jun</v>
      </c>
      <c r="R179" t="str">
        <f>IF(Table1[[#All],[Total Price (?)]]&gt;1000,"High Value","Normal")</f>
        <v>High Value</v>
      </c>
    </row>
    <row r="180" spans="1:18" x14ac:dyDescent="0.3">
      <c r="A180" t="s">
        <v>241</v>
      </c>
      <c r="B180" s="1">
        <v>45792</v>
      </c>
      <c r="C180" t="s">
        <v>52</v>
      </c>
      <c r="D180" t="s">
        <v>43</v>
      </c>
      <c r="E180" t="s">
        <v>99</v>
      </c>
      <c r="F180" t="s">
        <v>111</v>
      </c>
      <c r="G180">
        <v>5</v>
      </c>
      <c r="H180">
        <v>2066.8000000000002</v>
      </c>
      <c r="I180">
        <v>0.01</v>
      </c>
      <c r="J180">
        <v>10230.66</v>
      </c>
      <c r="K180" t="s">
        <v>19</v>
      </c>
      <c r="L180" t="s">
        <v>29</v>
      </c>
      <c r="M180" t="s">
        <v>54</v>
      </c>
      <c r="N180" t="s">
        <v>22</v>
      </c>
      <c r="O180">
        <f>Table1[[#All],[Quantity]]*Table1[[#All],[Unit Price (?)]]</f>
        <v>10334</v>
      </c>
      <c r="P180" t="str">
        <f>TEXT(Table1[[#All],[Order Date]],"dddd")</f>
        <v>Thursday</v>
      </c>
      <c r="Q180" t="str">
        <f>TEXT(Table1[[#All],[Order Date]],"mmm")</f>
        <v>May</v>
      </c>
      <c r="R180" t="str">
        <f>IF(Table1[[#All],[Total Price (?)]]&gt;1000,"High Value","Normal")</f>
        <v>High Value</v>
      </c>
    </row>
    <row r="181" spans="1:18" x14ac:dyDescent="0.3">
      <c r="A181" t="s">
        <v>242</v>
      </c>
      <c r="B181" s="1">
        <v>45741</v>
      </c>
      <c r="C181" t="s">
        <v>52</v>
      </c>
      <c r="D181" t="s">
        <v>25</v>
      </c>
      <c r="E181" t="s">
        <v>49</v>
      </c>
      <c r="F181" t="s">
        <v>50</v>
      </c>
      <c r="G181">
        <v>2</v>
      </c>
      <c r="H181">
        <v>1707.03</v>
      </c>
      <c r="I181">
        <v>0.15</v>
      </c>
      <c r="J181">
        <v>2901.95</v>
      </c>
      <c r="K181" t="s">
        <v>33</v>
      </c>
      <c r="L181" t="s">
        <v>29</v>
      </c>
      <c r="M181" t="s">
        <v>54</v>
      </c>
      <c r="N181" t="s">
        <v>59</v>
      </c>
      <c r="O181">
        <f>Table1[[#All],[Quantity]]*Table1[[#All],[Unit Price (?)]]</f>
        <v>3414.06</v>
      </c>
      <c r="P181" t="str">
        <f>TEXT(Table1[[#All],[Order Date]],"dddd")</f>
        <v>Tuesday</v>
      </c>
      <c r="Q181" t="str">
        <f>TEXT(Table1[[#All],[Order Date]],"mmm")</f>
        <v>Mar</v>
      </c>
      <c r="R181" t="str">
        <f>IF(Table1[[#All],[Total Price (?)]]&gt;1000,"High Value","Normal")</f>
        <v>High Value</v>
      </c>
    </row>
    <row r="182" spans="1:18" x14ac:dyDescent="0.3">
      <c r="A182" t="s">
        <v>243</v>
      </c>
      <c r="B182" s="1">
        <v>45775</v>
      </c>
      <c r="C182" t="s">
        <v>36</v>
      </c>
      <c r="D182" t="s">
        <v>39</v>
      </c>
      <c r="E182" t="s">
        <v>99</v>
      </c>
      <c r="F182" t="s">
        <v>111</v>
      </c>
      <c r="G182">
        <v>4</v>
      </c>
      <c r="H182">
        <v>3572.83</v>
      </c>
      <c r="I182">
        <v>7.0000000000000007E-2</v>
      </c>
      <c r="J182">
        <v>13290.93</v>
      </c>
      <c r="K182" t="s">
        <v>33</v>
      </c>
      <c r="L182" t="s">
        <v>29</v>
      </c>
      <c r="M182" t="s">
        <v>54</v>
      </c>
      <c r="N182" t="s">
        <v>22</v>
      </c>
      <c r="O182">
        <f>Table1[[#All],[Quantity]]*Table1[[#All],[Unit Price (?)]]</f>
        <v>14291.32</v>
      </c>
      <c r="P182" t="str">
        <f>TEXT(Table1[[#All],[Order Date]],"dddd")</f>
        <v>Monday</v>
      </c>
      <c r="Q182" t="str">
        <f>TEXT(Table1[[#All],[Order Date]],"mmm")</f>
        <v>Apr</v>
      </c>
      <c r="R182" t="str">
        <f>IF(Table1[[#All],[Total Price (?)]]&gt;1000,"High Value","Normal")</f>
        <v>High Value</v>
      </c>
    </row>
    <row r="183" spans="1:18" x14ac:dyDescent="0.3">
      <c r="A183" t="s">
        <v>244</v>
      </c>
      <c r="B183" s="1">
        <v>45672</v>
      </c>
      <c r="C183" t="s">
        <v>36</v>
      </c>
      <c r="D183" t="s">
        <v>43</v>
      </c>
      <c r="E183" t="s">
        <v>17</v>
      </c>
      <c r="F183" t="s">
        <v>40</v>
      </c>
      <c r="G183">
        <v>1</v>
      </c>
      <c r="H183">
        <v>3024.86</v>
      </c>
      <c r="I183">
        <v>7.0000000000000007E-2</v>
      </c>
      <c r="J183">
        <v>2813.12</v>
      </c>
      <c r="K183" t="s">
        <v>46</v>
      </c>
      <c r="L183" t="s">
        <v>29</v>
      </c>
      <c r="M183" t="s">
        <v>21</v>
      </c>
      <c r="N183" t="s">
        <v>22</v>
      </c>
      <c r="O183">
        <f>Table1[[#All],[Quantity]]*Table1[[#All],[Unit Price (?)]]</f>
        <v>3024.86</v>
      </c>
      <c r="P183" t="str">
        <f>TEXT(Table1[[#All],[Order Date]],"dddd")</f>
        <v>Wednesday</v>
      </c>
      <c r="Q183" t="str">
        <f>TEXT(Table1[[#All],[Order Date]],"mmm")</f>
        <v>Jan</v>
      </c>
      <c r="R183" t="str">
        <f>IF(Table1[[#All],[Total Price (?)]]&gt;1000,"High Value","Normal")</f>
        <v>High Value</v>
      </c>
    </row>
    <row r="184" spans="1:18" x14ac:dyDescent="0.3">
      <c r="A184" t="s">
        <v>245</v>
      </c>
      <c r="B184" s="1">
        <v>45734</v>
      </c>
      <c r="C184" t="s">
        <v>52</v>
      </c>
      <c r="D184" t="s">
        <v>43</v>
      </c>
      <c r="E184" t="s">
        <v>27</v>
      </c>
      <c r="F184" t="s">
        <v>87</v>
      </c>
      <c r="G184">
        <v>5</v>
      </c>
      <c r="H184">
        <v>3895.57</v>
      </c>
      <c r="I184">
        <v>0.1</v>
      </c>
      <c r="J184">
        <v>17530.07</v>
      </c>
      <c r="K184" t="s">
        <v>33</v>
      </c>
      <c r="L184" t="s">
        <v>29</v>
      </c>
      <c r="M184" t="s">
        <v>21</v>
      </c>
      <c r="N184" t="s">
        <v>22</v>
      </c>
      <c r="O184">
        <f>Table1[[#All],[Quantity]]*Table1[[#All],[Unit Price (?)]]</f>
        <v>19477.850000000002</v>
      </c>
      <c r="P184" t="str">
        <f>TEXT(Table1[[#All],[Order Date]],"dddd")</f>
        <v>Tuesday</v>
      </c>
      <c r="Q184" t="str">
        <f>TEXT(Table1[[#All],[Order Date]],"mmm")</f>
        <v>Mar</v>
      </c>
      <c r="R184" t="str">
        <f>IF(Table1[[#All],[Total Price (?)]]&gt;1000,"High Value","Normal")</f>
        <v>High Value</v>
      </c>
    </row>
    <row r="185" spans="1:18" x14ac:dyDescent="0.3">
      <c r="A185" t="s">
        <v>246</v>
      </c>
      <c r="B185" s="1">
        <v>45734</v>
      </c>
      <c r="C185" t="s">
        <v>24</v>
      </c>
      <c r="D185" t="s">
        <v>25</v>
      </c>
      <c r="E185" t="s">
        <v>17</v>
      </c>
      <c r="F185" t="s">
        <v>44</v>
      </c>
      <c r="G185">
        <v>4</v>
      </c>
      <c r="H185">
        <v>842.01</v>
      </c>
      <c r="I185">
        <v>0.17</v>
      </c>
      <c r="J185">
        <v>2795.47</v>
      </c>
      <c r="K185" t="s">
        <v>41</v>
      </c>
      <c r="L185" t="s">
        <v>34</v>
      </c>
      <c r="M185" t="s">
        <v>30</v>
      </c>
      <c r="N185" t="s">
        <v>37</v>
      </c>
      <c r="O185">
        <f>Table1[[#All],[Quantity]]*Table1[[#All],[Unit Price (?)]]</f>
        <v>3368.04</v>
      </c>
      <c r="P185" t="str">
        <f>TEXT(Table1[[#All],[Order Date]],"dddd")</f>
        <v>Tuesday</v>
      </c>
      <c r="Q185" t="str">
        <f>TEXT(Table1[[#All],[Order Date]],"mmm")</f>
        <v>Mar</v>
      </c>
      <c r="R185" t="str">
        <f>IF(Table1[[#All],[Total Price (?)]]&gt;1000,"High Value","Normal")</f>
        <v>High Value</v>
      </c>
    </row>
    <row r="186" spans="1:18" x14ac:dyDescent="0.3">
      <c r="A186" t="s">
        <v>247</v>
      </c>
      <c r="B186" s="1">
        <v>45775</v>
      </c>
      <c r="C186" t="s">
        <v>36</v>
      </c>
      <c r="D186" t="s">
        <v>39</v>
      </c>
      <c r="E186" t="s">
        <v>17</v>
      </c>
      <c r="F186" t="s">
        <v>44</v>
      </c>
      <c r="G186">
        <v>3</v>
      </c>
      <c r="H186">
        <v>4990.8</v>
      </c>
      <c r="I186">
        <v>0.12</v>
      </c>
      <c r="J186">
        <v>13175.71</v>
      </c>
      <c r="K186" t="s">
        <v>19</v>
      </c>
      <c r="L186" t="s">
        <v>29</v>
      </c>
      <c r="M186" t="s">
        <v>30</v>
      </c>
      <c r="N186" t="s">
        <v>59</v>
      </c>
      <c r="O186">
        <f>Table1[[#All],[Quantity]]*Table1[[#All],[Unit Price (?)]]</f>
        <v>14972.400000000001</v>
      </c>
      <c r="P186" t="str">
        <f>TEXT(Table1[[#All],[Order Date]],"dddd")</f>
        <v>Monday</v>
      </c>
      <c r="Q186" t="str">
        <f>TEXT(Table1[[#All],[Order Date]],"mmm")</f>
        <v>Apr</v>
      </c>
      <c r="R186" t="str">
        <f>IF(Table1[[#All],[Total Price (?)]]&gt;1000,"High Value","Normal")</f>
        <v>High Value</v>
      </c>
    </row>
    <row r="187" spans="1:18" x14ac:dyDescent="0.3">
      <c r="A187" t="s">
        <v>248</v>
      </c>
      <c r="B187" s="1">
        <v>45750</v>
      </c>
      <c r="C187" t="s">
        <v>36</v>
      </c>
      <c r="D187" t="s">
        <v>39</v>
      </c>
      <c r="E187" t="s">
        <v>49</v>
      </c>
      <c r="F187" t="s">
        <v>53</v>
      </c>
      <c r="G187">
        <v>3</v>
      </c>
      <c r="H187">
        <v>3089.38</v>
      </c>
      <c r="I187">
        <v>0.05</v>
      </c>
      <c r="J187">
        <v>8804.73</v>
      </c>
      <c r="K187" t="s">
        <v>46</v>
      </c>
      <c r="L187" t="s">
        <v>29</v>
      </c>
      <c r="M187" t="s">
        <v>54</v>
      </c>
      <c r="N187" t="s">
        <v>22</v>
      </c>
      <c r="O187">
        <f>Table1[[#All],[Quantity]]*Table1[[#All],[Unit Price (?)]]</f>
        <v>9268.14</v>
      </c>
      <c r="P187" t="str">
        <f>TEXT(Table1[[#All],[Order Date]],"dddd")</f>
        <v>Thursday</v>
      </c>
      <c r="Q187" t="str">
        <f>TEXT(Table1[[#All],[Order Date]],"mmm")</f>
        <v>Apr</v>
      </c>
      <c r="R187" t="str">
        <f>IF(Table1[[#All],[Total Price (?)]]&gt;1000,"High Value","Normal")</f>
        <v>High Value</v>
      </c>
    </row>
    <row r="188" spans="1:18" x14ac:dyDescent="0.3">
      <c r="A188" t="s">
        <v>249</v>
      </c>
      <c r="B188" s="1">
        <v>45762</v>
      </c>
      <c r="C188" t="s">
        <v>15</v>
      </c>
      <c r="D188" t="s">
        <v>39</v>
      </c>
      <c r="E188" t="s">
        <v>61</v>
      </c>
      <c r="F188" t="s">
        <v>66</v>
      </c>
      <c r="G188">
        <v>4</v>
      </c>
      <c r="H188">
        <v>1653.5</v>
      </c>
      <c r="I188">
        <v>0.09</v>
      </c>
      <c r="J188">
        <v>6018.74</v>
      </c>
      <c r="K188" t="s">
        <v>19</v>
      </c>
      <c r="L188" t="s">
        <v>29</v>
      </c>
      <c r="M188" t="s">
        <v>21</v>
      </c>
      <c r="N188" t="s">
        <v>22</v>
      </c>
      <c r="O188">
        <f>Table1[[#All],[Quantity]]*Table1[[#All],[Unit Price (?)]]</f>
        <v>6614</v>
      </c>
      <c r="P188" t="str">
        <f>TEXT(Table1[[#All],[Order Date]],"dddd")</f>
        <v>Tuesday</v>
      </c>
      <c r="Q188" t="str">
        <f>TEXT(Table1[[#All],[Order Date]],"mmm")</f>
        <v>Apr</v>
      </c>
      <c r="R188" t="str">
        <f>IF(Table1[[#All],[Total Price (?)]]&gt;1000,"High Value","Normal")</f>
        <v>High Value</v>
      </c>
    </row>
    <row r="189" spans="1:18" x14ac:dyDescent="0.3">
      <c r="A189" t="s">
        <v>250</v>
      </c>
      <c r="B189" s="1">
        <v>45708</v>
      </c>
      <c r="C189" t="s">
        <v>48</v>
      </c>
      <c r="D189" t="s">
        <v>39</v>
      </c>
      <c r="E189" t="s">
        <v>27</v>
      </c>
      <c r="F189" t="s">
        <v>87</v>
      </c>
      <c r="G189">
        <v>3</v>
      </c>
      <c r="H189">
        <v>306.13</v>
      </c>
      <c r="I189">
        <v>0.24</v>
      </c>
      <c r="J189">
        <v>697.98</v>
      </c>
      <c r="K189" t="s">
        <v>46</v>
      </c>
      <c r="L189" t="s">
        <v>20</v>
      </c>
      <c r="M189" t="s">
        <v>54</v>
      </c>
      <c r="N189" t="s">
        <v>37</v>
      </c>
      <c r="O189">
        <f>Table1[[#All],[Quantity]]*Table1[[#All],[Unit Price (?)]]</f>
        <v>918.39</v>
      </c>
      <c r="P189" t="str">
        <f>TEXT(Table1[[#All],[Order Date]],"dddd")</f>
        <v>Thursday</v>
      </c>
      <c r="Q189" t="str">
        <f>TEXT(Table1[[#All],[Order Date]],"mmm")</f>
        <v>Feb</v>
      </c>
      <c r="R189" t="str">
        <f>IF(Table1[[#All],[Total Price (?)]]&gt;1000,"High Value","Normal")</f>
        <v>Normal</v>
      </c>
    </row>
    <row r="190" spans="1:18" x14ac:dyDescent="0.3">
      <c r="A190" t="s">
        <v>251</v>
      </c>
      <c r="B190" s="1">
        <v>45767</v>
      </c>
      <c r="C190" t="s">
        <v>52</v>
      </c>
      <c r="D190" t="s">
        <v>16</v>
      </c>
      <c r="E190" t="s">
        <v>99</v>
      </c>
      <c r="F190" t="s">
        <v>115</v>
      </c>
      <c r="G190">
        <v>3</v>
      </c>
      <c r="H190">
        <v>4671.82</v>
      </c>
      <c r="I190">
        <v>0.17</v>
      </c>
      <c r="J190">
        <v>11632.83</v>
      </c>
      <c r="K190" t="s">
        <v>19</v>
      </c>
      <c r="L190" t="s">
        <v>29</v>
      </c>
      <c r="M190" t="s">
        <v>54</v>
      </c>
      <c r="N190" t="s">
        <v>22</v>
      </c>
      <c r="O190">
        <f>Table1[[#All],[Quantity]]*Table1[[#All],[Unit Price (?)]]</f>
        <v>14015.46</v>
      </c>
      <c r="P190" t="str">
        <f>TEXT(Table1[[#All],[Order Date]],"dddd")</f>
        <v>Sunday</v>
      </c>
      <c r="Q190" t="str">
        <f>TEXT(Table1[[#All],[Order Date]],"mmm")</f>
        <v>Apr</v>
      </c>
      <c r="R190" t="str">
        <f>IF(Table1[[#All],[Total Price (?)]]&gt;1000,"High Value","Normal")</f>
        <v>High Value</v>
      </c>
    </row>
    <row r="191" spans="1:18" x14ac:dyDescent="0.3">
      <c r="A191" t="s">
        <v>252</v>
      </c>
      <c r="B191" s="1">
        <v>45827</v>
      </c>
      <c r="C191" t="s">
        <v>52</v>
      </c>
      <c r="D191" t="s">
        <v>25</v>
      </c>
      <c r="E191" t="s">
        <v>27</v>
      </c>
      <c r="F191" t="s">
        <v>68</v>
      </c>
      <c r="G191">
        <v>5</v>
      </c>
      <c r="H191">
        <v>1205.79</v>
      </c>
      <c r="I191">
        <v>0.06</v>
      </c>
      <c r="J191">
        <v>5667.21</v>
      </c>
      <c r="K191" t="s">
        <v>58</v>
      </c>
      <c r="L191" t="s">
        <v>29</v>
      </c>
      <c r="M191" t="s">
        <v>54</v>
      </c>
      <c r="N191" t="s">
        <v>22</v>
      </c>
      <c r="O191">
        <f>Table1[[#All],[Quantity]]*Table1[[#All],[Unit Price (?)]]</f>
        <v>6028.95</v>
      </c>
      <c r="P191" t="str">
        <f>TEXT(Table1[[#All],[Order Date]],"dddd")</f>
        <v>Thursday</v>
      </c>
      <c r="Q191" t="str">
        <f>TEXT(Table1[[#All],[Order Date]],"mmm")</f>
        <v>Jun</v>
      </c>
      <c r="R191" t="str">
        <f>IF(Table1[[#All],[Total Price (?)]]&gt;1000,"High Value","Normal")</f>
        <v>High Value</v>
      </c>
    </row>
    <row r="192" spans="1:18" x14ac:dyDescent="0.3">
      <c r="A192" t="s">
        <v>253</v>
      </c>
      <c r="B192" s="1">
        <v>45662</v>
      </c>
      <c r="C192" t="s">
        <v>52</v>
      </c>
      <c r="D192" t="s">
        <v>25</v>
      </c>
      <c r="E192" t="s">
        <v>49</v>
      </c>
      <c r="F192" t="s">
        <v>56</v>
      </c>
      <c r="G192">
        <v>2</v>
      </c>
      <c r="H192">
        <v>2093.85</v>
      </c>
      <c r="I192">
        <v>0.23</v>
      </c>
      <c r="J192">
        <v>3224.53</v>
      </c>
      <c r="K192" t="s">
        <v>58</v>
      </c>
      <c r="L192" t="s">
        <v>29</v>
      </c>
      <c r="M192" t="s">
        <v>30</v>
      </c>
      <c r="N192" t="s">
        <v>22</v>
      </c>
      <c r="O192">
        <f>Table1[[#All],[Quantity]]*Table1[[#All],[Unit Price (?)]]</f>
        <v>4187.7</v>
      </c>
      <c r="P192" t="str">
        <f>TEXT(Table1[[#All],[Order Date]],"dddd")</f>
        <v>Sunday</v>
      </c>
      <c r="Q192" t="str">
        <f>TEXT(Table1[[#All],[Order Date]],"mmm")</f>
        <v>Jan</v>
      </c>
      <c r="R192" t="str">
        <f>IF(Table1[[#All],[Total Price (?)]]&gt;1000,"High Value","Normal")</f>
        <v>High Value</v>
      </c>
    </row>
    <row r="193" spans="1:18" x14ac:dyDescent="0.3">
      <c r="A193" t="s">
        <v>254</v>
      </c>
      <c r="B193" s="1">
        <v>45792</v>
      </c>
      <c r="C193" t="s">
        <v>15</v>
      </c>
      <c r="D193" t="s">
        <v>43</v>
      </c>
      <c r="E193" t="s">
        <v>99</v>
      </c>
      <c r="F193" t="s">
        <v>111</v>
      </c>
      <c r="G193">
        <v>5</v>
      </c>
      <c r="H193">
        <v>1237.8800000000001</v>
      </c>
      <c r="I193">
        <v>0.18</v>
      </c>
      <c r="J193">
        <v>5075.3100000000004</v>
      </c>
      <c r="K193" t="s">
        <v>58</v>
      </c>
      <c r="L193" t="s">
        <v>20</v>
      </c>
      <c r="M193" t="s">
        <v>54</v>
      </c>
      <c r="N193" t="s">
        <v>22</v>
      </c>
      <c r="O193">
        <f>Table1[[#All],[Quantity]]*Table1[[#All],[Unit Price (?)]]</f>
        <v>6189.4000000000005</v>
      </c>
      <c r="P193" t="str">
        <f>TEXT(Table1[[#All],[Order Date]],"dddd")</f>
        <v>Thursday</v>
      </c>
      <c r="Q193" t="str">
        <f>TEXT(Table1[[#All],[Order Date]],"mmm")</f>
        <v>May</v>
      </c>
      <c r="R193" t="str">
        <f>IF(Table1[[#All],[Total Price (?)]]&gt;1000,"High Value","Normal")</f>
        <v>High Value</v>
      </c>
    </row>
    <row r="194" spans="1:18" x14ac:dyDescent="0.3">
      <c r="A194" t="s">
        <v>255</v>
      </c>
      <c r="B194" s="1">
        <v>45799</v>
      </c>
      <c r="C194" t="s">
        <v>48</v>
      </c>
      <c r="D194" t="s">
        <v>16</v>
      </c>
      <c r="E194" t="s">
        <v>61</v>
      </c>
      <c r="F194" t="s">
        <v>62</v>
      </c>
      <c r="G194">
        <v>3</v>
      </c>
      <c r="H194">
        <v>4396.04</v>
      </c>
      <c r="I194">
        <v>0</v>
      </c>
      <c r="J194">
        <v>13188.12</v>
      </c>
      <c r="K194" t="s">
        <v>41</v>
      </c>
      <c r="L194" t="s">
        <v>20</v>
      </c>
      <c r="M194" t="s">
        <v>21</v>
      </c>
      <c r="N194" t="s">
        <v>37</v>
      </c>
      <c r="O194">
        <f>Table1[[#All],[Quantity]]*Table1[[#All],[Unit Price (?)]]</f>
        <v>13188.119999999999</v>
      </c>
      <c r="P194" t="str">
        <f>TEXT(Table1[[#All],[Order Date]],"dddd")</f>
        <v>Thursday</v>
      </c>
      <c r="Q194" t="str">
        <f>TEXT(Table1[[#All],[Order Date]],"mmm")</f>
        <v>May</v>
      </c>
      <c r="R194" t="str">
        <f>IF(Table1[[#All],[Total Price (?)]]&gt;1000,"High Value","Normal")</f>
        <v>High Value</v>
      </c>
    </row>
    <row r="195" spans="1:18" x14ac:dyDescent="0.3">
      <c r="A195" t="s">
        <v>256</v>
      </c>
      <c r="B195" s="1">
        <v>45682</v>
      </c>
      <c r="C195" t="s">
        <v>48</v>
      </c>
      <c r="D195" t="s">
        <v>25</v>
      </c>
      <c r="E195" t="s">
        <v>99</v>
      </c>
      <c r="F195" t="s">
        <v>111</v>
      </c>
      <c r="G195">
        <v>4</v>
      </c>
      <c r="H195">
        <v>4457.37</v>
      </c>
      <c r="I195">
        <v>0.03</v>
      </c>
      <c r="J195">
        <v>17294.599999999999</v>
      </c>
      <c r="K195" t="s">
        <v>33</v>
      </c>
      <c r="L195" t="s">
        <v>29</v>
      </c>
      <c r="M195" t="s">
        <v>21</v>
      </c>
      <c r="N195" t="s">
        <v>22</v>
      </c>
      <c r="O195">
        <f>Table1[[#All],[Quantity]]*Table1[[#All],[Unit Price (?)]]</f>
        <v>17829.48</v>
      </c>
      <c r="P195" t="str">
        <f>TEXT(Table1[[#All],[Order Date]],"dddd")</f>
        <v>Saturday</v>
      </c>
      <c r="Q195" t="str">
        <f>TEXT(Table1[[#All],[Order Date]],"mmm")</f>
        <v>Jan</v>
      </c>
      <c r="R195" t="str">
        <f>IF(Table1[[#All],[Total Price (?)]]&gt;1000,"High Value","Normal")</f>
        <v>High Value</v>
      </c>
    </row>
    <row r="196" spans="1:18" x14ac:dyDescent="0.3">
      <c r="A196" t="s">
        <v>257</v>
      </c>
      <c r="B196" s="1">
        <v>45792</v>
      </c>
      <c r="C196" t="s">
        <v>52</v>
      </c>
      <c r="D196" t="s">
        <v>39</v>
      </c>
      <c r="E196" t="s">
        <v>17</v>
      </c>
      <c r="F196" t="s">
        <v>32</v>
      </c>
      <c r="G196">
        <v>3</v>
      </c>
      <c r="H196">
        <v>3621.13</v>
      </c>
      <c r="I196">
        <v>0</v>
      </c>
      <c r="J196">
        <v>10863.39</v>
      </c>
      <c r="K196" t="s">
        <v>41</v>
      </c>
      <c r="L196" t="s">
        <v>29</v>
      </c>
      <c r="M196" t="s">
        <v>30</v>
      </c>
      <c r="N196" t="s">
        <v>22</v>
      </c>
      <c r="O196">
        <f>Table1[[#All],[Quantity]]*Table1[[#All],[Unit Price (?)]]</f>
        <v>10863.39</v>
      </c>
      <c r="P196" t="str">
        <f>TEXT(Table1[[#All],[Order Date]],"dddd")</f>
        <v>Thursday</v>
      </c>
      <c r="Q196" t="str">
        <f>TEXT(Table1[[#All],[Order Date]],"mmm")</f>
        <v>May</v>
      </c>
      <c r="R196" t="str">
        <f>IF(Table1[[#All],[Total Price (?)]]&gt;1000,"High Value","Normal")</f>
        <v>High Value</v>
      </c>
    </row>
    <row r="197" spans="1:18" x14ac:dyDescent="0.3">
      <c r="A197" t="s">
        <v>258</v>
      </c>
      <c r="B197" s="1">
        <v>45831</v>
      </c>
      <c r="C197" t="s">
        <v>36</v>
      </c>
      <c r="D197" t="s">
        <v>43</v>
      </c>
      <c r="E197" t="s">
        <v>61</v>
      </c>
      <c r="F197" t="s">
        <v>75</v>
      </c>
      <c r="G197">
        <v>5</v>
      </c>
      <c r="H197">
        <v>1706.84</v>
      </c>
      <c r="I197">
        <v>0.1</v>
      </c>
      <c r="J197">
        <v>7680.78</v>
      </c>
      <c r="K197" t="s">
        <v>41</v>
      </c>
      <c r="L197" t="s">
        <v>34</v>
      </c>
      <c r="M197" t="s">
        <v>54</v>
      </c>
      <c r="N197" t="s">
        <v>59</v>
      </c>
      <c r="O197">
        <f>Table1[[#All],[Quantity]]*Table1[[#All],[Unit Price (?)]]</f>
        <v>8534.1999999999989</v>
      </c>
      <c r="P197" t="str">
        <f>TEXT(Table1[[#All],[Order Date]],"dddd")</f>
        <v>Monday</v>
      </c>
      <c r="Q197" t="str">
        <f>TEXT(Table1[[#All],[Order Date]],"mmm")</f>
        <v>Jun</v>
      </c>
      <c r="R197" t="str">
        <f>IF(Table1[[#All],[Total Price (?)]]&gt;1000,"High Value","Normal")</f>
        <v>High Value</v>
      </c>
    </row>
    <row r="198" spans="1:18" x14ac:dyDescent="0.3">
      <c r="A198" t="s">
        <v>259</v>
      </c>
      <c r="B198" s="1">
        <v>45764</v>
      </c>
      <c r="C198" t="s">
        <v>52</v>
      </c>
      <c r="D198" t="s">
        <v>39</v>
      </c>
      <c r="E198" t="s">
        <v>49</v>
      </c>
      <c r="F198" t="s">
        <v>53</v>
      </c>
      <c r="G198">
        <v>4</v>
      </c>
      <c r="H198">
        <v>1254.05</v>
      </c>
      <c r="I198">
        <v>0.19</v>
      </c>
      <c r="J198">
        <v>4063.12</v>
      </c>
      <c r="K198" t="s">
        <v>58</v>
      </c>
      <c r="L198" t="s">
        <v>34</v>
      </c>
      <c r="M198" t="s">
        <v>30</v>
      </c>
      <c r="N198" t="s">
        <v>22</v>
      </c>
      <c r="O198">
        <f>Table1[[#All],[Quantity]]*Table1[[#All],[Unit Price (?)]]</f>
        <v>5016.2</v>
      </c>
      <c r="P198" t="str">
        <f>TEXT(Table1[[#All],[Order Date]],"dddd")</f>
        <v>Thursday</v>
      </c>
      <c r="Q198" t="str">
        <f>TEXT(Table1[[#All],[Order Date]],"mmm")</f>
        <v>Apr</v>
      </c>
      <c r="R198" t="str">
        <f>IF(Table1[[#All],[Total Price (?)]]&gt;1000,"High Value","Normal")</f>
        <v>High Value</v>
      </c>
    </row>
    <row r="199" spans="1:18" x14ac:dyDescent="0.3">
      <c r="A199" t="s">
        <v>260</v>
      </c>
      <c r="B199" s="1">
        <v>45805</v>
      </c>
      <c r="C199" t="s">
        <v>15</v>
      </c>
      <c r="D199" t="s">
        <v>43</v>
      </c>
      <c r="E199" t="s">
        <v>27</v>
      </c>
      <c r="F199" t="s">
        <v>79</v>
      </c>
      <c r="G199">
        <v>2</v>
      </c>
      <c r="H199">
        <v>404.41</v>
      </c>
      <c r="I199">
        <v>0.03</v>
      </c>
      <c r="J199">
        <v>784.56</v>
      </c>
      <c r="K199" t="s">
        <v>46</v>
      </c>
      <c r="L199" t="s">
        <v>29</v>
      </c>
      <c r="M199" t="s">
        <v>30</v>
      </c>
      <c r="N199" t="s">
        <v>22</v>
      </c>
      <c r="O199">
        <f>Table1[[#All],[Quantity]]*Table1[[#All],[Unit Price (?)]]</f>
        <v>808.82</v>
      </c>
      <c r="P199" t="str">
        <f>TEXT(Table1[[#All],[Order Date]],"dddd")</f>
        <v>Wednesday</v>
      </c>
      <c r="Q199" t="str">
        <f>TEXT(Table1[[#All],[Order Date]],"mmm")</f>
        <v>May</v>
      </c>
      <c r="R199" t="str">
        <f>IF(Table1[[#All],[Total Price (?)]]&gt;1000,"High Value","Normal")</f>
        <v>Normal</v>
      </c>
    </row>
    <row r="200" spans="1:18" x14ac:dyDescent="0.3">
      <c r="A200" t="s">
        <v>261</v>
      </c>
      <c r="B200" s="1">
        <v>45711</v>
      </c>
      <c r="C200" t="s">
        <v>24</v>
      </c>
      <c r="D200" t="s">
        <v>43</v>
      </c>
      <c r="E200" t="s">
        <v>27</v>
      </c>
      <c r="F200" t="s">
        <v>28</v>
      </c>
      <c r="G200">
        <v>5</v>
      </c>
      <c r="H200">
        <v>1182.1600000000001</v>
      </c>
      <c r="I200">
        <v>0.24</v>
      </c>
      <c r="J200">
        <v>4492.21</v>
      </c>
      <c r="K200" t="s">
        <v>46</v>
      </c>
      <c r="L200" t="s">
        <v>34</v>
      </c>
      <c r="M200" t="s">
        <v>30</v>
      </c>
      <c r="N200" t="s">
        <v>22</v>
      </c>
      <c r="O200">
        <f>Table1[[#All],[Quantity]]*Table1[[#All],[Unit Price (?)]]</f>
        <v>5910.8</v>
      </c>
      <c r="P200" t="str">
        <f>TEXT(Table1[[#All],[Order Date]],"dddd")</f>
        <v>Sunday</v>
      </c>
      <c r="Q200" t="str">
        <f>TEXT(Table1[[#All],[Order Date]],"mmm")</f>
        <v>Feb</v>
      </c>
      <c r="R200" t="str">
        <f>IF(Table1[[#All],[Total Price (?)]]&gt;1000,"High Value","Normal")</f>
        <v>High Value</v>
      </c>
    </row>
    <row r="201" spans="1:18" x14ac:dyDescent="0.3">
      <c r="A201" t="s">
        <v>262</v>
      </c>
      <c r="B201" s="1">
        <v>45809</v>
      </c>
      <c r="C201" t="s">
        <v>48</v>
      </c>
      <c r="D201" t="s">
        <v>16</v>
      </c>
      <c r="E201" t="s">
        <v>27</v>
      </c>
      <c r="F201" t="s">
        <v>28</v>
      </c>
      <c r="G201">
        <v>5</v>
      </c>
      <c r="H201">
        <v>4029.78</v>
      </c>
      <c r="I201">
        <v>0.21</v>
      </c>
      <c r="J201">
        <v>15917.63</v>
      </c>
      <c r="K201" t="s">
        <v>33</v>
      </c>
      <c r="L201" t="s">
        <v>34</v>
      </c>
      <c r="M201" t="s">
        <v>54</v>
      </c>
      <c r="N201" t="s">
        <v>22</v>
      </c>
      <c r="O201">
        <f>Table1[[#All],[Quantity]]*Table1[[#All],[Unit Price (?)]]</f>
        <v>20148.900000000001</v>
      </c>
      <c r="P201" t="str">
        <f>TEXT(Table1[[#All],[Order Date]],"dddd")</f>
        <v>Sunday</v>
      </c>
      <c r="Q201" t="str">
        <f>TEXT(Table1[[#All],[Order Date]],"mmm")</f>
        <v>Jun</v>
      </c>
      <c r="R201" t="str">
        <f>IF(Table1[[#All],[Total Price (?)]]&gt;1000,"High Value","Normal")</f>
        <v>High Value</v>
      </c>
    </row>
    <row r="202" spans="1:18" x14ac:dyDescent="0.3">
      <c r="A202" t="s">
        <v>263</v>
      </c>
      <c r="B202" s="1">
        <v>45784</v>
      </c>
      <c r="C202" t="s">
        <v>24</v>
      </c>
      <c r="D202" t="s">
        <v>43</v>
      </c>
      <c r="E202" t="s">
        <v>27</v>
      </c>
      <c r="F202" t="s">
        <v>28</v>
      </c>
      <c r="G202">
        <v>1</v>
      </c>
      <c r="H202">
        <v>4160.99</v>
      </c>
      <c r="I202">
        <v>0.23</v>
      </c>
      <c r="J202">
        <v>3203.96</v>
      </c>
      <c r="K202" t="s">
        <v>33</v>
      </c>
      <c r="L202" t="s">
        <v>20</v>
      </c>
      <c r="M202" t="s">
        <v>54</v>
      </c>
      <c r="N202" t="s">
        <v>22</v>
      </c>
      <c r="O202">
        <f>Table1[[#All],[Quantity]]*Table1[[#All],[Unit Price (?)]]</f>
        <v>4160.99</v>
      </c>
      <c r="P202" t="str">
        <f>TEXT(Table1[[#All],[Order Date]],"dddd")</f>
        <v>Wednesday</v>
      </c>
      <c r="Q202" t="str">
        <f>TEXT(Table1[[#All],[Order Date]],"mmm")</f>
        <v>May</v>
      </c>
      <c r="R202" t="str">
        <f>IF(Table1[[#All],[Total Price (?)]]&gt;1000,"High Value","Normal")</f>
        <v>High Value</v>
      </c>
    </row>
    <row r="203" spans="1:18" x14ac:dyDescent="0.3">
      <c r="A203" t="s">
        <v>264</v>
      </c>
      <c r="B203" s="1">
        <v>45726</v>
      </c>
      <c r="C203" t="s">
        <v>24</v>
      </c>
      <c r="D203" t="s">
        <v>16</v>
      </c>
      <c r="E203" t="s">
        <v>27</v>
      </c>
      <c r="F203" t="s">
        <v>87</v>
      </c>
      <c r="G203">
        <v>5</v>
      </c>
      <c r="H203">
        <v>2495.2600000000002</v>
      </c>
      <c r="I203">
        <v>0.22</v>
      </c>
      <c r="J203">
        <v>9731.51</v>
      </c>
      <c r="K203" t="s">
        <v>19</v>
      </c>
      <c r="L203" t="s">
        <v>29</v>
      </c>
      <c r="M203" t="s">
        <v>30</v>
      </c>
      <c r="N203" t="s">
        <v>22</v>
      </c>
      <c r="O203">
        <f>Table1[[#All],[Quantity]]*Table1[[#All],[Unit Price (?)]]</f>
        <v>12476.300000000001</v>
      </c>
      <c r="P203" t="str">
        <f>TEXT(Table1[[#All],[Order Date]],"dddd")</f>
        <v>Monday</v>
      </c>
      <c r="Q203" t="str">
        <f>TEXT(Table1[[#All],[Order Date]],"mmm")</f>
        <v>Mar</v>
      </c>
      <c r="R203" t="str">
        <f>IF(Table1[[#All],[Total Price (?)]]&gt;1000,"High Value","Normal")</f>
        <v>High Value</v>
      </c>
    </row>
    <row r="204" spans="1:18" x14ac:dyDescent="0.3">
      <c r="A204" t="s">
        <v>265</v>
      </c>
      <c r="B204" s="1">
        <v>45681</v>
      </c>
      <c r="C204" t="s">
        <v>48</v>
      </c>
      <c r="D204" t="s">
        <v>16</v>
      </c>
      <c r="E204" t="s">
        <v>27</v>
      </c>
      <c r="F204" t="s">
        <v>87</v>
      </c>
      <c r="G204">
        <v>5</v>
      </c>
      <c r="H204">
        <v>2365.65</v>
      </c>
      <c r="I204">
        <v>0.2</v>
      </c>
      <c r="J204">
        <v>9462.6</v>
      </c>
      <c r="K204" t="s">
        <v>33</v>
      </c>
      <c r="L204" t="s">
        <v>20</v>
      </c>
      <c r="M204" t="s">
        <v>21</v>
      </c>
      <c r="N204" t="s">
        <v>22</v>
      </c>
      <c r="O204">
        <f>Table1[[#All],[Quantity]]*Table1[[#All],[Unit Price (?)]]</f>
        <v>11828.25</v>
      </c>
      <c r="P204" t="str">
        <f>TEXT(Table1[[#All],[Order Date]],"dddd")</f>
        <v>Friday</v>
      </c>
      <c r="Q204" t="str">
        <f>TEXT(Table1[[#All],[Order Date]],"mmm")</f>
        <v>Jan</v>
      </c>
      <c r="R204" t="str">
        <f>IF(Table1[[#All],[Total Price (?)]]&gt;1000,"High Value","Normal")</f>
        <v>High Value</v>
      </c>
    </row>
    <row r="205" spans="1:18" x14ac:dyDescent="0.3">
      <c r="A205" t="s">
        <v>266</v>
      </c>
      <c r="B205" s="1">
        <v>45716</v>
      </c>
      <c r="C205" t="s">
        <v>36</v>
      </c>
      <c r="D205" t="s">
        <v>16</v>
      </c>
      <c r="E205" t="s">
        <v>17</v>
      </c>
      <c r="F205" t="s">
        <v>44</v>
      </c>
      <c r="G205">
        <v>4</v>
      </c>
      <c r="H205">
        <v>1788.19</v>
      </c>
      <c r="I205">
        <v>0.02</v>
      </c>
      <c r="J205">
        <v>7009.7</v>
      </c>
      <c r="K205" t="s">
        <v>58</v>
      </c>
      <c r="L205" t="s">
        <v>20</v>
      </c>
      <c r="M205" t="s">
        <v>54</v>
      </c>
      <c r="N205" t="s">
        <v>59</v>
      </c>
      <c r="O205">
        <f>Table1[[#All],[Quantity]]*Table1[[#All],[Unit Price (?)]]</f>
        <v>7152.76</v>
      </c>
      <c r="P205" t="str">
        <f>TEXT(Table1[[#All],[Order Date]],"dddd")</f>
        <v>Friday</v>
      </c>
      <c r="Q205" t="str">
        <f>TEXT(Table1[[#All],[Order Date]],"mmm")</f>
        <v>Feb</v>
      </c>
      <c r="R205" t="str">
        <f>IF(Table1[[#All],[Total Price (?)]]&gt;1000,"High Value","Normal")</f>
        <v>High Value</v>
      </c>
    </row>
    <row r="206" spans="1:18" x14ac:dyDescent="0.3">
      <c r="A206" t="s">
        <v>267</v>
      </c>
      <c r="B206" s="1">
        <v>45744</v>
      </c>
      <c r="C206" t="s">
        <v>15</v>
      </c>
      <c r="D206" t="s">
        <v>25</v>
      </c>
      <c r="E206" t="s">
        <v>49</v>
      </c>
      <c r="F206" t="s">
        <v>56</v>
      </c>
      <c r="G206">
        <v>2</v>
      </c>
      <c r="H206">
        <v>3852.56</v>
      </c>
      <c r="I206">
        <v>0.24</v>
      </c>
      <c r="J206">
        <v>5855.89</v>
      </c>
      <c r="K206" t="s">
        <v>41</v>
      </c>
      <c r="L206" t="s">
        <v>20</v>
      </c>
      <c r="M206" t="s">
        <v>21</v>
      </c>
      <c r="N206" t="s">
        <v>22</v>
      </c>
      <c r="O206">
        <f>Table1[[#All],[Quantity]]*Table1[[#All],[Unit Price (?)]]</f>
        <v>7705.12</v>
      </c>
      <c r="P206" t="str">
        <f>TEXT(Table1[[#All],[Order Date]],"dddd")</f>
        <v>Friday</v>
      </c>
      <c r="Q206" t="str">
        <f>TEXT(Table1[[#All],[Order Date]],"mmm")</f>
        <v>Mar</v>
      </c>
      <c r="R206" t="str">
        <f>IF(Table1[[#All],[Total Price (?)]]&gt;1000,"High Value","Normal")</f>
        <v>High Value</v>
      </c>
    </row>
    <row r="207" spans="1:18" x14ac:dyDescent="0.3">
      <c r="A207" t="s">
        <v>268</v>
      </c>
      <c r="B207" s="1">
        <v>45690</v>
      </c>
      <c r="C207" t="s">
        <v>48</v>
      </c>
      <c r="D207" t="s">
        <v>43</v>
      </c>
      <c r="E207" t="s">
        <v>49</v>
      </c>
      <c r="F207" t="s">
        <v>50</v>
      </c>
      <c r="G207">
        <v>5</v>
      </c>
      <c r="H207">
        <v>751.65</v>
      </c>
      <c r="I207">
        <v>0.22</v>
      </c>
      <c r="J207">
        <v>2931.43</v>
      </c>
      <c r="K207" t="s">
        <v>41</v>
      </c>
      <c r="L207" t="s">
        <v>20</v>
      </c>
      <c r="M207" t="s">
        <v>54</v>
      </c>
      <c r="N207" t="s">
        <v>59</v>
      </c>
      <c r="O207">
        <f>Table1[[#All],[Quantity]]*Table1[[#All],[Unit Price (?)]]</f>
        <v>3758.25</v>
      </c>
      <c r="P207" t="str">
        <f>TEXT(Table1[[#All],[Order Date]],"dddd")</f>
        <v>Sunday</v>
      </c>
      <c r="Q207" t="str">
        <f>TEXT(Table1[[#All],[Order Date]],"mmm")</f>
        <v>Feb</v>
      </c>
      <c r="R207" t="str">
        <f>IF(Table1[[#All],[Total Price (?)]]&gt;1000,"High Value","Normal")</f>
        <v>High Value</v>
      </c>
    </row>
    <row r="208" spans="1:18" x14ac:dyDescent="0.3">
      <c r="A208" t="s">
        <v>269</v>
      </c>
      <c r="B208" s="1">
        <v>45748</v>
      </c>
      <c r="C208" t="s">
        <v>52</v>
      </c>
      <c r="D208" t="s">
        <v>25</v>
      </c>
      <c r="E208" t="s">
        <v>49</v>
      </c>
      <c r="F208" t="s">
        <v>73</v>
      </c>
      <c r="G208">
        <v>3</v>
      </c>
      <c r="H208">
        <v>2368.7199999999998</v>
      </c>
      <c r="I208">
        <v>0.18</v>
      </c>
      <c r="J208">
        <v>5827.05</v>
      </c>
      <c r="K208" t="s">
        <v>58</v>
      </c>
      <c r="L208" t="s">
        <v>20</v>
      </c>
      <c r="M208" t="s">
        <v>30</v>
      </c>
      <c r="N208" t="s">
        <v>88</v>
      </c>
      <c r="O208">
        <f>Table1[[#All],[Quantity]]*Table1[[#All],[Unit Price (?)]]</f>
        <v>7106.16</v>
      </c>
      <c r="P208" t="str">
        <f>TEXT(Table1[[#All],[Order Date]],"dddd")</f>
        <v>Tuesday</v>
      </c>
      <c r="Q208" t="str">
        <f>TEXT(Table1[[#All],[Order Date]],"mmm")</f>
        <v>Apr</v>
      </c>
      <c r="R208" t="str">
        <f>IF(Table1[[#All],[Total Price (?)]]&gt;1000,"High Value","Normal")</f>
        <v>High Value</v>
      </c>
    </row>
    <row r="209" spans="1:18" x14ac:dyDescent="0.3">
      <c r="A209" t="s">
        <v>270</v>
      </c>
      <c r="B209" s="1">
        <v>45660</v>
      </c>
      <c r="C209" t="s">
        <v>15</v>
      </c>
      <c r="D209" t="s">
        <v>16</v>
      </c>
      <c r="E209" t="s">
        <v>61</v>
      </c>
      <c r="F209" t="s">
        <v>92</v>
      </c>
      <c r="G209">
        <v>2</v>
      </c>
      <c r="H209">
        <v>4693.3100000000004</v>
      </c>
      <c r="I209">
        <v>0.18</v>
      </c>
      <c r="J209">
        <v>7697.03</v>
      </c>
      <c r="K209" t="s">
        <v>19</v>
      </c>
      <c r="L209" t="s">
        <v>34</v>
      </c>
      <c r="M209" t="s">
        <v>54</v>
      </c>
      <c r="N209" t="s">
        <v>88</v>
      </c>
      <c r="O209">
        <f>Table1[[#All],[Quantity]]*Table1[[#All],[Unit Price (?)]]</f>
        <v>9386.6200000000008</v>
      </c>
      <c r="P209" t="str">
        <f>TEXT(Table1[[#All],[Order Date]],"dddd")</f>
        <v>Friday</v>
      </c>
      <c r="Q209" t="str">
        <f>TEXT(Table1[[#All],[Order Date]],"mmm")</f>
        <v>Jan</v>
      </c>
      <c r="R209" t="str">
        <f>IF(Table1[[#All],[Total Price (?)]]&gt;1000,"High Value","Normal")</f>
        <v>High Value</v>
      </c>
    </row>
    <row r="210" spans="1:18" x14ac:dyDescent="0.3">
      <c r="A210" t="s">
        <v>271</v>
      </c>
      <c r="B210" s="1">
        <v>45800</v>
      </c>
      <c r="C210" t="s">
        <v>52</v>
      </c>
      <c r="D210" t="s">
        <v>16</v>
      </c>
      <c r="E210" t="s">
        <v>49</v>
      </c>
      <c r="F210" t="s">
        <v>56</v>
      </c>
      <c r="G210">
        <v>1</v>
      </c>
      <c r="H210">
        <v>3010.33</v>
      </c>
      <c r="I210">
        <v>0.11</v>
      </c>
      <c r="J210">
        <v>2679.19</v>
      </c>
      <c r="K210" t="s">
        <v>19</v>
      </c>
      <c r="L210" t="s">
        <v>20</v>
      </c>
      <c r="M210" t="s">
        <v>21</v>
      </c>
      <c r="N210" t="s">
        <v>22</v>
      </c>
      <c r="O210">
        <f>Table1[[#All],[Quantity]]*Table1[[#All],[Unit Price (?)]]</f>
        <v>3010.33</v>
      </c>
      <c r="P210" t="str">
        <f>TEXT(Table1[[#All],[Order Date]],"dddd")</f>
        <v>Friday</v>
      </c>
      <c r="Q210" t="str">
        <f>TEXT(Table1[[#All],[Order Date]],"mmm")</f>
        <v>May</v>
      </c>
      <c r="R210" t="str">
        <f>IF(Table1[[#All],[Total Price (?)]]&gt;1000,"High Value","Normal")</f>
        <v>High Value</v>
      </c>
    </row>
    <row r="211" spans="1:18" x14ac:dyDescent="0.3">
      <c r="A211" t="s">
        <v>272</v>
      </c>
      <c r="B211" s="1">
        <v>45830</v>
      </c>
      <c r="C211" t="s">
        <v>48</v>
      </c>
      <c r="D211" t="s">
        <v>39</v>
      </c>
      <c r="E211" t="s">
        <v>17</v>
      </c>
      <c r="F211" t="s">
        <v>40</v>
      </c>
      <c r="G211">
        <v>2</v>
      </c>
      <c r="H211">
        <v>3796.49</v>
      </c>
      <c r="I211">
        <v>0.19</v>
      </c>
      <c r="J211">
        <v>6150.31</v>
      </c>
      <c r="K211" t="s">
        <v>19</v>
      </c>
      <c r="L211" t="s">
        <v>29</v>
      </c>
      <c r="M211" t="s">
        <v>54</v>
      </c>
      <c r="N211" t="s">
        <v>22</v>
      </c>
      <c r="O211">
        <f>Table1[[#All],[Quantity]]*Table1[[#All],[Unit Price (?)]]</f>
        <v>7592.98</v>
      </c>
      <c r="P211" t="str">
        <f>TEXT(Table1[[#All],[Order Date]],"dddd")</f>
        <v>Sunday</v>
      </c>
      <c r="Q211" t="str">
        <f>TEXT(Table1[[#All],[Order Date]],"mmm")</f>
        <v>Jun</v>
      </c>
      <c r="R211" t="str">
        <f>IF(Table1[[#All],[Total Price (?)]]&gt;1000,"High Value","Normal")</f>
        <v>High Value</v>
      </c>
    </row>
    <row r="212" spans="1:18" x14ac:dyDescent="0.3">
      <c r="A212" t="s">
        <v>273</v>
      </c>
      <c r="B212" s="1">
        <v>45799</v>
      </c>
      <c r="C212" t="s">
        <v>36</v>
      </c>
      <c r="D212" t="s">
        <v>43</v>
      </c>
      <c r="E212" t="s">
        <v>27</v>
      </c>
      <c r="F212" t="s">
        <v>28</v>
      </c>
      <c r="G212">
        <v>3</v>
      </c>
      <c r="H212">
        <v>1260.83</v>
      </c>
      <c r="I212">
        <v>0.22</v>
      </c>
      <c r="J212">
        <v>2950.34</v>
      </c>
      <c r="K212" t="s">
        <v>33</v>
      </c>
      <c r="L212" t="s">
        <v>29</v>
      </c>
      <c r="M212" t="s">
        <v>21</v>
      </c>
      <c r="N212" t="s">
        <v>22</v>
      </c>
      <c r="O212">
        <f>Table1[[#All],[Quantity]]*Table1[[#All],[Unit Price (?)]]</f>
        <v>3782.49</v>
      </c>
      <c r="P212" t="str">
        <f>TEXT(Table1[[#All],[Order Date]],"dddd")</f>
        <v>Thursday</v>
      </c>
      <c r="Q212" t="str">
        <f>TEXT(Table1[[#All],[Order Date]],"mmm")</f>
        <v>May</v>
      </c>
      <c r="R212" t="str">
        <f>IF(Table1[[#All],[Total Price (?)]]&gt;1000,"High Value","Normal")</f>
        <v>High Value</v>
      </c>
    </row>
    <row r="213" spans="1:18" x14ac:dyDescent="0.3">
      <c r="A213" t="s">
        <v>274</v>
      </c>
      <c r="B213" s="1">
        <v>45711</v>
      </c>
      <c r="C213" t="s">
        <v>36</v>
      </c>
      <c r="D213" t="s">
        <v>16</v>
      </c>
      <c r="E213" t="s">
        <v>99</v>
      </c>
      <c r="F213" t="s">
        <v>120</v>
      </c>
      <c r="G213">
        <v>2</v>
      </c>
      <c r="H213">
        <v>3167.37</v>
      </c>
      <c r="I213">
        <v>0.11</v>
      </c>
      <c r="J213">
        <v>5637.92</v>
      </c>
      <c r="K213" t="s">
        <v>33</v>
      </c>
      <c r="L213" t="s">
        <v>29</v>
      </c>
      <c r="M213" t="s">
        <v>30</v>
      </c>
      <c r="N213" t="s">
        <v>59</v>
      </c>
      <c r="O213">
        <f>Table1[[#All],[Quantity]]*Table1[[#All],[Unit Price (?)]]</f>
        <v>6334.74</v>
      </c>
      <c r="P213" t="str">
        <f>TEXT(Table1[[#All],[Order Date]],"dddd")</f>
        <v>Sunday</v>
      </c>
      <c r="Q213" t="str">
        <f>TEXT(Table1[[#All],[Order Date]],"mmm")</f>
        <v>Feb</v>
      </c>
      <c r="R213" t="str">
        <f>IF(Table1[[#All],[Total Price (?)]]&gt;1000,"High Value","Normal")</f>
        <v>High Value</v>
      </c>
    </row>
    <row r="214" spans="1:18" x14ac:dyDescent="0.3">
      <c r="A214" t="s">
        <v>275</v>
      </c>
      <c r="B214" s="1">
        <v>45757</v>
      </c>
      <c r="C214" t="s">
        <v>48</v>
      </c>
      <c r="D214" t="s">
        <v>43</v>
      </c>
      <c r="E214" t="s">
        <v>49</v>
      </c>
      <c r="F214" t="s">
        <v>53</v>
      </c>
      <c r="G214">
        <v>3</v>
      </c>
      <c r="H214">
        <v>1944.65</v>
      </c>
      <c r="I214">
        <v>0.19</v>
      </c>
      <c r="J214">
        <v>4725.5</v>
      </c>
      <c r="K214" t="s">
        <v>41</v>
      </c>
      <c r="L214" t="s">
        <v>20</v>
      </c>
      <c r="M214" t="s">
        <v>30</v>
      </c>
      <c r="N214" t="s">
        <v>88</v>
      </c>
      <c r="O214">
        <f>Table1[[#All],[Quantity]]*Table1[[#All],[Unit Price (?)]]</f>
        <v>5833.9500000000007</v>
      </c>
      <c r="P214" t="str">
        <f>TEXT(Table1[[#All],[Order Date]],"dddd")</f>
        <v>Thursday</v>
      </c>
      <c r="Q214" t="str">
        <f>TEXT(Table1[[#All],[Order Date]],"mmm")</f>
        <v>Apr</v>
      </c>
      <c r="R214" t="str">
        <f>IF(Table1[[#All],[Total Price (?)]]&gt;1000,"High Value","Normal")</f>
        <v>High Value</v>
      </c>
    </row>
    <row r="215" spans="1:18" x14ac:dyDescent="0.3">
      <c r="A215" t="s">
        <v>276</v>
      </c>
      <c r="B215" s="1">
        <v>45807</v>
      </c>
      <c r="C215" t="s">
        <v>48</v>
      </c>
      <c r="D215" t="s">
        <v>25</v>
      </c>
      <c r="E215" t="s">
        <v>99</v>
      </c>
      <c r="F215" t="s">
        <v>100</v>
      </c>
      <c r="G215">
        <v>4</v>
      </c>
      <c r="H215">
        <v>4842.1499999999996</v>
      </c>
      <c r="I215">
        <v>0.14000000000000001</v>
      </c>
      <c r="J215">
        <v>16657</v>
      </c>
      <c r="K215" t="s">
        <v>58</v>
      </c>
      <c r="L215" t="s">
        <v>29</v>
      </c>
      <c r="M215" t="s">
        <v>54</v>
      </c>
      <c r="N215" t="s">
        <v>22</v>
      </c>
      <c r="O215">
        <f>Table1[[#All],[Quantity]]*Table1[[#All],[Unit Price (?)]]</f>
        <v>19368.599999999999</v>
      </c>
      <c r="P215" t="str">
        <f>TEXT(Table1[[#All],[Order Date]],"dddd")</f>
        <v>Friday</v>
      </c>
      <c r="Q215" t="str">
        <f>TEXT(Table1[[#All],[Order Date]],"mmm")</f>
        <v>May</v>
      </c>
      <c r="R215" t="str">
        <f>IF(Table1[[#All],[Total Price (?)]]&gt;1000,"High Value","Normal")</f>
        <v>High Value</v>
      </c>
    </row>
    <row r="216" spans="1:18" x14ac:dyDescent="0.3">
      <c r="A216" t="s">
        <v>277</v>
      </c>
      <c r="B216" s="1">
        <v>45694</v>
      </c>
      <c r="C216" t="s">
        <v>24</v>
      </c>
      <c r="D216" t="s">
        <v>39</v>
      </c>
      <c r="E216" t="s">
        <v>61</v>
      </c>
      <c r="F216" t="s">
        <v>66</v>
      </c>
      <c r="G216">
        <v>1</v>
      </c>
      <c r="H216">
        <v>2724.61</v>
      </c>
      <c r="I216">
        <v>0.21</v>
      </c>
      <c r="J216">
        <v>2152.44</v>
      </c>
      <c r="K216" t="s">
        <v>41</v>
      </c>
      <c r="L216" t="s">
        <v>34</v>
      </c>
      <c r="M216" t="s">
        <v>54</v>
      </c>
      <c r="N216" t="s">
        <v>22</v>
      </c>
      <c r="O216">
        <f>Table1[[#All],[Quantity]]*Table1[[#All],[Unit Price (?)]]</f>
        <v>2724.61</v>
      </c>
      <c r="P216" t="str">
        <f>TEXT(Table1[[#All],[Order Date]],"dddd")</f>
        <v>Thursday</v>
      </c>
      <c r="Q216" t="str">
        <f>TEXT(Table1[[#All],[Order Date]],"mmm")</f>
        <v>Feb</v>
      </c>
      <c r="R216" t="str">
        <f>IF(Table1[[#All],[Total Price (?)]]&gt;1000,"High Value","Normal")</f>
        <v>High Value</v>
      </c>
    </row>
    <row r="217" spans="1:18" x14ac:dyDescent="0.3">
      <c r="A217" t="s">
        <v>278</v>
      </c>
      <c r="B217" s="1">
        <v>45758</v>
      </c>
      <c r="C217" t="s">
        <v>24</v>
      </c>
      <c r="D217" t="s">
        <v>39</v>
      </c>
      <c r="E217" t="s">
        <v>27</v>
      </c>
      <c r="F217" t="s">
        <v>79</v>
      </c>
      <c r="G217">
        <v>5</v>
      </c>
      <c r="H217">
        <v>1163.3800000000001</v>
      </c>
      <c r="I217">
        <v>0.05</v>
      </c>
      <c r="J217">
        <v>5526.06</v>
      </c>
      <c r="K217" t="s">
        <v>19</v>
      </c>
      <c r="L217" t="s">
        <v>29</v>
      </c>
      <c r="M217" t="s">
        <v>30</v>
      </c>
      <c r="N217" t="s">
        <v>59</v>
      </c>
      <c r="O217">
        <f>Table1[[#All],[Quantity]]*Table1[[#All],[Unit Price (?)]]</f>
        <v>5816.9000000000005</v>
      </c>
      <c r="P217" t="str">
        <f>TEXT(Table1[[#All],[Order Date]],"dddd")</f>
        <v>Friday</v>
      </c>
      <c r="Q217" t="str">
        <f>TEXT(Table1[[#All],[Order Date]],"mmm")</f>
        <v>Apr</v>
      </c>
      <c r="R217" t="str">
        <f>IF(Table1[[#All],[Total Price (?)]]&gt;1000,"High Value","Normal")</f>
        <v>High Value</v>
      </c>
    </row>
    <row r="218" spans="1:18" x14ac:dyDescent="0.3">
      <c r="A218" t="s">
        <v>279</v>
      </c>
      <c r="B218" s="1">
        <v>45837</v>
      </c>
      <c r="C218" t="s">
        <v>52</v>
      </c>
      <c r="D218" t="s">
        <v>43</v>
      </c>
      <c r="E218" t="s">
        <v>17</v>
      </c>
      <c r="F218" t="s">
        <v>44</v>
      </c>
      <c r="G218">
        <v>4</v>
      </c>
      <c r="H218">
        <v>4580.76</v>
      </c>
      <c r="I218">
        <v>0.17</v>
      </c>
      <c r="J218">
        <v>15208.12</v>
      </c>
      <c r="K218" t="s">
        <v>58</v>
      </c>
      <c r="L218" t="s">
        <v>29</v>
      </c>
      <c r="M218" t="s">
        <v>21</v>
      </c>
      <c r="N218" t="s">
        <v>22</v>
      </c>
      <c r="O218">
        <f>Table1[[#All],[Quantity]]*Table1[[#All],[Unit Price (?)]]</f>
        <v>18323.04</v>
      </c>
      <c r="P218" t="str">
        <f>TEXT(Table1[[#All],[Order Date]],"dddd")</f>
        <v>Sunday</v>
      </c>
      <c r="Q218" t="str">
        <f>TEXT(Table1[[#All],[Order Date]],"mmm")</f>
        <v>Jun</v>
      </c>
      <c r="R218" t="str">
        <f>IF(Table1[[#All],[Total Price (?)]]&gt;1000,"High Value","Normal")</f>
        <v>High Value</v>
      </c>
    </row>
    <row r="219" spans="1:18" x14ac:dyDescent="0.3">
      <c r="A219" t="s">
        <v>280</v>
      </c>
      <c r="B219" s="1">
        <v>45680</v>
      </c>
      <c r="C219" t="s">
        <v>15</v>
      </c>
      <c r="D219" t="s">
        <v>25</v>
      </c>
      <c r="E219" t="s">
        <v>61</v>
      </c>
      <c r="F219" t="s">
        <v>66</v>
      </c>
      <c r="G219">
        <v>5</v>
      </c>
      <c r="H219">
        <v>3278.73</v>
      </c>
      <c r="I219">
        <v>0.08</v>
      </c>
      <c r="J219">
        <v>15082.16</v>
      </c>
      <c r="K219" t="s">
        <v>41</v>
      </c>
      <c r="L219" t="s">
        <v>34</v>
      </c>
      <c r="M219" t="s">
        <v>30</v>
      </c>
      <c r="N219" t="s">
        <v>22</v>
      </c>
      <c r="O219">
        <f>Table1[[#All],[Quantity]]*Table1[[#All],[Unit Price (?)]]</f>
        <v>16393.650000000001</v>
      </c>
      <c r="P219" t="str">
        <f>TEXT(Table1[[#All],[Order Date]],"dddd")</f>
        <v>Thursday</v>
      </c>
      <c r="Q219" t="str">
        <f>TEXT(Table1[[#All],[Order Date]],"mmm")</f>
        <v>Jan</v>
      </c>
      <c r="R219" t="str">
        <f>IF(Table1[[#All],[Total Price (?)]]&gt;1000,"High Value","Normal")</f>
        <v>High Value</v>
      </c>
    </row>
    <row r="220" spans="1:18" x14ac:dyDescent="0.3">
      <c r="A220" t="s">
        <v>281</v>
      </c>
      <c r="B220" s="1">
        <v>45829</v>
      </c>
      <c r="C220" t="s">
        <v>52</v>
      </c>
      <c r="D220" t="s">
        <v>43</v>
      </c>
      <c r="E220" t="s">
        <v>49</v>
      </c>
      <c r="F220" t="s">
        <v>53</v>
      </c>
      <c r="G220">
        <v>4</v>
      </c>
      <c r="H220">
        <v>324.01</v>
      </c>
      <c r="I220">
        <v>0.22</v>
      </c>
      <c r="J220">
        <v>1010.91</v>
      </c>
      <c r="K220" t="s">
        <v>46</v>
      </c>
      <c r="L220" t="s">
        <v>34</v>
      </c>
      <c r="M220" t="s">
        <v>21</v>
      </c>
      <c r="N220" t="s">
        <v>22</v>
      </c>
      <c r="O220">
        <f>Table1[[#All],[Quantity]]*Table1[[#All],[Unit Price (?)]]</f>
        <v>1296.04</v>
      </c>
      <c r="P220" t="str">
        <f>TEXT(Table1[[#All],[Order Date]],"dddd")</f>
        <v>Saturday</v>
      </c>
      <c r="Q220" t="str">
        <f>TEXT(Table1[[#All],[Order Date]],"mmm")</f>
        <v>Jun</v>
      </c>
      <c r="R220" t="str">
        <f>IF(Table1[[#All],[Total Price (?)]]&gt;1000,"High Value","Normal")</f>
        <v>High Value</v>
      </c>
    </row>
    <row r="221" spans="1:18" x14ac:dyDescent="0.3">
      <c r="A221" t="s">
        <v>282</v>
      </c>
      <c r="B221" s="1">
        <v>45781</v>
      </c>
      <c r="C221" t="s">
        <v>15</v>
      </c>
      <c r="D221" t="s">
        <v>25</v>
      </c>
      <c r="E221" t="s">
        <v>27</v>
      </c>
      <c r="F221" t="s">
        <v>87</v>
      </c>
      <c r="G221">
        <v>3</v>
      </c>
      <c r="H221">
        <v>1227.0899999999999</v>
      </c>
      <c r="I221">
        <v>0.14000000000000001</v>
      </c>
      <c r="J221">
        <v>3165.89</v>
      </c>
      <c r="K221" t="s">
        <v>19</v>
      </c>
      <c r="L221" t="s">
        <v>20</v>
      </c>
      <c r="M221" t="s">
        <v>54</v>
      </c>
      <c r="N221" t="s">
        <v>22</v>
      </c>
      <c r="O221">
        <f>Table1[[#All],[Quantity]]*Table1[[#All],[Unit Price (?)]]</f>
        <v>3681.2699999999995</v>
      </c>
      <c r="P221" t="str">
        <f>TEXT(Table1[[#All],[Order Date]],"dddd")</f>
        <v>Sunday</v>
      </c>
      <c r="Q221" t="str">
        <f>TEXT(Table1[[#All],[Order Date]],"mmm")</f>
        <v>May</v>
      </c>
      <c r="R221" t="str">
        <f>IF(Table1[[#All],[Total Price (?)]]&gt;1000,"High Value","Normal")</f>
        <v>High Value</v>
      </c>
    </row>
    <row r="222" spans="1:18" x14ac:dyDescent="0.3">
      <c r="A222" t="s">
        <v>283</v>
      </c>
      <c r="B222" s="1">
        <v>45717</v>
      </c>
      <c r="C222" t="s">
        <v>48</v>
      </c>
      <c r="D222" t="s">
        <v>25</v>
      </c>
      <c r="E222" t="s">
        <v>99</v>
      </c>
      <c r="F222" t="s">
        <v>111</v>
      </c>
      <c r="G222">
        <v>2</v>
      </c>
      <c r="H222">
        <v>3690.58</v>
      </c>
      <c r="I222">
        <v>0.09</v>
      </c>
      <c r="J222">
        <v>6716.86</v>
      </c>
      <c r="K222" t="s">
        <v>41</v>
      </c>
      <c r="L222" t="s">
        <v>34</v>
      </c>
      <c r="M222" t="s">
        <v>54</v>
      </c>
      <c r="N222" t="s">
        <v>22</v>
      </c>
      <c r="O222">
        <f>Table1[[#All],[Quantity]]*Table1[[#All],[Unit Price (?)]]</f>
        <v>7381.16</v>
      </c>
      <c r="P222" t="str">
        <f>TEXT(Table1[[#All],[Order Date]],"dddd")</f>
        <v>Saturday</v>
      </c>
      <c r="Q222" t="str">
        <f>TEXT(Table1[[#All],[Order Date]],"mmm")</f>
        <v>Mar</v>
      </c>
      <c r="R222" t="str">
        <f>IF(Table1[[#All],[Total Price (?)]]&gt;1000,"High Value","Normal")</f>
        <v>High Value</v>
      </c>
    </row>
    <row r="223" spans="1:18" x14ac:dyDescent="0.3">
      <c r="A223" t="s">
        <v>284</v>
      </c>
      <c r="B223" s="1">
        <v>45823</v>
      </c>
      <c r="C223" t="s">
        <v>36</v>
      </c>
      <c r="D223" t="s">
        <v>43</v>
      </c>
      <c r="E223" t="s">
        <v>27</v>
      </c>
      <c r="F223" t="s">
        <v>79</v>
      </c>
      <c r="G223">
        <v>1</v>
      </c>
      <c r="H223">
        <v>3845.26</v>
      </c>
      <c r="I223">
        <v>0.1</v>
      </c>
      <c r="J223">
        <v>3460.73</v>
      </c>
      <c r="K223" t="s">
        <v>58</v>
      </c>
      <c r="L223" t="s">
        <v>20</v>
      </c>
      <c r="M223" t="s">
        <v>21</v>
      </c>
      <c r="N223" t="s">
        <v>22</v>
      </c>
      <c r="O223">
        <f>Table1[[#All],[Quantity]]*Table1[[#All],[Unit Price (?)]]</f>
        <v>3845.26</v>
      </c>
      <c r="P223" t="str">
        <f>TEXT(Table1[[#All],[Order Date]],"dddd")</f>
        <v>Sunday</v>
      </c>
      <c r="Q223" t="str">
        <f>TEXT(Table1[[#All],[Order Date]],"mmm")</f>
        <v>Jun</v>
      </c>
      <c r="R223" t="str">
        <f>IF(Table1[[#All],[Total Price (?)]]&gt;1000,"High Value","Normal")</f>
        <v>High Value</v>
      </c>
    </row>
    <row r="224" spans="1:18" x14ac:dyDescent="0.3">
      <c r="A224" t="s">
        <v>285</v>
      </c>
      <c r="B224" s="1">
        <v>45784</v>
      </c>
      <c r="C224" t="s">
        <v>52</v>
      </c>
      <c r="D224" t="s">
        <v>25</v>
      </c>
      <c r="E224" t="s">
        <v>61</v>
      </c>
      <c r="F224" t="s">
        <v>62</v>
      </c>
      <c r="G224">
        <v>3</v>
      </c>
      <c r="H224">
        <v>396.21</v>
      </c>
      <c r="I224">
        <v>0.16</v>
      </c>
      <c r="J224">
        <v>998.45</v>
      </c>
      <c r="K224" t="s">
        <v>33</v>
      </c>
      <c r="L224" t="s">
        <v>34</v>
      </c>
      <c r="M224" t="s">
        <v>21</v>
      </c>
      <c r="N224" t="s">
        <v>22</v>
      </c>
      <c r="O224">
        <f>Table1[[#All],[Quantity]]*Table1[[#All],[Unit Price (?)]]</f>
        <v>1188.6299999999999</v>
      </c>
      <c r="P224" t="str">
        <f>TEXT(Table1[[#All],[Order Date]],"dddd")</f>
        <v>Wednesday</v>
      </c>
      <c r="Q224" t="str">
        <f>TEXT(Table1[[#All],[Order Date]],"mmm")</f>
        <v>May</v>
      </c>
      <c r="R224" t="str">
        <f>IF(Table1[[#All],[Total Price (?)]]&gt;1000,"High Value","Normal")</f>
        <v>Normal</v>
      </c>
    </row>
    <row r="225" spans="1:18" x14ac:dyDescent="0.3">
      <c r="A225" t="s">
        <v>286</v>
      </c>
      <c r="B225" s="1">
        <v>45758</v>
      </c>
      <c r="C225" t="s">
        <v>36</v>
      </c>
      <c r="D225" t="s">
        <v>39</v>
      </c>
      <c r="E225" t="s">
        <v>17</v>
      </c>
      <c r="F225" t="s">
        <v>18</v>
      </c>
      <c r="G225">
        <v>1</v>
      </c>
      <c r="H225">
        <v>181.96</v>
      </c>
      <c r="I225">
        <v>0.18</v>
      </c>
      <c r="J225">
        <v>149.21</v>
      </c>
      <c r="K225" t="s">
        <v>33</v>
      </c>
      <c r="L225" t="s">
        <v>34</v>
      </c>
      <c r="M225" t="s">
        <v>21</v>
      </c>
      <c r="N225" t="s">
        <v>22</v>
      </c>
      <c r="O225">
        <f>Table1[[#All],[Quantity]]*Table1[[#All],[Unit Price (?)]]</f>
        <v>181.96</v>
      </c>
      <c r="P225" t="str">
        <f>TEXT(Table1[[#All],[Order Date]],"dddd")</f>
        <v>Friday</v>
      </c>
      <c r="Q225" t="str">
        <f>TEXT(Table1[[#All],[Order Date]],"mmm")</f>
        <v>Apr</v>
      </c>
      <c r="R225" t="str">
        <f>IF(Table1[[#All],[Total Price (?)]]&gt;1000,"High Value","Normal")</f>
        <v>Normal</v>
      </c>
    </row>
    <row r="226" spans="1:18" x14ac:dyDescent="0.3">
      <c r="A226" t="s">
        <v>287</v>
      </c>
      <c r="B226" s="1">
        <v>45778</v>
      </c>
      <c r="C226" t="s">
        <v>24</v>
      </c>
      <c r="D226" t="s">
        <v>39</v>
      </c>
      <c r="E226" t="s">
        <v>49</v>
      </c>
      <c r="F226" t="s">
        <v>73</v>
      </c>
      <c r="G226">
        <v>2</v>
      </c>
      <c r="H226">
        <v>1280.75</v>
      </c>
      <c r="I226">
        <v>0.15</v>
      </c>
      <c r="J226">
        <v>2177.2800000000002</v>
      </c>
      <c r="K226" t="s">
        <v>58</v>
      </c>
      <c r="L226" t="s">
        <v>29</v>
      </c>
      <c r="M226" t="s">
        <v>30</v>
      </c>
      <c r="N226" t="s">
        <v>22</v>
      </c>
      <c r="O226">
        <f>Table1[[#All],[Quantity]]*Table1[[#All],[Unit Price (?)]]</f>
        <v>2561.5</v>
      </c>
      <c r="P226" t="str">
        <f>TEXT(Table1[[#All],[Order Date]],"dddd")</f>
        <v>Thursday</v>
      </c>
      <c r="Q226" t="str">
        <f>TEXT(Table1[[#All],[Order Date]],"mmm")</f>
        <v>May</v>
      </c>
      <c r="R226" t="str">
        <f>IF(Table1[[#All],[Total Price (?)]]&gt;1000,"High Value","Normal")</f>
        <v>High Value</v>
      </c>
    </row>
    <row r="227" spans="1:18" x14ac:dyDescent="0.3">
      <c r="A227" t="s">
        <v>288</v>
      </c>
      <c r="B227" s="1">
        <v>45698</v>
      </c>
      <c r="C227" t="s">
        <v>15</v>
      </c>
      <c r="D227" t="s">
        <v>16</v>
      </c>
      <c r="E227" t="s">
        <v>49</v>
      </c>
      <c r="F227" t="s">
        <v>56</v>
      </c>
      <c r="G227">
        <v>5</v>
      </c>
      <c r="H227">
        <v>1291.72</v>
      </c>
      <c r="I227">
        <v>0.17</v>
      </c>
      <c r="J227">
        <v>5360.64</v>
      </c>
      <c r="K227" t="s">
        <v>41</v>
      </c>
      <c r="L227" t="s">
        <v>34</v>
      </c>
      <c r="M227" t="s">
        <v>30</v>
      </c>
      <c r="N227" t="s">
        <v>22</v>
      </c>
      <c r="O227">
        <f>Table1[[#All],[Quantity]]*Table1[[#All],[Unit Price (?)]]</f>
        <v>6458.6</v>
      </c>
      <c r="P227" t="str">
        <f>TEXT(Table1[[#All],[Order Date]],"dddd")</f>
        <v>Monday</v>
      </c>
      <c r="Q227" t="str">
        <f>TEXT(Table1[[#All],[Order Date]],"mmm")</f>
        <v>Feb</v>
      </c>
      <c r="R227" t="str">
        <f>IF(Table1[[#All],[Total Price (?)]]&gt;1000,"High Value","Normal")</f>
        <v>High Value</v>
      </c>
    </row>
    <row r="228" spans="1:18" x14ac:dyDescent="0.3">
      <c r="A228" t="s">
        <v>289</v>
      </c>
      <c r="B228" s="1">
        <v>45689</v>
      </c>
      <c r="C228" t="s">
        <v>48</v>
      </c>
      <c r="D228" t="s">
        <v>43</v>
      </c>
      <c r="E228" t="s">
        <v>17</v>
      </c>
      <c r="F228" t="s">
        <v>18</v>
      </c>
      <c r="G228">
        <v>5</v>
      </c>
      <c r="H228">
        <v>2432.42</v>
      </c>
      <c r="I228">
        <v>0.16</v>
      </c>
      <c r="J228">
        <v>10216.16</v>
      </c>
      <c r="K228" t="s">
        <v>41</v>
      </c>
      <c r="L228" t="s">
        <v>34</v>
      </c>
      <c r="M228" t="s">
        <v>21</v>
      </c>
      <c r="N228" t="s">
        <v>22</v>
      </c>
      <c r="O228">
        <f>Table1[[#All],[Quantity]]*Table1[[#All],[Unit Price (?)]]</f>
        <v>12162.1</v>
      </c>
      <c r="P228" t="str">
        <f>TEXT(Table1[[#All],[Order Date]],"dddd")</f>
        <v>Saturday</v>
      </c>
      <c r="Q228" t="str">
        <f>TEXT(Table1[[#All],[Order Date]],"mmm")</f>
        <v>Feb</v>
      </c>
      <c r="R228" t="str">
        <f>IF(Table1[[#All],[Total Price (?)]]&gt;1000,"High Value","Normal")</f>
        <v>High Value</v>
      </c>
    </row>
    <row r="229" spans="1:18" x14ac:dyDescent="0.3">
      <c r="A229" t="s">
        <v>290</v>
      </c>
      <c r="B229" s="1">
        <v>45732</v>
      </c>
      <c r="C229" t="s">
        <v>36</v>
      </c>
      <c r="D229" t="s">
        <v>25</v>
      </c>
      <c r="E229" t="s">
        <v>49</v>
      </c>
      <c r="F229" t="s">
        <v>53</v>
      </c>
      <c r="G229">
        <v>1</v>
      </c>
      <c r="H229">
        <v>1225.8599999999999</v>
      </c>
      <c r="I229">
        <v>0.23</v>
      </c>
      <c r="J229">
        <v>943.91</v>
      </c>
      <c r="K229" t="s">
        <v>58</v>
      </c>
      <c r="L229" t="s">
        <v>29</v>
      </c>
      <c r="M229" t="s">
        <v>21</v>
      </c>
      <c r="N229" t="s">
        <v>22</v>
      </c>
      <c r="O229">
        <f>Table1[[#All],[Quantity]]*Table1[[#All],[Unit Price (?)]]</f>
        <v>1225.8599999999999</v>
      </c>
      <c r="P229" t="str">
        <f>TEXT(Table1[[#All],[Order Date]],"dddd")</f>
        <v>Sunday</v>
      </c>
      <c r="Q229" t="str">
        <f>TEXT(Table1[[#All],[Order Date]],"mmm")</f>
        <v>Mar</v>
      </c>
      <c r="R229" t="str">
        <f>IF(Table1[[#All],[Total Price (?)]]&gt;1000,"High Value","Normal")</f>
        <v>Normal</v>
      </c>
    </row>
    <row r="230" spans="1:18" x14ac:dyDescent="0.3">
      <c r="A230" t="s">
        <v>291</v>
      </c>
      <c r="B230" s="1">
        <v>45808</v>
      </c>
      <c r="C230" t="s">
        <v>36</v>
      </c>
      <c r="D230" t="s">
        <v>43</v>
      </c>
      <c r="E230" t="s">
        <v>17</v>
      </c>
      <c r="F230" t="s">
        <v>32</v>
      </c>
      <c r="G230">
        <v>1</v>
      </c>
      <c r="H230">
        <v>978.84</v>
      </c>
      <c r="I230">
        <v>0.21</v>
      </c>
      <c r="J230">
        <v>773.28</v>
      </c>
      <c r="K230" t="s">
        <v>33</v>
      </c>
      <c r="L230" t="s">
        <v>29</v>
      </c>
      <c r="M230" t="s">
        <v>54</v>
      </c>
      <c r="N230" t="s">
        <v>22</v>
      </c>
      <c r="O230">
        <f>Table1[[#All],[Quantity]]*Table1[[#All],[Unit Price (?)]]</f>
        <v>978.84</v>
      </c>
      <c r="P230" t="str">
        <f>TEXT(Table1[[#All],[Order Date]],"dddd")</f>
        <v>Saturday</v>
      </c>
      <c r="Q230" t="str">
        <f>TEXT(Table1[[#All],[Order Date]],"mmm")</f>
        <v>May</v>
      </c>
      <c r="R230" t="str">
        <f>IF(Table1[[#All],[Total Price (?)]]&gt;1000,"High Value","Normal")</f>
        <v>Normal</v>
      </c>
    </row>
    <row r="231" spans="1:18" x14ac:dyDescent="0.3">
      <c r="A231" t="s">
        <v>292</v>
      </c>
      <c r="B231" s="1">
        <v>45691</v>
      </c>
      <c r="C231" t="s">
        <v>15</v>
      </c>
      <c r="D231" t="s">
        <v>39</v>
      </c>
      <c r="E231" t="s">
        <v>49</v>
      </c>
      <c r="F231" t="s">
        <v>56</v>
      </c>
      <c r="G231">
        <v>2</v>
      </c>
      <c r="H231">
        <v>2876.81</v>
      </c>
      <c r="I231">
        <v>0.21</v>
      </c>
      <c r="J231">
        <v>4545.3599999999997</v>
      </c>
      <c r="K231" t="s">
        <v>19</v>
      </c>
      <c r="L231" t="s">
        <v>29</v>
      </c>
      <c r="M231" t="s">
        <v>21</v>
      </c>
      <c r="N231" t="s">
        <v>22</v>
      </c>
      <c r="O231">
        <f>Table1[[#All],[Quantity]]*Table1[[#All],[Unit Price (?)]]</f>
        <v>5753.62</v>
      </c>
      <c r="P231" t="str">
        <f>TEXT(Table1[[#All],[Order Date]],"dddd")</f>
        <v>Monday</v>
      </c>
      <c r="Q231" t="str">
        <f>TEXT(Table1[[#All],[Order Date]],"mmm")</f>
        <v>Feb</v>
      </c>
      <c r="R231" t="str">
        <f>IF(Table1[[#All],[Total Price (?)]]&gt;1000,"High Value","Normal")</f>
        <v>High Value</v>
      </c>
    </row>
    <row r="232" spans="1:18" x14ac:dyDescent="0.3">
      <c r="A232" t="s">
        <v>293</v>
      </c>
      <c r="B232" s="1">
        <v>45764</v>
      </c>
      <c r="C232" t="s">
        <v>36</v>
      </c>
      <c r="D232" t="s">
        <v>25</v>
      </c>
      <c r="E232" t="s">
        <v>61</v>
      </c>
      <c r="F232" t="s">
        <v>62</v>
      </c>
      <c r="G232">
        <v>1</v>
      </c>
      <c r="H232">
        <v>2241.73</v>
      </c>
      <c r="I232">
        <v>0.21</v>
      </c>
      <c r="J232">
        <v>1770.97</v>
      </c>
      <c r="K232" t="s">
        <v>46</v>
      </c>
      <c r="L232" t="s">
        <v>20</v>
      </c>
      <c r="M232" t="s">
        <v>30</v>
      </c>
      <c r="N232" t="s">
        <v>59</v>
      </c>
      <c r="O232">
        <f>Table1[[#All],[Quantity]]*Table1[[#All],[Unit Price (?)]]</f>
        <v>2241.73</v>
      </c>
      <c r="P232" t="str">
        <f>TEXT(Table1[[#All],[Order Date]],"dddd")</f>
        <v>Thursday</v>
      </c>
      <c r="Q232" t="str">
        <f>TEXT(Table1[[#All],[Order Date]],"mmm")</f>
        <v>Apr</v>
      </c>
      <c r="R232" t="str">
        <f>IF(Table1[[#All],[Total Price (?)]]&gt;1000,"High Value","Normal")</f>
        <v>High Value</v>
      </c>
    </row>
    <row r="233" spans="1:18" x14ac:dyDescent="0.3">
      <c r="A233" t="s">
        <v>294</v>
      </c>
      <c r="B233" s="1">
        <v>45811</v>
      </c>
      <c r="C233" t="s">
        <v>15</v>
      </c>
      <c r="D233" t="s">
        <v>43</v>
      </c>
      <c r="E233" t="s">
        <v>99</v>
      </c>
      <c r="F233" t="s">
        <v>120</v>
      </c>
      <c r="G233">
        <v>2</v>
      </c>
      <c r="H233">
        <v>1843.47</v>
      </c>
      <c r="I233">
        <v>0.24</v>
      </c>
      <c r="J233">
        <v>2802.07</v>
      </c>
      <c r="K233" t="s">
        <v>41</v>
      </c>
      <c r="L233" t="s">
        <v>34</v>
      </c>
      <c r="M233" t="s">
        <v>30</v>
      </c>
      <c r="N233" t="s">
        <v>22</v>
      </c>
      <c r="O233">
        <f>Table1[[#All],[Quantity]]*Table1[[#All],[Unit Price (?)]]</f>
        <v>3686.94</v>
      </c>
      <c r="P233" t="str">
        <f>TEXT(Table1[[#All],[Order Date]],"dddd")</f>
        <v>Tuesday</v>
      </c>
      <c r="Q233" t="str">
        <f>TEXT(Table1[[#All],[Order Date]],"mmm")</f>
        <v>Jun</v>
      </c>
      <c r="R233" t="str">
        <f>IF(Table1[[#All],[Total Price (?)]]&gt;1000,"High Value","Normal")</f>
        <v>High Value</v>
      </c>
    </row>
    <row r="234" spans="1:18" x14ac:dyDescent="0.3">
      <c r="A234" t="s">
        <v>295</v>
      </c>
      <c r="B234" s="1">
        <v>45839</v>
      </c>
      <c r="C234" t="s">
        <v>36</v>
      </c>
      <c r="D234" t="s">
        <v>43</v>
      </c>
      <c r="E234" t="s">
        <v>49</v>
      </c>
      <c r="F234" t="s">
        <v>56</v>
      </c>
      <c r="G234">
        <v>1</v>
      </c>
      <c r="H234">
        <v>501.99</v>
      </c>
      <c r="I234">
        <v>0.04</v>
      </c>
      <c r="J234">
        <v>481.91</v>
      </c>
      <c r="K234" t="s">
        <v>46</v>
      </c>
      <c r="L234" t="s">
        <v>20</v>
      </c>
      <c r="M234" t="s">
        <v>21</v>
      </c>
      <c r="N234" t="s">
        <v>22</v>
      </c>
      <c r="O234">
        <f>Table1[[#All],[Quantity]]*Table1[[#All],[Unit Price (?)]]</f>
        <v>501.99</v>
      </c>
      <c r="P234" t="str">
        <f>TEXT(Table1[[#All],[Order Date]],"dddd")</f>
        <v>Tuesday</v>
      </c>
      <c r="Q234" t="str">
        <f>TEXT(Table1[[#All],[Order Date]],"mmm")</f>
        <v>Jul</v>
      </c>
      <c r="R234" t="str">
        <f>IF(Table1[[#All],[Total Price (?)]]&gt;1000,"High Value","Normal")</f>
        <v>Normal</v>
      </c>
    </row>
    <row r="235" spans="1:18" x14ac:dyDescent="0.3">
      <c r="A235" t="s">
        <v>296</v>
      </c>
      <c r="B235" s="1">
        <v>45762</v>
      </c>
      <c r="C235" t="s">
        <v>24</v>
      </c>
      <c r="D235" t="s">
        <v>43</v>
      </c>
      <c r="E235" t="s">
        <v>99</v>
      </c>
      <c r="F235" t="s">
        <v>111</v>
      </c>
      <c r="G235">
        <v>3</v>
      </c>
      <c r="H235">
        <v>2279.21</v>
      </c>
      <c r="I235">
        <v>0.19</v>
      </c>
      <c r="J235">
        <v>5538.48</v>
      </c>
      <c r="K235" t="s">
        <v>58</v>
      </c>
      <c r="L235" t="s">
        <v>20</v>
      </c>
      <c r="M235" t="s">
        <v>54</v>
      </c>
      <c r="N235" t="s">
        <v>22</v>
      </c>
      <c r="O235">
        <f>Table1[[#All],[Quantity]]*Table1[[#All],[Unit Price (?)]]</f>
        <v>6837.63</v>
      </c>
      <c r="P235" t="str">
        <f>TEXT(Table1[[#All],[Order Date]],"dddd")</f>
        <v>Tuesday</v>
      </c>
      <c r="Q235" t="str">
        <f>TEXT(Table1[[#All],[Order Date]],"mmm")</f>
        <v>Apr</v>
      </c>
      <c r="R235" t="str">
        <f>IF(Table1[[#All],[Total Price (?)]]&gt;1000,"High Value","Normal")</f>
        <v>High Value</v>
      </c>
    </row>
    <row r="236" spans="1:18" x14ac:dyDescent="0.3">
      <c r="A236" t="s">
        <v>297</v>
      </c>
      <c r="B236" s="1">
        <v>45838</v>
      </c>
      <c r="C236" t="s">
        <v>36</v>
      </c>
      <c r="D236" t="s">
        <v>16</v>
      </c>
      <c r="E236" t="s">
        <v>49</v>
      </c>
      <c r="F236" t="s">
        <v>50</v>
      </c>
      <c r="G236">
        <v>4</v>
      </c>
      <c r="H236">
        <v>606.14</v>
      </c>
      <c r="I236">
        <v>0.02</v>
      </c>
      <c r="J236">
        <v>2376.0700000000002</v>
      </c>
      <c r="K236" t="s">
        <v>33</v>
      </c>
      <c r="L236" t="s">
        <v>29</v>
      </c>
      <c r="M236" t="s">
        <v>21</v>
      </c>
      <c r="N236" t="s">
        <v>22</v>
      </c>
      <c r="O236">
        <f>Table1[[#All],[Quantity]]*Table1[[#All],[Unit Price (?)]]</f>
        <v>2424.56</v>
      </c>
      <c r="P236" t="str">
        <f>TEXT(Table1[[#All],[Order Date]],"dddd")</f>
        <v>Monday</v>
      </c>
      <c r="Q236" t="str">
        <f>TEXT(Table1[[#All],[Order Date]],"mmm")</f>
        <v>Jun</v>
      </c>
      <c r="R236" t="str">
        <f>IF(Table1[[#All],[Total Price (?)]]&gt;1000,"High Value","Normal")</f>
        <v>High Value</v>
      </c>
    </row>
    <row r="237" spans="1:18" x14ac:dyDescent="0.3">
      <c r="A237" t="s">
        <v>298</v>
      </c>
      <c r="B237" s="1">
        <v>45660</v>
      </c>
      <c r="C237" t="s">
        <v>24</v>
      </c>
      <c r="D237" t="s">
        <v>43</v>
      </c>
      <c r="E237" t="s">
        <v>99</v>
      </c>
      <c r="F237" t="s">
        <v>115</v>
      </c>
      <c r="G237">
        <v>4</v>
      </c>
      <c r="H237">
        <v>3917.93</v>
      </c>
      <c r="I237">
        <v>0.18</v>
      </c>
      <c r="J237">
        <v>12850.81</v>
      </c>
      <c r="K237" t="s">
        <v>46</v>
      </c>
      <c r="L237" t="s">
        <v>34</v>
      </c>
      <c r="M237" t="s">
        <v>21</v>
      </c>
      <c r="N237" t="s">
        <v>22</v>
      </c>
      <c r="O237">
        <f>Table1[[#All],[Quantity]]*Table1[[#All],[Unit Price (?)]]</f>
        <v>15671.72</v>
      </c>
      <c r="P237" t="str">
        <f>TEXT(Table1[[#All],[Order Date]],"dddd")</f>
        <v>Friday</v>
      </c>
      <c r="Q237" t="str">
        <f>TEXT(Table1[[#All],[Order Date]],"mmm")</f>
        <v>Jan</v>
      </c>
      <c r="R237" t="str">
        <f>IF(Table1[[#All],[Total Price (?)]]&gt;1000,"High Value","Normal")</f>
        <v>High Value</v>
      </c>
    </row>
    <row r="238" spans="1:18" x14ac:dyDescent="0.3">
      <c r="A238" t="s">
        <v>299</v>
      </c>
      <c r="B238" s="1">
        <v>45776</v>
      </c>
      <c r="C238" t="s">
        <v>52</v>
      </c>
      <c r="D238" t="s">
        <v>25</v>
      </c>
      <c r="E238" t="s">
        <v>61</v>
      </c>
      <c r="F238" t="s">
        <v>92</v>
      </c>
      <c r="G238">
        <v>3</v>
      </c>
      <c r="H238">
        <v>1415.19</v>
      </c>
      <c r="I238">
        <v>0.04</v>
      </c>
      <c r="J238">
        <v>4075.75</v>
      </c>
      <c r="K238" t="s">
        <v>19</v>
      </c>
      <c r="L238" t="s">
        <v>34</v>
      </c>
      <c r="M238" t="s">
        <v>54</v>
      </c>
      <c r="N238" t="s">
        <v>22</v>
      </c>
      <c r="O238">
        <f>Table1[[#All],[Quantity]]*Table1[[#All],[Unit Price (?)]]</f>
        <v>4245.57</v>
      </c>
      <c r="P238" t="str">
        <f>TEXT(Table1[[#All],[Order Date]],"dddd")</f>
        <v>Tuesday</v>
      </c>
      <c r="Q238" t="str">
        <f>TEXT(Table1[[#All],[Order Date]],"mmm")</f>
        <v>Apr</v>
      </c>
      <c r="R238" t="str">
        <f>IF(Table1[[#All],[Total Price (?)]]&gt;1000,"High Value","Normal")</f>
        <v>High Value</v>
      </c>
    </row>
    <row r="239" spans="1:18" x14ac:dyDescent="0.3">
      <c r="A239" t="s">
        <v>300</v>
      </c>
      <c r="B239" s="1">
        <v>45722</v>
      </c>
      <c r="C239" t="s">
        <v>24</v>
      </c>
      <c r="D239" t="s">
        <v>43</v>
      </c>
      <c r="E239" t="s">
        <v>99</v>
      </c>
      <c r="F239" t="s">
        <v>115</v>
      </c>
      <c r="G239">
        <v>2</v>
      </c>
      <c r="H239">
        <v>3632.41</v>
      </c>
      <c r="I239">
        <v>0.12</v>
      </c>
      <c r="J239">
        <v>6393.04</v>
      </c>
      <c r="K239" t="s">
        <v>46</v>
      </c>
      <c r="L239" t="s">
        <v>34</v>
      </c>
      <c r="M239" t="s">
        <v>21</v>
      </c>
      <c r="N239" t="s">
        <v>22</v>
      </c>
      <c r="O239">
        <f>Table1[[#All],[Quantity]]*Table1[[#All],[Unit Price (?)]]</f>
        <v>7264.82</v>
      </c>
      <c r="P239" t="str">
        <f>TEXT(Table1[[#All],[Order Date]],"dddd")</f>
        <v>Thursday</v>
      </c>
      <c r="Q239" t="str">
        <f>TEXT(Table1[[#All],[Order Date]],"mmm")</f>
        <v>Mar</v>
      </c>
      <c r="R239" t="str">
        <f>IF(Table1[[#All],[Total Price (?)]]&gt;1000,"High Value","Normal")</f>
        <v>High Value</v>
      </c>
    </row>
    <row r="240" spans="1:18" x14ac:dyDescent="0.3">
      <c r="A240" t="s">
        <v>301</v>
      </c>
      <c r="B240" s="1">
        <v>45754</v>
      </c>
      <c r="C240" t="s">
        <v>24</v>
      </c>
      <c r="D240" t="s">
        <v>39</v>
      </c>
      <c r="E240" t="s">
        <v>61</v>
      </c>
      <c r="F240" t="s">
        <v>66</v>
      </c>
      <c r="G240">
        <v>5</v>
      </c>
      <c r="H240">
        <v>1961.46</v>
      </c>
      <c r="I240">
        <v>0.22</v>
      </c>
      <c r="J240">
        <v>7649.69</v>
      </c>
      <c r="K240" t="s">
        <v>41</v>
      </c>
      <c r="L240" t="s">
        <v>34</v>
      </c>
      <c r="M240" t="s">
        <v>30</v>
      </c>
      <c r="N240" t="s">
        <v>22</v>
      </c>
      <c r="O240">
        <f>Table1[[#All],[Quantity]]*Table1[[#All],[Unit Price (?)]]</f>
        <v>9807.2999999999993</v>
      </c>
      <c r="P240" t="str">
        <f>TEXT(Table1[[#All],[Order Date]],"dddd")</f>
        <v>Monday</v>
      </c>
      <c r="Q240" t="str">
        <f>TEXT(Table1[[#All],[Order Date]],"mmm")</f>
        <v>Apr</v>
      </c>
      <c r="R240" t="str">
        <f>IF(Table1[[#All],[Total Price (?)]]&gt;1000,"High Value","Normal")</f>
        <v>High Value</v>
      </c>
    </row>
    <row r="241" spans="1:18" x14ac:dyDescent="0.3">
      <c r="A241" t="s">
        <v>302</v>
      </c>
      <c r="B241" s="1">
        <v>45663</v>
      </c>
      <c r="C241" t="s">
        <v>15</v>
      </c>
      <c r="D241" t="s">
        <v>39</v>
      </c>
      <c r="E241" t="s">
        <v>27</v>
      </c>
      <c r="F241" t="s">
        <v>68</v>
      </c>
      <c r="G241">
        <v>2</v>
      </c>
      <c r="H241">
        <v>2447.15</v>
      </c>
      <c r="I241">
        <v>0.04</v>
      </c>
      <c r="J241">
        <v>4698.53</v>
      </c>
      <c r="K241" t="s">
        <v>46</v>
      </c>
      <c r="L241" t="s">
        <v>29</v>
      </c>
      <c r="M241" t="s">
        <v>30</v>
      </c>
      <c r="N241" t="s">
        <v>22</v>
      </c>
      <c r="O241">
        <f>Table1[[#All],[Quantity]]*Table1[[#All],[Unit Price (?)]]</f>
        <v>4894.3</v>
      </c>
      <c r="P241" t="str">
        <f>TEXT(Table1[[#All],[Order Date]],"dddd")</f>
        <v>Monday</v>
      </c>
      <c r="Q241" t="str">
        <f>TEXT(Table1[[#All],[Order Date]],"mmm")</f>
        <v>Jan</v>
      </c>
      <c r="R241" t="str">
        <f>IF(Table1[[#All],[Total Price (?)]]&gt;1000,"High Value","Normal")</f>
        <v>High Value</v>
      </c>
    </row>
    <row r="242" spans="1:18" x14ac:dyDescent="0.3">
      <c r="A242" t="s">
        <v>303</v>
      </c>
      <c r="B242" s="1">
        <v>45681</v>
      </c>
      <c r="C242" t="s">
        <v>15</v>
      </c>
      <c r="D242" t="s">
        <v>43</v>
      </c>
      <c r="E242" t="s">
        <v>49</v>
      </c>
      <c r="F242" t="s">
        <v>73</v>
      </c>
      <c r="G242">
        <v>4</v>
      </c>
      <c r="H242">
        <v>1888.58</v>
      </c>
      <c r="I242">
        <v>0.23</v>
      </c>
      <c r="J242">
        <v>5816.83</v>
      </c>
      <c r="K242" t="s">
        <v>41</v>
      </c>
      <c r="L242" t="s">
        <v>34</v>
      </c>
      <c r="M242" t="s">
        <v>54</v>
      </c>
      <c r="N242" t="s">
        <v>22</v>
      </c>
      <c r="O242">
        <f>Table1[[#All],[Quantity]]*Table1[[#All],[Unit Price (?)]]</f>
        <v>7554.32</v>
      </c>
      <c r="P242" t="str">
        <f>TEXT(Table1[[#All],[Order Date]],"dddd")</f>
        <v>Friday</v>
      </c>
      <c r="Q242" t="str">
        <f>TEXT(Table1[[#All],[Order Date]],"mmm")</f>
        <v>Jan</v>
      </c>
      <c r="R242" t="str">
        <f>IF(Table1[[#All],[Total Price (?)]]&gt;1000,"High Value","Normal")</f>
        <v>High Value</v>
      </c>
    </row>
    <row r="243" spans="1:18" x14ac:dyDescent="0.3">
      <c r="A243" t="s">
        <v>304</v>
      </c>
      <c r="B243" s="1">
        <v>45840</v>
      </c>
      <c r="C243" t="s">
        <v>48</v>
      </c>
      <c r="D243" t="s">
        <v>25</v>
      </c>
      <c r="E243" t="s">
        <v>27</v>
      </c>
      <c r="F243" t="s">
        <v>79</v>
      </c>
      <c r="G243">
        <v>3</v>
      </c>
      <c r="H243">
        <v>4173.28</v>
      </c>
      <c r="I243">
        <v>0.02</v>
      </c>
      <c r="J243">
        <v>12269.44</v>
      </c>
      <c r="K243" t="s">
        <v>19</v>
      </c>
      <c r="L243" t="s">
        <v>34</v>
      </c>
      <c r="M243" t="s">
        <v>30</v>
      </c>
      <c r="N243" t="s">
        <v>22</v>
      </c>
      <c r="O243">
        <f>Table1[[#All],[Quantity]]*Table1[[#All],[Unit Price (?)]]</f>
        <v>12519.84</v>
      </c>
      <c r="P243" t="str">
        <f>TEXT(Table1[[#All],[Order Date]],"dddd")</f>
        <v>Wednesday</v>
      </c>
      <c r="Q243" t="str">
        <f>TEXT(Table1[[#All],[Order Date]],"mmm")</f>
        <v>Jul</v>
      </c>
      <c r="R243" t="str">
        <f>IF(Table1[[#All],[Total Price (?)]]&gt;1000,"High Value","Normal")</f>
        <v>High Value</v>
      </c>
    </row>
    <row r="244" spans="1:18" x14ac:dyDescent="0.3">
      <c r="A244" t="s">
        <v>305</v>
      </c>
      <c r="B244" s="1">
        <v>45730</v>
      </c>
      <c r="C244" t="s">
        <v>15</v>
      </c>
      <c r="D244" t="s">
        <v>25</v>
      </c>
      <c r="E244" t="s">
        <v>99</v>
      </c>
      <c r="F244" t="s">
        <v>100</v>
      </c>
      <c r="G244">
        <v>4</v>
      </c>
      <c r="H244">
        <v>3966.48</v>
      </c>
      <c r="I244">
        <v>0.02</v>
      </c>
      <c r="J244">
        <v>15548.6</v>
      </c>
      <c r="K244" t="s">
        <v>19</v>
      </c>
      <c r="L244" t="s">
        <v>29</v>
      </c>
      <c r="M244" t="s">
        <v>21</v>
      </c>
      <c r="N244" t="s">
        <v>22</v>
      </c>
      <c r="O244">
        <f>Table1[[#All],[Quantity]]*Table1[[#All],[Unit Price (?)]]</f>
        <v>15865.92</v>
      </c>
      <c r="P244" t="str">
        <f>TEXT(Table1[[#All],[Order Date]],"dddd")</f>
        <v>Friday</v>
      </c>
      <c r="Q244" t="str">
        <f>TEXT(Table1[[#All],[Order Date]],"mmm")</f>
        <v>Mar</v>
      </c>
      <c r="R244" t="str">
        <f>IF(Table1[[#All],[Total Price (?)]]&gt;1000,"High Value","Normal")</f>
        <v>High Value</v>
      </c>
    </row>
    <row r="245" spans="1:18" x14ac:dyDescent="0.3">
      <c r="A245" t="s">
        <v>306</v>
      </c>
      <c r="B245" s="1">
        <v>45830</v>
      </c>
      <c r="C245" t="s">
        <v>36</v>
      </c>
      <c r="D245" t="s">
        <v>43</v>
      </c>
      <c r="E245" t="s">
        <v>27</v>
      </c>
      <c r="F245" t="s">
        <v>87</v>
      </c>
      <c r="G245">
        <v>5</v>
      </c>
      <c r="H245">
        <v>3009.72</v>
      </c>
      <c r="I245">
        <v>0.23</v>
      </c>
      <c r="J245">
        <v>11587.42</v>
      </c>
      <c r="K245" t="s">
        <v>58</v>
      </c>
      <c r="L245" t="s">
        <v>34</v>
      </c>
      <c r="M245" t="s">
        <v>54</v>
      </c>
      <c r="N245" t="s">
        <v>22</v>
      </c>
      <c r="O245">
        <f>Table1[[#All],[Quantity]]*Table1[[#All],[Unit Price (?)]]</f>
        <v>15048.599999999999</v>
      </c>
      <c r="P245" t="str">
        <f>TEXT(Table1[[#All],[Order Date]],"dddd")</f>
        <v>Sunday</v>
      </c>
      <c r="Q245" t="str">
        <f>TEXT(Table1[[#All],[Order Date]],"mmm")</f>
        <v>Jun</v>
      </c>
      <c r="R245" t="str">
        <f>IF(Table1[[#All],[Total Price (?)]]&gt;1000,"High Value","Normal")</f>
        <v>High Value</v>
      </c>
    </row>
    <row r="246" spans="1:18" x14ac:dyDescent="0.3">
      <c r="A246" t="s">
        <v>307</v>
      </c>
      <c r="B246" s="1">
        <v>45821</v>
      </c>
      <c r="C246" t="s">
        <v>36</v>
      </c>
      <c r="D246" t="s">
        <v>16</v>
      </c>
      <c r="E246" t="s">
        <v>99</v>
      </c>
      <c r="F246" t="s">
        <v>100</v>
      </c>
      <c r="G246">
        <v>4</v>
      </c>
      <c r="H246">
        <v>4837.37</v>
      </c>
      <c r="I246">
        <v>0.08</v>
      </c>
      <c r="J246">
        <v>17801.52</v>
      </c>
      <c r="K246" t="s">
        <v>58</v>
      </c>
      <c r="L246" t="s">
        <v>29</v>
      </c>
      <c r="M246" t="s">
        <v>30</v>
      </c>
      <c r="N246" t="s">
        <v>22</v>
      </c>
      <c r="O246">
        <f>Table1[[#All],[Quantity]]*Table1[[#All],[Unit Price (?)]]</f>
        <v>19349.48</v>
      </c>
      <c r="P246" t="str">
        <f>TEXT(Table1[[#All],[Order Date]],"dddd")</f>
        <v>Friday</v>
      </c>
      <c r="Q246" t="str">
        <f>TEXT(Table1[[#All],[Order Date]],"mmm")</f>
        <v>Jun</v>
      </c>
      <c r="R246" t="str">
        <f>IF(Table1[[#All],[Total Price (?)]]&gt;1000,"High Value","Normal")</f>
        <v>High Value</v>
      </c>
    </row>
    <row r="247" spans="1:18" x14ac:dyDescent="0.3">
      <c r="A247" t="s">
        <v>308</v>
      </c>
      <c r="B247" s="1">
        <v>45816</v>
      </c>
      <c r="C247" t="s">
        <v>36</v>
      </c>
      <c r="D247" t="s">
        <v>25</v>
      </c>
      <c r="E247" t="s">
        <v>99</v>
      </c>
      <c r="F247" t="s">
        <v>100</v>
      </c>
      <c r="G247">
        <v>5</v>
      </c>
      <c r="H247">
        <v>3469.56</v>
      </c>
      <c r="I247">
        <v>0.06</v>
      </c>
      <c r="J247">
        <v>16306.93</v>
      </c>
      <c r="K247" t="s">
        <v>33</v>
      </c>
      <c r="L247" t="s">
        <v>29</v>
      </c>
      <c r="M247" t="s">
        <v>30</v>
      </c>
      <c r="N247" t="s">
        <v>22</v>
      </c>
      <c r="O247">
        <f>Table1[[#All],[Quantity]]*Table1[[#All],[Unit Price (?)]]</f>
        <v>17347.8</v>
      </c>
      <c r="P247" t="str">
        <f>TEXT(Table1[[#All],[Order Date]],"dddd")</f>
        <v>Sunday</v>
      </c>
      <c r="Q247" t="str">
        <f>TEXT(Table1[[#All],[Order Date]],"mmm")</f>
        <v>Jun</v>
      </c>
      <c r="R247" t="str">
        <f>IF(Table1[[#All],[Total Price (?)]]&gt;1000,"High Value","Normal")</f>
        <v>High Value</v>
      </c>
    </row>
    <row r="248" spans="1:18" x14ac:dyDescent="0.3">
      <c r="A248" t="s">
        <v>309</v>
      </c>
      <c r="B248" s="1">
        <v>45719</v>
      </c>
      <c r="C248" t="s">
        <v>15</v>
      </c>
      <c r="D248" t="s">
        <v>16</v>
      </c>
      <c r="E248" t="s">
        <v>27</v>
      </c>
      <c r="F248" t="s">
        <v>68</v>
      </c>
      <c r="G248">
        <v>1</v>
      </c>
      <c r="H248">
        <v>1547.62</v>
      </c>
      <c r="I248">
        <v>0.23</v>
      </c>
      <c r="J248">
        <v>1191.67</v>
      </c>
      <c r="K248" t="s">
        <v>58</v>
      </c>
      <c r="L248" t="s">
        <v>34</v>
      </c>
      <c r="M248" t="s">
        <v>54</v>
      </c>
      <c r="N248" t="s">
        <v>88</v>
      </c>
      <c r="O248">
        <f>Table1[[#All],[Quantity]]*Table1[[#All],[Unit Price (?)]]</f>
        <v>1547.62</v>
      </c>
      <c r="P248" t="str">
        <f>TEXT(Table1[[#All],[Order Date]],"dddd")</f>
        <v>Monday</v>
      </c>
      <c r="Q248" t="str">
        <f>TEXT(Table1[[#All],[Order Date]],"mmm")</f>
        <v>Mar</v>
      </c>
      <c r="R248" t="str">
        <f>IF(Table1[[#All],[Total Price (?)]]&gt;1000,"High Value","Normal")</f>
        <v>High Value</v>
      </c>
    </row>
    <row r="249" spans="1:18" x14ac:dyDescent="0.3">
      <c r="A249" t="s">
        <v>310</v>
      </c>
      <c r="B249" s="1">
        <v>45706</v>
      </c>
      <c r="C249" t="s">
        <v>15</v>
      </c>
      <c r="D249" t="s">
        <v>25</v>
      </c>
      <c r="E249" t="s">
        <v>61</v>
      </c>
      <c r="F249" t="s">
        <v>66</v>
      </c>
      <c r="G249">
        <v>2</v>
      </c>
      <c r="H249">
        <v>2653.46</v>
      </c>
      <c r="I249">
        <v>0.09</v>
      </c>
      <c r="J249">
        <v>4829.3</v>
      </c>
      <c r="K249" t="s">
        <v>46</v>
      </c>
      <c r="L249" t="s">
        <v>34</v>
      </c>
      <c r="M249" t="s">
        <v>54</v>
      </c>
      <c r="N249" t="s">
        <v>22</v>
      </c>
      <c r="O249">
        <f>Table1[[#All],[Quantity]]*Table1[[#All],[Unit Price (?)]]</f>
        <v>5306.92</v>
      </c>
      <c r="P249" t="str">
        <f>TEXT(Table1[[#All],[Order Date]],"dddd")</f>
        <v>Tuesday</v>
      </c>
      <c r="Q249" t="str">
        <f>TEXT(Table1[[#All],[Order Date]],"mmm")</f>
        <v>Feb</v>
      </c>
      <c r="R249" t="str">
        <f>IF(Table1[[#All],[Total Price (?)]]&gt;1000,"High Value","Normal")</f>
        <v>High Value</v>
      </c>
    </row>
    <row r="250" spans="1:18" x14ac:dyDescent="0.3">
      <c r="A250" t="s">
        <v>311</v>
      </c>
      <c r="B250" s="1">
        <v>45671</v>
      </c>
      <c r="C250" t="s">
        <v>24</v>
      </c>
      <c r="D250" t="s">
        <v>43</v>
      </c>
      <c r="E250" t="s">
        <v>49</v>
      </c>
      <c r="F250" t="s">
        <v>53</v>
      </c>
      <c r="G250">
        <v>1</v>
      </c>
      <c r="H250">
        <v>210.67</v>
      </c>
      <c r="I250">
        <v>0.09</v>
      </c>
      <c r="J250">
        <v>191.71</v>
      </c>
      <c r="K250" t="s">
        <v>46</v>
      </c>
      <c r="L250" t="s">
        <v>20</v>
      </c>
      <c r="M250" t="s">
        <v>54</v>
      </c>
      <c r="N250" t="s">
        <v>37</v>
      </c>
      <c r="O250">
        <f>Table1[[#All],[Quantity]]*Table1[[#All],[Unit Price (?)]]</f>
        <v>210.67</v>
      </c>
      <c r="P250" t="str">
        <f>TEXT(Table1[[#All],[Order Date]],"dddd")</f>
        <v>Tuesday</v>
      </c>
      <c r="Q250" t="str">
        <f>TEXT(Table1[[#All],[Order Date]],"mmm")</f>
        <v>Jan</v>
      </c>
      <c r="R250" t="str">
        <f>IF(Table1[[#All],[Total Price (?)]]&gt;1000,"High Value","Normal")</f>
        <v>Normal</v>
      </c>
    </row>
    <row r="251" spans="1:18" x14ac:dyDescent="0.3">
      <c r="A251" t="s">
        <v>312</v>
      </c>
      <c r="B251" s="1">
        <v>45706</v>
      </c>
      <c r="C251" t="s">
        <v>36</v>
      </c>
      <c r="D251" t="s">
        <v>43</v>
      </c>
      <c r="E251" t="s">
        <v>61</v>
      </c>
      <c r="F251" t="s">
        <v>75</v>
      </c>
      <c r="G251">
        <v>5</v>
      </c>
      <c r="H251">
        <v>2189.21</v>
      </c>
      <c r="I251">
        <v>0.12</v>
      </c>
      <c r="J251">
        <v>9632.52</v>
      </c>
      <c r="K251" t="s">
        <v>19</v>
      </c>
      <c r="L251" t="s">
        <v>34</v>
      </c>
      <c r="M251" t="s">
        <v>30</v>
      </c>
      <c r="N251" t="s">
        <v>22</v>
      </c>
      <c r="O251">
        <f>Table1[[#All],[Quantity]]*Table1[[#All],[Unit Price (?)]]</f>
        <v>10946.05</v>
      </c>
      <c r="P251" t="str">
        <f>TEXT(Table1[[#All],[Order Date]],"dddd")</f>
        <v>Tuesday</v>
      </c>
      <c r="Q251" t="str">
        <f>TEXT(Table1[[#All],[Order Date]],"mmm")</f>
        <v>Feb</v>
      </c>
      <c r="R251" t="str">
        <f>IF(Table1[[#All],[Total Price (?)]]&gt;1000,"High Value","Normal")</f>
        <v>High Value</v>
      </c>
    </row>
    <row r="252" spans="1:18" x14ac:dyDescent="0.3">
      <c r="A252" t="s">
        <v>313</v>
      </c>
      <c r="B252" s="1">
        <v>45830</v>
      </c>
      <c r="C252" t="s">
        <v>24</v>
      </c>
      <c r="D252" t="s">
        <v>43</v>
      </c>
      <c r="E252" t="s">
        <v>49</v>
      </c>
      <c r="F252" t="s">
        <v>50</v>
      </c>
      <c r="G252">
        <v>4</v>
      </c>
      <c r="H252">
        <v>3001.8</v>
      </c>
      <c r="I252">
        <v>0.1</v>
      </c>
      <c r="J252">
        <v>10806.48</v>
      </c>
      <c r="K252" t="s">
        <v>33</v>
      </c>
      <c r="L252" t="s">
        <v>20</v>
      </c>
      <c r="M252" t="s">
        <v>21</v>
      </c>
      <c r="N252" t="s">
        <v>22</v>
      </c>
      <c r="O252">
        <f>Table1[[#All],[Quantity]]*Table1[[#All],[Unit Price (?)]]</f>
        <v>12007.2</v>
      </c>
      <c r="P252" t="str">
        <f>TEXT(Table1[[#All],[Order Date]],"dddd")</f>
        <v>Sunday</v>
      </c>
      <c r="Q252" t="str">
        <f>TEXT(Table1[[#All],[Order Date]],"mmm")</f>
        <v>Jun</v>
      </c>
      <c r="R252" t="str">
        <f>IF(Table1[[#All],[Total Price (?)]]&gt;1000,"High Value","Normal")</f>
        <v>High Value</v>
      </c>
    </row>
    <row r="253" spans="1:18" x14ac:dyDescent="0.3">
      <c r="A253" t="s">
        <v>314</v>
      </c>
      <c r="B253" s="1">
        <v>45770</v>
      </c>
      <c r="C253" t="s">
        <v>36</v>
      </c>
      <c r="D253" t="s">
        <v>25</v>
      </c>
      <c r="E253" t="s">
        <v>17</v>
      </c>
      <c r="F253" t="s">
        <v>18</v>
      </c>
      <c r="G253">
        <v>3</v>
      </c>
      <c r="H253">
        <v>1065.6600000000001</v>
      </c>
      <c r="I253">
        <v>0.03</v>
      </c>
      <c r="J253">
        <v>3101.07</v>
      </c>
      <c r="K253" t="s">
        <v>19</v>
      </c>
      <c r="L253" t="s">
        <v>34</v>
      </c>
      <c r="M253" t="s">
        <v>21</v>
      </c>
      <c r="N253" t="s">
        <v>22</v>
      </c>
      <c r="O253">
        <f>Table1[[#All],[Quantity]]*Table1[[#All],[Unit Price (?)]]</f>
        <v>3196.9800000000005</v>
      </c>
      <c r="P253" t="str">
        <f>TEXT(Table1[[#All],[Order Date]],"dddd")</f>
        <v>Wednesday</v>
      </c>
      <c r="Q253" t="str">
        <f>TEXT(Table1[[#All],[Order Date]],"mmm")</f>
        <v>Apr</v>
      </c>
      <c r="R253" t="str">
        <f>IF(Table1[[#All],[Total Price (?)]]&gt;1000,"High Value","Normal")</f>
        <v>High Value</v>
      </c>
    </row>
    <row r="254" spans="1:18" x14ac:dyDescent="0.3">
      <c r="A254" t="s">
        <v>315</v>
      </c>
      <c r="B254" s="1">
        <v>45675</v>
      </c>
      <c r="C254" t="s">
        <v>36</v>
      </c>
      <c r="D254" t="s">
        <v>43</v>
      </c>
      <c r="E254" t="s">
        <v>99</v>
      </c>
      <c r="F254" t="s">
        <v>115</v>
      </c>
      <c r="G254">
        <v>1</v>
      </c>
      <c r="H254">
        <v>1804.83</v>
      </c>
      <c r="I254">
        <v>0.21</v>
      </c>
      <c r="J254">
        <v>1425.82</v>
      </c>
      <c r="K254" t="s">
        <v>41</v>
      </c>
      <c r="L254" t="s">
        <v>29</v>
      </c>
      <c r="M254" t="s">
        <v>21</v>
      </c>
      <c r="N254" t="s">
        <v>88</v>
      </c>
      <c r="O254">
        <f>Table1[[#All],[Quantity]]*Table1[[#All],[Unit Price (?)]]</f>
        <v>1804.83</v>
      </c>
      <c r="P254" t="str">
        <f>TEXT(Table1[[#All],[Order Date]],"dddd")</f>
        <v>Saturday</v>
      </c>
      <c r="Q254" t="str">
        <f>TEXT(Table1[[#All],[Order Date]],"mmm")</f>
        <v>Jan</v>
      </c>
      <c r="R254" t="str">
        <f>IF(Table1[[#All],[Total Price (?)]]&gt;1000,"High Value","Normal")</f>
        <v>High Value</v>
      </c>
    </row>
    <row r="255" spans="1:18" x14ac:dyDescent="0.3">
      <c r="A255" t="s">
        <v>316</v>
      </c>
      <c r="B255" s="1">
        <v>45676</v>
      </c>
      <c r="C255" t="s">
        <v>52</v>
      </c>
      <c r="D255" t="s">
        <v>43</v>
      </c>
      <c r="E255" t="s">
        <v>99</v>
      </c>
      <c r="F255" t="s">
        <v>120</v>
      </c>
      <c r="G255">
        <v>2</v>
      </c>
      <c r="H255">
        <v>1596.36</v>
      </c>
      <c r="I255">
        <v>0.05</v>
      </c>
      <c r="J255">
        <v>3033.08</v>
      </c>
      <c r="K255" t="s">
        <v>46</v>
      </c>
      <c r="L255" t="s">
        <v>20</v>
      </c>
      <c r="M255" t="s">
        <v>21</v>
      </c>
      <c r="N255" t="s">
        <v>22</v>
      </c>
      <c r="O255">
        <f>Table1[[#All],[Quantity]]*Table1[[#All],[Unit Price (?)]]</f>
        <v>3192.72</v>
      </c>
      <c r="P255" t="str">
        <f>TEXT(Table1[[#All],[Order Date]],"dddd")</f>
        <v>Sunday</v>
      </c>
      <c r="Q255" t="str">
        <f>TEXT(Table1[[#All],[Order Date]],"mmm")</f>
        <v>Jan</v>
      </c>
      <c r="R255" t="str">
        <f>IF(Table1[[#All],[Total Price (?)]]&gt;1000,"High Value","Normal")</f>
        <v>High Value</v>
      </c>
    </row>
    <row r="256" spans="1:18" x14ac:dyDescent="0.3">
      <c r="A256" t="s">
        <v>317</v>
      </c>
      <c r="B256" s="1">
        <v>45802</v>
      </c>
      <c r="C256" t="s">
        <v>36</v>
      </c>
      <c r="D256" t="s">
        <v>43</v>
      </c>
      <c r="E256" t="s">
        <v>49</v>
      </c>
      <c r="F256" t="s">
        <v>73</v>
      </c>
      <c r="G256">
        <v>2</v>
      </c>
      <c r="H256">
        <v>2484.6799999999998</v>
      </c>
      <c r="I256">
        <v>0.13</v>
      </c>
      <c r="J256">
        <v>4323.34</v>
      </c>
      <c r="K256" t="s">
        <v>41</v>
      </c>
      <c r="L256" t="s">
        <v>34</v>
      </c>
      <c r="M256" t="s">
        <v>21</v>
      </c>
      <c r="N256" t="s">
        <v>22</v>
      </c>
      <c r="O256">
        <f>Table1[[#All],[Quantity]]*Table1[[#All],[Unit Price (?)]]</f>
        <v>4969.3599999999997</v>
      </c>
      <c r="P256" t="str">
        <f>TEXT(Table1[[#All],[Order Date]],"dddd")</f>
        <v>Sunday</v>
      </c>
      <c r="Q256" t="str">
        <f>TEXT(Table1[[#All],[Order Date]],"mmm")</f>
        <v>May</v>
      </c>
      <c r="R256" t="str">
        <f>IF(Table1[[#All],[Total Price (?)]]&gt;1000,"High Value","Normal")</f>
        <v>High Value</v>
      </c>
    </row>
    <row r="257" spans="1:18" x14ac:dyDescent="0.3">
      <c r="A257" t="s">
        <v>318</v>
      </c>
      <c r="B257" s="1">
        <v>45754</v>
      </c>
      <c r="C257" t="s">
        <v>52</v>
      </c>
      <c r="D257" t="s">
        <v>25</v>
      </c>
      <c r="E257" t="s">
        <v>49</v>
      </c>
      <c r="F257" t="s">
        <v>53</v>
      </c>
      <c r="G257">
        <v>4</v>
      </c>
      <c r="H257">
        <v>3135.11</v>
      </c>
      <c r="I257">
        <v>0.22</v>
      </c>
      <c r="J257">
        <v>9781.5400000000009</v>
      </c>
      <c r="K257" t="s">
        <v>19</v>
      </c>
      <c r="L257" t="s">
        <v>34</v>
      </c>
      <c r="M257" t="s">
        <v>54</v>
      </c>
      <c r="N257" t="s">
        <v>22</v>
      </c>
      <c r="O257">
        <f>Table1[[#All],[Quantity]]*Table1[[#All],[Unit Price (?)]]</f>
        <v>12540.44</v>
      </c>
      <c r="P257" t="str">
        <f>TEXT(Table1[[#All],[Order Date]],"dddd")</f>
        <v>Monday</v>
      </c>
      <c r="Q257" t="str">
        <f>TEXT(Table1[[#All],[Order Date]],"mmm")</f>
        <v>Apr</v>
      </c>
      <c r="R257" t="str">
        <f>IF(Table1[[#All],[Total Price (?)]]&gt;1000,"High Value","Normal")</f>
        <v>High Value</v>
      </c>
    </row>
    <row r="258" spans="1:18" x14ac:dyDescent="0.3">
      <c r="A258" t="s">
        <v>319</v>
      </c>
      <c r="B258" s="1">
        <v>45818</v>
      </c>
      <c r="C258" t="s">
        <v>48</v>
      </c>
      <c r="D258" t="s">
        <v>43</v>
      </c>
      <c r="E258" t="s">
        <v>49</v>
      </c>
      <c r="F258" t="s">
        <v>50</v>
      </c>
      <c r="G258">
        <v>4</v>
      </c>
      <c r="H258">
        <v>2494.63</v>
      </c>
      <c r="I258">
        <v>0.02</v>
      </c>
      <c r="J258">
        <v>9778.9500000000007</v>
      </c>
      <c r="K258" t="s">
        <v>41</v>
      </c>
      <c r="L258" t="s">
        <v>34</v>
      </c>
      <c r="M258" t="s">
        <v>54</v>
      </c>
      <c r="N258" t="s">
        <v>22</v>
      </c>
      <c r="O258">
        <f>Table1[[#All],[Quantity]]*Table1[[#All],[Unit Price (?)]]</f>
        <v>9978.52</v>
      </c>
      <c r="P258" t="str">
        <f>TEXT(Table1[[#All],[Order Date]],"dddd")</f>
        <v>Tuesday</v>
      </c>
      <c r="Q258" t="str">
        <f>TEXT(Table1[[#All],[Order Date]],"mmm")</f>
        <v>Jun</v>
      </c>
      <c r="R258" t="str">
        <f>IF(Table1[[#All],[Total Price (?)]]&gt;1000,"High Value","Normal")</f>
        <v>High Value</v>
      </c>
    </row>
    <row r="259" spans="1:18" x14ac:dyDescent="0.3">
      <c r="A259" t="s">
        <v>320</v>
      </c>
      <c r="B259" s="1">
        <v>45673</v>
      </c>
      <c r="C259" t="s">
        <v>36</v>
      </c>
      <c r="D259" t="s">
        <v>16</v>
      </c>
      <c r="E259" t="s">
        <v>99</v>
      </c>
      <c r="F259" t="s">
        <v>100</v>
      </c>
      <c r="G259">
        <v>4</v>
      </c>
      <c r="H259">
        <v>2871.69</v>
      </c>
      <c r="I259">
        <v>0.19</v>
      </c>
      <c r="J259">
        <v>9304.2800000000007</v>
      </c>
      <c r="K259" t="s">
        <v>46</v>
      </c>
      <c r="L259" t="s">
        <v>20</v>
      </c>
      <c r="M259" t="s">
        <v>30</v>
      </c>
      <c r="N259" t="s">
        <v>22</v>
      </c>
      <c r="O259">
        <f>Table1[[#All],[Quantity]]*Table1[[#All],[Unit Price (?)]]</f>
        <v>11486.76</v>
      </c>
      <c r="P259" t="str">
        <f>TEXT(Table1[[#All],[Order Date]],"dddd")</f>
        <v>Thursday</v>
      </c>
      <c r="Q259" t="str">
        <f>TEXT(Table1[[#All],[Order Date]],"mmm")</f>
        <v>Jan</v>
      </c>
      <c r="R259" t="str">
        <f>IF(Table1[[#All],[Total Price (?)]]&gt;1000,"High Value","Normal")</f>
        <v>High Value</v>
      </c>
    </row>
    <row r="260" spans="1:18" x14ac:dyDescent="0.3">
      <c r="A260" t="s">
        <v>321</v>
      </c>
      <c r="B260" s="1">
        <v>45807</v>
      </c>
      <c r="C260" t="s">
        <v>36</v>
      </c>
      <c r="D260" t="s">
        <v>43</v>
      </c>
      <c r="E260" t="s">
        <v>99</v>
      </c>
      <c r="F260" t="s">
        <v>111</v>
      </c>
      <c r="G260">
        <v>4</v>
      </c>
      <c r="H260">
        <v>2777.13</v>
      </c>
      <c r="I260">
        <v>0.25</v>
      </c>
      <c r="J260">
        <v>8331.39</v>
      </c>
      <c r="K260" t="s">
        <v>58</v>
      </c>
      <c r="L260" t="s">
        <v>29</v>
      </c>
      <c r="M260" t="s">
        <v>54</v>
      </c>
      <c r="N260" t="s">
        <v>22</v>
      </c>
      <c r="O260">
        <f>Table1[[#All],[Quantity]]*Table1[[#All],[Unit Price (?)]]</f>
        <v>11108.52</v>
      </c>
      <c r="P260" t="str">
        <f>TEXT(Table1[[#All],[Order Date]],"dddd")</f>
        <v>Friday</v>
      </c>
      <c r="Q260" t="str">
        <f>TEXT(Table1[[#All],[Order Date]],"mmm")</f>
        <v>May</v>
      </c>
      <c r="R260" t="str">
        <f>IF(Table1[[#All],[Total Price (?)]]&gt;1000,"High Value","Normal")</f>
        <v>High Value</v>
      </c>
    </row>
    <row r="261" spans="1:18" x14ac:dyDescent="0.3">
      <c r="A261" t="s">
        <v>322</v>
      </c>
      <c r="B261" s="1">
        <v>45763</v>
      </c>
      <c r="C261" t="s">
        <v>15</v>
      </c>
      <c r="D261" t="s">
        <v>43</v>
      </c>
      <c r="E261" t="s">
        <v>17</v>
      </c>
      <c r="F261" t="s">
        <v>40</v>
      </c>
      <c r="G261">
        <v>4</v>
      </c>
      <c r="H261">
        <v>4339.92</v>
      </c>
      <c r="I261">
        <v>0.03</v>
      </c>
      <c r="J261">
        <v>16838.89</v>
      </c>
      <c r="K261" t="s">
        <v>46</v>
      </c>
      <c r="L261" t="s">
        <v>20</v>
      </c>
      <c r="M261" t="s">
        <v>54</v>
      </c>
      <c r="N261" t="s">
        <v>88</v>
      </c>
      <c r="O261">
        <f>Table1[[#All],[Quantity]]*Table1[[#All],[Unit Price (?)]]</f>
        <v>17359.68</v>
      </c>
      <c r="P261" t="str">
        <f>TEXT(Table1[[#All],[Order Date]],"dddd")</f>
        <v>Wednesday</v>
      </c>
      <c r="Q261" t="str">
        <f>TEXT(Table1[[#All],[Order Date]],"mmm")</f>
        <v>Apr</v>
      </c>
      <c r="R261" t="str">
        <f>IF(Table1[[#All],[Total Price (?)]]&gt;1000,"High Value","Normal")</f>
        <v>High Value</v>
      </c>
    </row>
    <row r="262" spans="1:18" x14ac:dyDescent="0.3">
      <c r="A262" t="s">
        <v>323</v>
      </c>
      <c r="B262" s="1">
        <v>45808</v>
      </c>
      <c r="C262" t="s">
        <v>36</v>
      </c>
      <c r="D262" t="s">
        <v>16</v>
      </c>
      <c r="E262" t="s">
        <v>27</v>
      </c>
      <c r="F262" t="s">
        <v>28</v>
      </c>
      <c r="G262">
        <v>5</v>
      </c>
      <c r="H262">
        <v>782.25</v>
      </c>
      <c r="I262">
        <v>0.05</v>
      </c>
      <c r="J262">
        <v>3715.69</v>
      </c>
      <c r="K262" t="s">
        <v>41</v>
      </c>
      <c r="L262" t="s">
        <v>20</v>
      </c>
      <c r="M262" t="s">
        <v>54</v>
      </c>
      <c r="N262" t="s">
        <v>22</v>
      </c>
      <c r="O262">
        <f>Table1[[#All],[Quantity]]*Table1[[#All],[Unit Price (?)]]</f>
        <v>3911.25</v>
      </c>
      <c r="P262" t="str">
        <f>TEXT(Table1[[#All],[Order Date]],"dddd")</f>
        <v>Saturday</v>
      </c>
      <c r="Q262" t="str">
        <f>TEXT(Table1[[#All],[Order Date]],"mmm")</f>
        <v>May</v>
      </c>
      <c r="R262" t="str">
        <f>IF(Table1[[#All],[Total Price (?)]]&gt;1000,"High Value","Normal")</f>
        <v>High Value</v>
      </c>
    </row>
    <row r="263" spans="1:18" x14ac:dyDescent="0.3">
      <c r="A263" t="s">
        <v>324</v>
      </c>
      <c r="B263" s="1">
        <v>45684</v>
      </c>
      <c r="C263" t="s">
        <v>36</v>
      </c>
      <c r="D263" t="s">
        <v>39</v>
      </c>
      <c r="E263" t="s">
        <v>27</v>
      </c>
      <c r="F263" t="s">
        <v>28</v>
      </c>
      <c r="G263">
        <v>3</v>
      </c>
      <c r="H263">
        <v>4897.1000000000004</v>
      </c>
      <c r="I263">
        <v>7.0000000000000007E-2</v>
      </c>
      <c r="J263">
        <v>13662.91</v>
      </c>
      <c r="K263" t="s">
        <v>33</v>
      </c>
      <c r="L263" t="s">
        <v>20</v>
      </c>
      <c r="M263" t="s">
        <v>21</v>
      </c>
      <c r="N263" t="s">
        <v>59</v>
      </c>
      <c r="O263">
        <f>Table1[[#All],[Quantity]]*Table1[[#All],[Unit Price (?)]]</f>
        <v>14691.300000000001</v>
      </c>
      <c r="P263" t="str">
        <f>TEXT(Table1[[#All],[Order Date]],"dddd")</f>
        <v>Monday</v>
      </c>
      <c r="Q263" t="str">
        <f>TEXT(Table1[[#All],[Order Date]],"mmm")</f>
        <v>Jan</v>
      </c>
      <c r="R263" t="str">
        <f>IF(Table1[[#All],[Total Price (?)]]&gt;1000,"High Value","Normal")</f>
        <v>High Value</v>
      </c>
    </row>
    <row r="264" spans="1:18" x14ac:dyDescent="0.3">
      <c r="A264" t="s">
        <v>325</v>
      </c>
      <c r="B264" s="1">
        <v>45684</v>
      </c>
      <c r="C264" t="s">
        <v>52</v>
      </c>
      <c r="D264" t="s">
        <v>43</v>
      </c>
      <c r="E264" t="s">
        <v>27</v>
      </c>
      <c r="F264" t="s">
        <v>79</v>
      </c>
      <c r="G264">
        <v>3</v>
      </c>
      <c r="H264">
        <v>4348.53</v>
      </c>
      <c r="I264">
        <v>0.03</v>
      </c>
      <c r="J264">
        <v>12654.22</v>
      </c>
      <c r="K264" t="s">
        <v>41</v>
      </c>
      <c r="L264" t="s">
        <v>20</v>
      </c>
      <c r="M264" t="s">
        <v>54</v>
      </c>
      <c r="N264" t="s">
        <v>22</v>
      </c>
      <c r="O264">
        <f>Table1[[#All],[Quantity]]*Table1[[#All],[Unit Price (?)]]</f>
        <v>13045.59</v>
      </c>
      <c r="P264" t="str">
        <f>TEXT(Table1[[#All],[Order Date]],"dddd")</f>
        <v>Monday</v>
      </c>
      <c r="Q264" t="str">
        <f>TEXT(Table1[[#All],[Order Date]],"mmm")</f>
        <v>Jan</v>
      </c>
      <c r="R264" t="str">
        <f>IF(Table1[[#All],[Total Price (?)]]&gt;1000,"High Value","Normal")</f>
        <v>High Value</v>
      </c>
    </row>
    <row r="265" spans="1:18" x14ac:dyDescent="0.3">
      <c r="A265" t="s">
        <v>326</v>
      </c>
      <c r="B265" s="1">
        <v>45788</v>
      </c>
      <c r="C265" t="s">
        <v>48</v>
      </c>
      <c r="D265" t="s">
        <v>25</v>
      </c>
      <c r="E265" t="s">
        <v>99</v>
      </c>
      <c r="F265" t="s">
        <v>100</v>
      </c>
      <c r="G265">
        <v>5</v>
      </c>
      <c r="H265">
        <v>3198.77</v>
      </c>
      <c r="I265">
        <v>0.16</v>
      </c>
      <c r="J265">
        <v>13434.83</v>
      </c>
      <c r="K265" t="s">
        <v>41</v>
      </c>
      <c r="L265" t="s">
        <v>20</v>
      </c>
      <c r="M265" t="s">
        <v>30</v>
      </c>
      <c r="N265" t="s">
        <v>22</v>
      </c>
      <c r="O265">
        <f>Table1[[#All],[Quantity]]*Table1[[#All],[Unit Price (?)]]</f>
        <v>15993.85</v>
      </c>
      <c r="P265" t="str">
        <f>TEXT(Table1[[#All],[Order Date]],"dddd")</f>
        <v>Sunday</v>
      </c>
      <c r="Q265" t="str">
        <f>TEXT(Table1[[#All],[Order Date]],"mmm")</f>
        <v>May</v>
      </c>
      <c r="R265" t="str">
        <f>IF(Table1[[#All],[Total Price (?)]]&gt;1000,"High Value","Normal")</f>
        <v>High Value</v>
      </c>
    </row>
    <row r="266" spans="1:18" x14ac:dyDescent="0.3">
      <c r="A266" t="s">
        <v>327</v>
      </c>
      <c r="B266" s="1">
        <v>45752</v>
      </c>
      <c r="C266" t="s">
        <v>36</v>
      </c>
      <c r="D266" t="s">
        <v>16</v>
      </c>
      <c r="E266" t="s">
        <v>17</v>
      </c>
      <c r="F266" t="s">
        <v>40</v>
      </c>
      <c r="G266">
        <v>3</v>
      </c>
      <c r="H266">
        <v>2328.0100000000002</v>
      </c>
      <c r="I266">
        <v>0.12</v>
      </c>
      <c r="J266">
        <v>6145.95</v>
      </c>
      <c r="K266" t="s">
        <v>46</v>
      </c>
      <c r="L266" t="s">
        <v>29</v>
      </c>
      <c r="M266" t="s">
        <v>21</v>
      </c>
      <c r="N266" t="s">
        <v>37</v>
      </c>
      <c r="O266">
        <f>Table1[[#All],[Quantity]]*Table1[[#All],[Unit Price (?)]]</f>
        <v>6984.0300000000007</v>
      </c>
      <c r="P266" t="str">
        <f>TEXT(Table1[[#All],[Order Date]],"dddd")</f>
        <v>Saturday</v>
      </c>
      <c r="Q266" t="str">
        <f>TEXT(Table1[[#All],[Order Date]],"mmm")</f>
        <v>Apr</v>
      </c>
      <c r="R266" t="str">
        <f>IF(Table1[[#All],[Total Price (?)]]&gt;1000,"High Value","Normal")</f>
        <v>High Value</v>
      </c>
    </row>
    <row r="267" spans="1:18" x14ac:dyDescent="0.3">
      <c r="A267" t="s">
        <v>328</v>
      </c>
      <c r="B267" s="1">
        <v>45766</v>
      </c>
      <c r="C267" t="s">
        <v>15</v>
      </c>
      <c r="D267" t="s">
        <v>25</v>
      </c>
      <c r="E267" t="s">
        <v>17</v>
      </c>
      <c r="F267" t="s">
        <v>40</v>
      </c>
      <c r="G267">
        <v>4</v>
      </c>
      <c r="H267">
        <v>1167.3699999999999</v>
      </c>
      <c r="I267">
        <v>0.11</v>
      </c>
      <c r="J267">
        <v>4155.84</v>
      </c>
      <c r="K267" t="s">
        <v>58</v>
      </c>
      <c r="L267" t="s">
        <v>29</v>
      </c>
      <c r="M267" t="s">
        <v>54</v>
      </c>
      <c r="N267" t="s">
        <v>22</v>
      </c>
      <c r="O267">
        <f>Table1[[#All],[Quantity]]*Table1[[#All],[Unit Price (?)]]</f>
        <v>4669.4799999999996</v>
      </c>
      <c r="P267" t="str">
        <f>TEXT(Table1[[#All],[Order Date]],"dddd")</f>
        <v>Saturday</v>
      </c>
      <c r="Q267" t="str">
        <f>TEXT(Table1[[#All],[Order Date]],"mmm")</f>
        <v>Apr</v>
      </c>
      <c r="R267" t="str">
        <f>IF(Table1[[#All],[Total Price (?)]]&gt;1000,"High Value","Normal")</f>
        <v>High Value</v>
      </c>
    </row>
    <row r="268" spans="1:18" x14ac:dyDescent="0.3">
      <c r="A268" t="s">
        <v>329</v>
      </c>
      <c r="B268" s="1">
        <v>45692</v>
      </c>
      <c r="C268" t="s">
        <v>36</v>
      </c>
      <c r="D268" t="s">
        <v>16</v>
      </c>
      <c r="E268" t="s">
        <v>99</v>
      </c>
      <c r="F268" t="s">
        <v>111</v>
      </c>
      <c r="G268">
        <v>5</v>
      </c>
      <c r="H268">
        <v>4276.87</v>
      </c>
      <c r="I268">
        <v>0.2</v>
      </c>
      <c r="J268">
        <v>17107.48</v>
      </c>
      <c r="K268" t="s">
        <v>33</v>
      </c>
      <c r="L268" t="s">
        <v>20</v>
      </c>
      <c r="M268" t="s">
        <v>21</v>
      </c>
      <c r="N268" t="s">
        <v>22</v>
      </c>
      <c r="O268">
        <f>Table1[[#All],[Quantity]]*Table1[[#All],[Unit Price (?)]]</f>
        <v>21384.35</v>
      </c>
      <c r="P268" t="str">
        <f>TEXT(Table1[[#All],[Order Date]],"dddd")</f>
        <v>Tuesday</v>
      </c>
      <c r="Q268" t="str">
        <f>TEXT(Table1[[#All],[Order Date]],"mmm")</f>
        <v>Feb</v>
      </c>
      <c r="R268" t="str">
        <f>IF(Table1[[#All],[Total Price (?)]]&gt;1000,"High Value","Normal")</f>
        <v>High Value</v>
      </c>
    </row>
    <row r="269" spans="1:18" x14ac:dyDescent="0.3">
      <c r="A269" t="s">
        <v>330</v>
      </c>
      <c r="B269" s="1">
        <v>45711</v>
      </c>
      <c r="C269" t="s">
        <v>24</v>
      </c>
      <c r="D269" t="s">
        <v>43</v>
      </c>
      <c r="E269" t="s">
        <v>49</v>
      </c>
      <c r="F269" t="s">
        <v>56</v>
      </c>
      <c r="G269">
        <v>4</v>
      </c>
      <c r="H269">
        <v>103.31</v>
      </c>
      <c r="I269">
        <v>0.24</v>
      </c>
      <c r="J269">
        <v>314.06</v>
      </c>
      <c r="K269" t="s">
        <v>19</v>
      </c>
      <c r="L269" t="s">
        <v>34</v>
      </c>
      <c r="M269" t="s">
        <v>54</v>
      </c>
      <c r="N269" t="s">
        <v>37</v>
      </c>
      <c r="O269">
        <f>Table1[[#All],[Quantity]]*Table1[[#All],[Unit Price (?)]]</f>
        <v>413.24</v>
      </c>
      <c r="P269" t="str">
        <f>TEXT(Table1[[#All],[Order Date]],"dddd")</f>
        <v>Sunday</v>
      </c>
      <c r="Q269" t="str">
        <f>TEXT(Table1[[#All],[Order Date]],"mmm")</f>
        <v>Feb</v>
      </c>
      <c r="R269" t="str">
        <f>IF(Table1[[#All],[Total Price (?)]]&gt;1000,"High Value","Normal")</f>
        <v>Normal</v>
      </c>
    </row>
    <row r="270" spans="1:18" x14ac:dyDescent="0.3">
      <c r="A270" t="s">
        <v>331</v>
      </c>
      <c r="B270" s="1">
        <v>45762</v>
      </c>
      <c r="C270" t="s">
        <v>15</v>
      </c>
      <c r="D270" t="s">
        <v>43</v>
      </c>
      <c r="E270" t="s">
        <v>99</v>
      </c>
      <c r="F270" t="s">
        <v>100</v>
      </c>
      <c r="G270">
        <v>3</v>
      </c>
      <c r="H270">
        <v>1326.91</v>
      </c>
      <c r="I270">
        <v>0.09</v>
      </c>
      <c r="J270">
        <v>3622.46</v>
      </c>
      <c r="K270" t="s">
        <v>58</v>
      </c>
      <c r="L270" t="s">
        <v>29</v>
      </c>
      <c r="M270" t="s">
        <v>21</v>
      </c>
      <c r="N270" t="s">
        <v>22</v>
      </c>
      <c r="O270">
        <f>Table1[[#All],[Quantity]]*Table1[[#All],[Unit Price (?)]]</f>
        <v>3980.7300000000005</v>
      </c>
      <c r="P270" t="str">
        <f>TEXT(Table1[[#All],[Order Date]],"dddd")</f>
        <v>Tuesday</v>
      </c>
      <c r="Q270" t="str">
        <f>TEXT(Table1[[#All],[Order Date]],"mmm")</f>
        <v>Apr</v>
      </c>
      <c r="R270" t="str">
        <f>IF(Table1[[#All],[Total Price (?)]]&gt;1000,"High Value","Normal")</f>
        <v>High Value</v>
      </c>
    </row>
    <row r="271" spans="1:18" x14ac:dyDescent="0.3">
      <c r="A271" t="s">
        <v>332</v>
      </c>
      <c r="B271" s="1">
        <v>45829</v>
      </c>
      <c r="C271" t="s">
        <v>48</v>
      </c>
      <c r="D271" t="s">
        <v>43</v>
      </c>
      <c r="E271" t="s">
        <v>99</v>
      </c>
      <c r="F271" t="s">
        <v>100</v>
      </c>
      <c r="G271">
        <v>1</v>
      </c>
      <c r="H271">
        <v>105.32</v>
      </c>
      <c r="I271">
        <v>0.12</v>
      </c>
      <c r="J271">
        <v>92.68</v>
      </c>
      <c r="K271" t="s">
        <v>58</v>
      </c>
      <c r="L271" t="s">
        <v>29</v>
      </c>
      <c r="M271" t="s">
        <v>54</v>
      </c>
      <c r="N271" t="s">
        <v>22</v>
      </c>
      <c r="O271">
        <f>Table1[[#All],[Quantity]]*Table1[[#All],[Unit Price (?)]]</f>
        <v>105.32</v>
      </c>
      <c r="P271" t="str">
        <f>TEXT(Table1[[#All],[Order Date]],"dddd")</f>
        <v>Saturday</v>
      </c>
      <c r="Q271" t="str">
        <f>TEXT(Table1[[#All],[Order Date]],"mmm")</f>
        <v>Jun</v>
      </c>
      <c r="R271" t="str">
        <f>IF(Table1[[#All],[Total Price (?)]]&gt;1000,"High Value","Normal")</f>
        <v>Normal</v>
      </c>
    </row>
    <row r="272" spans="1:18" x14ac:dyDescent="0.3">
      <c r="A272" t="s">
        <v>333</v>
      </c>
      <c r="B272" s="1">
        <v>45777</v>
      </c>
      <c r="C272" t="s">
        <v>24</v>
      </c>
      <c r="D272" t="s">
        <v>25</v>
      </c>
      <c r="E272" t="s">
        <v>49</v>
      </c>
      <c r="F272" t="s">
        <v>56</v>
      </c>
      <c r="G272">
        <v>4</v>
      </c>
      <c r="H272">
        <v>3500.75</v>
      </c>
      <c r="I272">
        <v>0.12</v>
      </c>
      <c r="J272">
        <v>12322.64</v>
      </c>
      <c r="K272" t="s">
        <v>46</v>
      </c>
      <c r="L272" t="s">
        <v>20</v>
      </c>
      <c r="M272" t="s">
        <v>54</v>
      </c>
      <c r="N272" t="s">
        <v>22</v>
      </c>
      <c r="O272">
        <f>Table1[[#All],[Quantity]]*Table1[[#All],[Unit Price (?)]]</f>
        <v>14003</v>
      </c>
      <c r="P272" t="str">
        <f>TEXT(Table1[[#All],[Order Date]],"dddd")</f>
        <v>Wednesday</v>
      </c>
      <c r="Q272" t="str">
        <f>TEXT(Table1[[#All],[Order Date]],"mmm")</f>
        <v>Apr</v>
      </c>
      <c r="R272" t="str">
        <f>IF(Table1[[#All],[Total Price (?)]]&gt;1000,"High Value","Normal")</f>
        <v>High Value</v>
      </c>
    </row>
    <row r="273" spans="1:18" x14ac:dyDescent="0.3">
      <c r="A273" t="s">
        <v>334</v>
      </c>
      <c r="B273" s="1">
        <v>45742</v>
      </c>
      <c r="C273" t="s">
        <v>15</v>
      </c>
      <c r="D273" t="s">
        <v>43</v>
      </c>
      <c r="E273" t="s">
        <v>17</v>
      </c>
      <c r="F273" t="s">
        <v>18</v>
      </c>
      <c r="G273">
        <v>2</v>
      </c>
      <c r="H273">
        <v>1975.33</v>
      </c>
      <c r="I273">
        <v>0.2</v>
      </c>
      <c r="J273">
        <v>3160.53</v>
      </c>
      <c r="K273" t="s">
        <v>46</v>
      </c>
      <c r="L273" t="s">
        <v>34</v>
      </c>
      <c r="M273" t="s">
        <v>54</v>
      </c>
      <c r="N273" t="s">
        <v>22</v>
      </c>
      <c r="O273">
        <f>Table1[[#All],[Quantity]]*Table1[[#All],[Unit Price (?)]]</f>
        <v>3950.66</v>
      </c>
      <c r="P273" t="str">
        <f>TEXT(Table1[[#All],[Order Date]],"dddd")</f>
        <v>Wednesday</v>
      </c>
      <c r="Q273" t="str">
        <f>TEXT(Table1[[#All],[Order Date]],"mmm")</f>
        <v>Mar</v>
      </c>
      <c r="R273" t="str">
        <f>IF(Table1[[#All],[Total Price (?)]]&gt;1000,"High Value","Normal")</f>
        <v>High Value</v>
      </c>
    </row>
    <row r="274" spans="1:18" x14ac:dyDescent="0.3">
      <c r="A274" t="s">
        <v>335</v>
      </c>
      <c r="B274" s="1">
        <v>45701</v>
      </c>
      <c r="C274" t="s">
        <v>36</v>
      </c>
      <c r="D274" t="s">
        <v>25</v>
      </c>
      <c r="E274" t="s">
        <v>27</v>
      </c>
      <c r="F274" t="s">
        <v>79</v>
      </c>
      <c r="G274">
        <v>3</v>
      </c>
      <c r="H274">
        <v>3639.92</v>
      </c>
      <c r="I274">
        <v>0.16</v>
      </c>
      <c r="J274">
        <v>9172.6</v>
      </c>
      <c r="K274" t="s">
        <v>19</v>
      </c>
      <c r="L274" t="s">
        <v>34</v>
      </c>
      <c r="M274" t="s">
        <v>54</v>
      </c>
      <c r="N274" t="s">
        <v>22</v>
      </c>
      <c r="O274">
        <f>Table1[[#All],[Quantity]]*Table1[[#All],[Unit Price (?)]]</f>
        <v>10919.76</v>
      </c>
      <c r="P274" t="str">
        <f>TEXT(Table1[[#All],[Order Date]],"dddd")</f>
        <v>Thursday</v>
      </c>
      <c r="Q274" t="str">
        <f>TEXT(Table1[[#All],[Order Date]],"mmm")</f>
        <v>Feb</v>
      </c>
      <c r="R274" t="str">
        <f>IF(Table1[[#All],[Total Price (?)]]&gt;1000,"High Value","Normal")</f>
        <v>High Value</v>
      </c>
    </row>
    <row r="275" spans="1:18" x14ac:dyDescent="0.3">
      <c r="A275" t="s">
        <v>336</v>
      </c>
      <c r="B275" s="1">
        <v>45840</v>
      </c>
      <c r="C275" t="s">
        <v>24</v>
      </c>
      <c r="D275" t="s">
        <v>39</v>
      </c>
      <c r="E275" t="s">
        <v>49</v>
      </c>
      <c r="F275" t="s">
        <v>73</v>
      </c>
      <c r="G275">
        <v>1</v>
      </c>
      <c r="H275">
        <v>2988.91</v>
      </c>
      <c r="I275">
        <v>0.1</v>
      </c>
      <c r="J275">
        <v>2690.02</v>
      </c>
      <c r="K275" t="s">
        <v>58</v>
      </c>
      <c r="L275" t="s">
        <v>20</v>
      </c>
      <c r="M275" t="s">
        <v>30</v>
      </c>
      <c r="N275" t="s">
        <v>88</v>
      </c>
      <c r="O275">
        <f>Table1[[#All],[Quantity]]*Table1[[#All],[Unit Price (?)]]</f>
        <v>2988.91</v>
      </c>
      <c r="P275" t="str">
        <f>TEXT(Table1[[#All],[Order Date]],"dddd")</f>
        <v>Wednesday</v>
      </c>
      <c r="Q275" t="str">
        <f>TEXT(Table1[[#All],[Order Date]],"mmm")</f>
        <v>Jul</v>
      </c>
      <c r="R275" t="str">
        <f>IF(Table1[[#All],[Total Price (?)]]&gt;1000,"High Value","Normal")</f>
        <v>High Value</v>
      </c>
    </row>
    <row r="276" spans="1:18" x14ac:dyDescent="0.3">
      <c r="A276" t="s">
        <v>337</v>
      </c>
      <c r="B276" s="1">
        <v>45764</v>
      </c>
      <c r="C276" t="s">
        <v>24</v>
      </c>
      <c r="D276" t="s">
        <v>16</v>
      </c>
      <c r="E276" t="s">
        <v>61</v>
      </c>
      <c r="F276" t="s">
        <v>66</v>
      </c>
      <c r="G276">
        <v>5</v>
      </c>
      <c r="H276">
        <v>3040.04</v>
      </c>
      <c r="I276">
        <v>0.15</v>
      </c>
      <c r="J276">
        <v>12920.17</v>
      </c>
      <c r="K276" t="s">
        <v>19</v>
      </c>
      <c r="L276" t="s">
        <v>29</v>
      </c>
      <c r="M276" t="s">
        <v>21</v>
      </c>
      <c r="N276" t="s">
        <v>88</v>
      </c>
      <c r="O276">
        <f>Table1[[#All],[Quantity]]*Table1[[#All],[Unit Price (?)]]</f>
        <v>15200.2</v>
      </c>
      <c r="P276" t="str">
        <f>TEXT(Table1[[#All],[Order Date]],"dddd")</f>
        <v>Thursday</v>
      </c>
      <c r="Q276" t="str">
        <f>TEXT(Table1[[#All],[Order Date]],"mmm")</f>
        <v>Apr</v>
      </c>
      <c r="R276" t="str">
        <f>IF(Table1[[#All],[Total Price (?)]]&gt;1000,"High Value","Normal")</f>
        <v>High Value</v>
      </c>
    </row>
    <row r="277" spans="1:18" x14ac:dyDescent="0.3">
      <c r="A277" t="s">
        <v>338</v>
      </c>
      <c r="B277" s="1">
        <v>45806</v>
      </c>
      <c r="C277" t="s">
        <v>36</v>
      </c>
      <c r="D277" t="s">
        <v>43</v>
      </c>
      <c r="E277" t="s">
        <v>99</v>
      </c>
      <c r="F277" t="s">
        <v>100</v>
      </c>
      <c r="G277">
        <v>2</v>
      </c>
      <c r="H277">
        <v>3764.43</v>
      </c>
      <c r="I277">
        <v>7.0000000000000007E-2</v>
      </c>
      <c r="J277">
        <v>7001.84</v>
      </c>
      <c r="K277" t="s">
        <v>33</v>
      </c>
      <c r="L277" t="s">
        <v>29</v>
      </c>
      <c r="M277" t="s">
        <v>54</v>
      </c>
      <c r="N277" t="s">
        <v>22</v>
      </c>
      <c r="O277">
        <f>Table1[[#All],[Quantity]]*Table1[[#All],[Unit Price (?)]]</f>
        <v>7528.86</v>
      </c>
      <c r="P277" t="str">
        <f>TEXT(Table1[[#All],[Order Date]],"dddd")</f>
        <v>Thursday</v>
      </c>
      <c r="Q277" t="str">
        <f>TEXT(Table1[[#All],[Order Date]],"mmm")</f>
        <v>May</v>
      </c>
      <c r="R277" t="str">
        <f>IF(Table1[[#All],[Total Price (?)]]&gt;1000,"High Value","Normal")</f>
        <v>High Value</v>
      </c>
    </row>
    <row r="278" spans="1:18" x14ac:dyDescent="0.3">
      <c r="A278" t="s">
        <v>339</v>
      </c>
      <c r="B278" s="1">
        <v>45801</v>
      </c>
      <c r="C278" t="s">
        <v>48</v>
      </c>
      <c r="D278" t="s">
        <v>39</v>
      </c>
      <c r="E278" t="s">
        <v>17</v>
      </c>
      <c r="F278" t="s">
        <v>44</v>
      </c>
      <c r="G278">
        <v>5</v>
      </c>
      <c r="H278">
        <v>4454.75</v>
      </c>
      <c r="I278">
        <v>0</v>
      </c>
      <c r="J278">
        <v>22273.75</v>
      </c>
      <c r="K278" t="s">
        <v>33</v>
      </c>
      <c r="L278" t="s">
        <v>20</v>
      </c>
      <c r="M278" t="s">
        <v>30</v>
      </c>
      <c r="N278" t="s">
        <v>22</v>
      </c>
      <c r="O278">
        <f>Table1[[#All],[Quantity]]*Table1[[#All],[Unit Price (?)]]</f>
        <v>22273.75</v>
      </c>
      <c r="P278" t="str">
        <f>TEXT(Table1[[#All],[Order Date]],"dddd")</f>
        <v>Saturday</v>
      </c>
      <c r="Q278" t="str">
        <f>TEXT(Table1[[#All],[Order Date]],"mmm")</f>
        <v>May</v>
      </c>
      <c r="R278" t="str">
        <f>IF(Table1[[#All],[Total Price (?)]]&gt;1000,"High Value","Normal")</f>
        <v>High Value</v>
      </c>
    </row>
    <row r="279" spans="1:18" x14ac:dyDescent="0.3">
      <c r="A279" t="s">
        <v>340</v>
      </c>
      <c r="B279" s="1">
        <v>45793</v>
      </c>
      <c r="C279" t="s">
        <v>15</v>
      </c>
      <c r="D279" t="s">
        <v>16</v>
      </c>
      <c r="E279" t="s">
        <v>27</v>
      </c>
      <c r="F279" t="s">
        <v>87</v>
      </c>
      <c r="G279">
        <v>2</v>
      </c>
      <c r="H279">
        <v>3837.36</v>
      </c>
      <c r="I279">
        <v>0.24</v>
      </c>
      <c r="J279">
        <v>5832.79</v>
      </c>
      <c r="K279" t="s">
        <v>33</v>
      </c>
      <c r="L279" t="s">
        <v>29</v>
      </c>
      <c r="M279" t="s">
        <v>54</v>
      </c>
      <c r="N279" t="s">
        <v>22</v>
      </c>
      <c r="O279">
        <f>Table1[[#All],[Quantity]]*Table1[[#All],[Unit Price (?)]]</f>
        <v>7674.72</v>
      </c>
      <c r="P279" t="str">
        <f>TEXT(Table1[[#All],[Order Date]],"dddd")</f>
        <v>Friday</v>
      </c>
      <c r="Q279" t="str">
        <f>TEXT(Table1[[#All],[Order Date]],"mmm")</f>
        <v>May</v>
      </c>
      <c r="R279" t="str">
        <f>IF(Table1[[#All],[Total Price (?)]]&gt;1000,"High Value","Normal")</f>
        <v>High Value</v>
      </c>
    </row>
    <row r="280" spans="1:18" x14ac:dyDescent="0.3">
      <c r="A280" t="s">
        <v>341</v>
      </c>
      <c r="B280" s="1">
        <v>45699</v>
      </c>
      <c r="C280" t="s">
        <v>52</v>
      </c>
      <c r="D280" t="s">
        <v>25</v>
      </c>
      <c r="E280" t="s">
        <v>17</v>
      </c>
      <c r="F280" t="s">
        <v>32</v>
      </c>
      <c r="G280">
        <v>4</v>
      </c>
      <c r="H280">
        <v>2582.39</v>
      </c>
      <c r="I280">
        <v>0.16</v>
      </c>
      <c r="J280">
        <v>8676.83</v>
      </c>
      <c r="K280" t="s">
        <v>58</v>
      </c>
      <c r="L280" t="s">
        <v>20</v>
      </c>
      <c r="M280" t="s">
        <v>21</v>
      </c>
      <c r="N280" t="s">
        <v>22</v>
      </c>
      <c r="O280">
        <f>Table1[[#All],[Quantity]]*Table1[[#All],[Unit Price (?)]]</f>
        <v>10329.56</v>
      </c>
      <c r="P280" t="str">
        <f>TEXT(Table1[[#All],[Order Date]],"dddd")</f>
        <v>Tuesday</v>
      </c>
      <c r="Q280" t="str">
        <f>TEXT(Table1[[#All],[Order Date]],"mmm")</f>
        <v>Feb</v>
      </c>
      <c r="R280" t="str">
        <f>IF(Table1[[#All],[Total Price (?)]]&gt;1000,"High Value","Normal")</f>
        <v>High Value</v>
      </c>
    </row>
    <row r="281" spans="1:18" x14ac:dyDescent="0.3">
      <c r="A281" t="s">
        <v>342</v>
      </c>
      <c r="B281" s="1">
        <v>45798</v>
      </c>
      <c r="C281" t="s">
        <v>36</v>
      </c>
      <c r="D281" t="s">
        <v>43</v>
      </c>
      <c r="E281" t="s">
        <v>49</v>
      </c>
      <c r="F281" t="s">
        <v>56</v>
      </c>
      <c r="G281">
        <v>2</v>
      </c>
      <c r="H281">
        <v>1459.59</v>
      </c>
      <c r="I281">
        <v>0.08</v>
      </c>
      <c r="J281">
        <v>2685.65</v>
      </c>
      <c r="K281" t="s">
        <v>33</v>
      </c>
      <c r="L281" t="s">
        <v>29</v>
      </c>
      <c r="M281" t="s">
        <v>21</v>
      </c>
      <c r="N281" t="s">
        <v>59</v>
      </c>
      <c r="O281">
        <f>Table1[[#All],[Quantity]]*Table1[[#All],[Unit Price (?)]]</f>
        <v>2919.18</v>
      </c>
      <c r="P281" t="str">
        <f>TEXT(Table1[[#All],[Order Date]],"dddd")</f>
        <v>Wednesday</v>
      </c>
      <c r="Q281" t="str">
        <f>TEXT(Table1[[#All],[Order Date]],"mmm")</f>
        <v>May</v>
      </c>
      <c r="R281" t="str">
        <f>IF(Table1[[#All],[Total Price (?)]]&gt;1000,"High Value","Normal")</f>
        <v>High Value</v>
      </c>
    </row>
    <row r="282" spans="1:18" x14ac:dyDescent="0.3">
      <c r="A282" t="s">
        <v>343</v>
      </c>
      <c r="B282" s="1">
        <v>45720</v>
      </c>
      <c r="C282" t="s">
        <v>48</v>
      </c>
      <c r="D282" t="s">
        <v>16</v>
      </c>
      <c r="E282" t="s">
        <v>61</v>
      </c>
      <c r="F282" t="s">
        <v>66</v>
      </c>
      <c r="G282">
        <v>1</v>
      </c>
      <c r="H282">
        <v>1619.83</v>
      </c>
      <c r="I282">
        <v>0.11</v>
      </c>
      <c r="J282">
        <v>1441.65</v>
      </c>
      <c r="K282" t="s">
        <v>33</v>
      </c>
      <c r="L282" t="s">
        <v>29</v>
      </c>
      <c r="M282" t="s">
        <v>54</v>
      </c>
      <c r="N282" t="s">
        <v>22</v>
      </c>
      <c r="O282">
        <f>Table1[[#All],[Quantity]]*Table1[[#All],[Unit Price (?)]]</f>
        <v>1619.83</v>
      </c>
      <c r="P282" t="str">
        <f>TEXT(Table1[[#All],[Order Date]],"dddd")</f>
        <v>Tuesday</v>
      </c>
      <c r="Q282" t="str">
        <f>TEXT(Table1[[#All],[Order Date]],"mmm")</f>
        <v>Mar</v>
      </c>
      <c r="R282" t="str">
        <f>IF(Table1[[#All],[Total Price (?)]]&gt;1000,"High Value","Normal")</f>
        <v>High Value</v>
      </c>
    </row>
    <row r="283" spans="1:18" x14ac:dyDescent="0.3">
      <c r="A283" t="s">
        <v>344</v>
      </c>
      <c r="B283" s="1">
        <v>45737</v>
      </c>
      <c r="C283" t="s">
        <v>48</v>
      </c>
      <c r="D283" t="s">
        <v>43</v>
      </c>
      <c r="E283" t="s">
        <v>49</v>
      </c>
      <c r="F283" t="s">
        <v>56</v>
      </c>
      <c r="G283">
        <v>1</v>
      </c>
      <c r="H283">
        <v>1615.52</v>
      </c>
      <c r="I283">
        <v>0.19</v>
      </c>
      <c r="J283">
        <v>1308.57</v>
      </c>
      <c r="K283" t="s">
        <v>33</v>
      </c>
      <c r="L283" t="s">
        <v>29</v>
      </c>
      <c r="M283" t="s">
        <v>21</v>
      </c>
      <c r="N283" t="s">
        <v>22</v>
      </c>
      <c r="O283">
        <f>Table1[[#All],[Quantity]]*Table1[[#All],[Unit Price (?)]]</f>
        <v>1615.52</v>
      </c>
      <c r="P283" t="str">
        <f>TEXT(Table1[[#All],[Order Date]],"dddd")</f>
        <v>Friday</v>
      </c>
      <c r="Q283" t="str">
        <f>TEXT(Table1[[#All],[Order Date]],"mmm")</f>
        <v>Mar</v>
      </c>
      <c r="R283" t="str">
        <f>IF(Table1[[#All],[Total Price (?)]]&gt;1000,"High Value","Normal")</f>
        <v>High Value</v>
      </c>
    </row>
    <row r="284" spans="1:18" x14ac:dyDescent="0.3">
      <c r="A284" t="s">
        <v>345</v>
      </c>
      <c r="B284" s="1">
        <v>45790</v>
      </c>
      <c r="C284" t="s">
        <v>52</v>
      </c>
      <c r="D284" t="s">
        <v>43</v>
      </c>
      <c r="E284" t="s">
        <v>61</v>
      </c>
      <c r="F284" t="s">
        <v>62</v>
      </c>
      <c r="G284">
        <v>5</v>
      </c>
      <c r="H284">
        <v>2634.39</v>
      </c>
      <c r="I284">
        <v>0.21</v>
      </c>
      <c r="J284">
        <v>10405.84</v>
      </c>
      <c r="K284" t="s">
        <v>41</v>
      </c>
      <c r="L284" t="s">
        <v>34</v>
      </c>
      <c r="M284" t="s">
        <v>30</v>
      </c>
      <c r="N284" t="s">
        <v>22</v>
      </c>
      <c r="O284">
        <f>Table1[[#All],[Quantity]]*Table1[[#All],[Unit Price (?)]]</f>
        <v>13171.949999999999</v>
      </c>
      <c r="P284" t="str">
        <f>TEXT(Table1[[#All],[Order Date]],"dddd")</f>
        <v>Tuesday</v>
      </c>
      <c r="Q284" t="str">
        <f>TEXT(Table1[[#All],[Order Date]],"mmm")</f>
        <v>May</v>
      </c>
      <c r="R284" t="str">
        <f>IF(Table1[[#All],[Total Price (?)]]&gt;1000,"High Value","Normal")</f>
        <v>High Value</v>
      </c>
    </row>
    <row r="285" spans="1:18" x14ac:dyDescent="0.3">
      <c r="A285" t="s">
        <v>346</v>
      </c>
      <c r="B285" s="1">
        <v>45786</v>
      </c>
      <c r="C285" t="s">
        <v>24</v>
      </c>
      <c r="D285" t="s">
        <v>16</v>
      </c>
      <c r="E285" t="s">
        <v>99</v>
      </c>
      <c r="F285" t="s">
        <v>120</v>
      </c>
      <c r="G285">
        <v>3</v>
      </c>
      <c r="H285">
        <v>2666.89</v>
      </c>
      <c r="I285">
        <v>7.0000000000000007E-2</v>
      </c>
      <c r="J285">
        <v>7440.62</v>
      </c>
      <c r="K285" t="s">
        <v>46</v>
      </c>
      <c r="L285" t="s">
        <v>34</v>
      </c>
      <c r="M285" t="s">
        <v>21</v>
      </c>
      <c r="N285" t="s">
        <v>22</v>
      </c>
      <c r="O285">
        <f>Table1[[#All],[Quantity]]*Table1[[#All],[Unit Price (?)]]</f>
        <v>8000.67</v>
      </c>
      <c r="P285" t="str">
        <f>TEXT(Table1[[#All],[Order Date]],"dddd")</f>
        <v>Friday</v>
      </c>
      <c r="Q285" t="str">
        <f>TEXT(Table1[[#All],[Order Date]],"mmm")</f>
        <v>May</v>
      </c>
      <c r="R285" t="str">
        <f>IF(Table1[[#All],[Total Price (?)]]&gt;1000,"High Value","Normal")</f>
        <v>High Value</v>
      </c>
    </row>
    <row r="286" spans="1:18" x14ac:dyDescent="0.3">
      <c r="A286" t="s">
        <v>347</v>
      </c>
      <c r="B286" s="1">
        <v>45732</v>
      </c>
      <c r="C286" t="s">
        <v>24</v>
      </c>
      <c r="D286" t="s">
        <v>16</v>
      </c>
      <c r="E286" t="s">
        <v>27</v>
      </c>
      <c r="F286" t="s">
        <v>28</v>
      </c>
      <c r="G286">
        <v>2</v>
      </c>
      <c r="H286">
        <v>1901.67</v>
      </c>
      <c r="I286">
        <v>0.06</v>
      </c>
      <c r="J286">
        <v>3575.14</v>
      </c>
      <c r="K286" t="s">
        <v>41</v>
      </c>
      <c r="L286" t="s">
        <v>29</v>
      </c>
      <c r="M286" t="s">
        <v>54</v>
      </c>
      <c r="N286" t="s">
        <v>22</v>
      </c>
      <c r="O286">
        <f>Table1[[#All],[Quantity]]*Table1[[#All],[Unit Price (?)]]</f>
        <v>3803.34</v>
      </c>
      <c r="P286" t="str">
        <f>TEXT(Table1[[#All],[Order Date]],"dddd")</f>
        <v>Sunday</v>
      </c>
      <c r="Q286" t="str">
        <f>TEXT(Table1[[#All],[Order Date]],"mmm")</f>
        <v>Mar</v>
      </c>
      <c r="R286" t="str">
        <f>IF(Table1[[#All],[Total Price (?)]]&gt;1000,"High Value","Normal")</f>
        <v>High Value</v>
      </c>
    </row>
    <row r="287" spans="1:18" x14ac:dyDescent="0.3">
      <c r="A287" t="s">
        <v>348</v>
      </c>
      <c r="B287" s="1">
        <v>45745</v>
      </c>
      <c r="C287" t="s">
        <v>24</v>
      </c>
      <c r="D287" t="s">
        <v>43</v>
      </c>
      <c r="E287" t="s">
        <v>27</v>
      </c>
      <c r="F287" t="s">
        <v>79</v>
      </c>
      <c r="G287">
        <v>1</v>
      </c>
      <c r="H287">
        <v>2411.65</v>
      </c>
      <c r="I287">
        <v>0.1</v>
      </c>
      <c r="J287">
        <v>2170.4899999999998</v>
      </c>
      <c r="K287" t="s">
        <v>58</v>
      </c>
      <c r="L287" t="s">
        <v>20</v>
      </c>
      <c r="M287" t="s">
        <v>54</v>
      </c>
      <c r="N287" t="s">
        <v>37</v>
      </c>
      <c r="O287">
        <f>Table1[[#All],[Quantity]]*Table1[[#All],[Unit Price (?)]]</f>
        <v>2411.65</v>
      </c>
      <c r="P287" t="str">
        <f>TEXT(Table1[[#All],[Order Date]],"dddd")</f>
        <v>Saturday</v>
      </c>
      <c r="Q287" t="str">
        <f>TEXT(Table1[[#All],[Order Date]],"mmm")</f>
        <v>Mar</v>
      </c>
      <c r="R287" t="str">
        <f>IF(Table1[[#All],[Total Price (?)]]&gt;1000,"High Value","Normal")</f>
        <v>High Value</v>
      </c>
    </row>
    <row r="288" spans="1:18" x14ac:dyDescent="0.3">
      <c r="A288" t="s">
        <v>349</v>
      </c>
      <c r="B288" s="1">
        <v>45834</v>
      </c>
      <c r="C288" t="s">
        <v>52</v>
      </c>
      <c r="D288" t="s">
        <v>39</v>
      </c>
      <c r="E288" t="s">
        <v>17</v>
      </c>
      <c r="F288" t="s">
        <v>40</v>
      </c>
      <c r="G288">
        <v>4</v>
      </c>
      <c r="H288">
        <v>4587.6899999999996</v>
      </c>
      <c r="I288">
        <v>0.08</v>
      </c>
      <c r="J288">
        <v>16882.7</v>
      </c>
      <c r="K288" t="s">
        <v>46</v>
      </c>
      <c r="L288" t="s">
        <v>20</v>
      </c>
      <c r="M288" t="s">
        <v>54</v>
      </c>
      <c r="N288" t="s">
        <v>22</v>
      </c>
      <c r="O288">
        <f>Table1[[#All],[Quantity]]*Table1[[#All],[Unit Price (?)]]</f>
        <v>18350.759999999998</v>
      </c>
      <c r="P288" t="str">
        <f>TEXT(Table1[[#All],[Order Date]],"dddd")</f>
        <v>Thursday</v>
      </c>
      <c r="Q288" t="str">
        <f>TEXT(Table1[[#All],[Order Date]],"mmm")</f>
        <v>Jun</v>
      </c>
      <c r="R288" t="str">
        <f>IF(Table1[[#All],[Total Price (?)]]&gt;1000,"High Value","Normal")</f>
        <v>High Value</v>
      </c>
    </row>
    <row r="289" spans="1:18" x14ac:dyDescent="0.3">
      <c r="A289" t="s">
        <v>350</v>
      </c>
      <c r="B289" s="1">
        <v>45760</v>
      </c>
      <c r="C289" t="s">
        <v>52</v>
      </c>
      <c r="D289" t="s">
        <v>39</v>
      </c>
      <c r="E289" t="s">
        <v>17</v>
      </c>
      <c r="F289" t="s">
        <v>44</v>
      </c>
      <c r="G289">
        <v>4</v>
      </c>
      <c r="H289">
        <v>437.74</v>
      </c>
      <c r="I289">
        <v>0.12</v>
      </c>
      <c r="J289">
        <v>1540.84</v>
      </c>
      <c r="K289" t="s">
        <v>33</v>
      </c>
      <c r="L289" t="s">
        <v>20</v>
      </c>
      <c r="M289" t="s">
        <v>30</v>
      </c>
      <c r="N289" t="s">
        <v>22</v>
      </c>
      <c r="O289">
        <f>Table1[[#All],[Quantity]]*Table1[[#All],[Unit Price (?)]]</f>
        <v>1750.96</v>
      </c>
      <c r="P289" t="str">
        <f>TEXT(Table1[[#All],[Order Date]],"dddd")</f>
        <v>Sunday</v>
      </c>
      <c r="Q289" t="str">
        <f>TEXT(Table1[[#All],[Order Date]],"mmm")</f>
        <v>Apr</v>
      </c>
      <c r="R289" t="str">
        <f>IF(Table1[[#All],[Total Price (?)]]&gt;1000,"High Value","Normal")</f>
        <v>High Value</v>
      </c>
    </row>
    <row r="290" spans="1:18" x14ac:dyDescent="0.3">
      <c r="A290" t="s">
        <v>351</v>
      </c>
      <c r="B290" s="1">
        <v>45747</v>
      </c>
      <c r="C290" t="s">
        <v>24</v>
      </c>
      <c r="D290" t="s">
        <v>43</v>
      </c>
      <c r="E290" t="s">
        <v>27</v>
      </c>
      <c r="F290" t="s">
        <v>87</v>
      </c>
      <c r="G290">
        <v>3</v>
      </c>
      <c r="H290">
        <v>2862.65</v>
      </c>
      <c r="I290">
        <v>0.08</v>
      </c>
      <c r="J290">
        <v>7900.91</v>
      </c>
      <c r="K290" t="s">
        <v>46</v>
      </c>
      <c r="L290" t="s">
        <v>20</v>
      </c>
      <c r="M290" t="s">
        <v>21</v>
      </c>
      <c r="N290" t="s">
        <v>22</v>
      </c>
      <c r="O290">
        <f>Table1[[#All],[Quantity]]*Table1[[#All],[Unit Price (?)]]</f>
        <v>8587.9500000000007</v>
      </c>
      <c r="P290" t="str">
        <f>TEXT(Table1[[#All],[Order Date]],"dddd")</f>
        <v>Monday</v>
      </c>
      <c r="Q290" t="str">
        <f>TEXT(Table1[[#All],[Order Date]],"mmm")</f>
        <v>Mar</v>
      </c>
      <c r="R290" t="str">
        <f>IF(Table1[[#All],[Total Price (?)]]&gt;1000,"High Value","Normal")</f>
        <v>High Value</v>
      </c>
    </row>
    <row r="291" spans="1:18" x14ac:dyDescent="0.3">
      <c r="A291" t="s">
        <v>352</v>
      </c>
      <c r="B291" s="1">
        <v>45683</v>
      </c>
      <c r="C291" t="s">
        <v>52</v>
      </c>
      <c r="D291" t="s">
        <v>39</v>
      </c>
      <c r="E291" t="s">
        <v>27</v>
      </c>
      <c r="F291" t="s">
        <v>87</v>
      </c>
      <c r="G291">
        <v>2</v>
      </c>
      <c r="H291">
        <v>131.25</v>
      </c>
      <c r="I291">
        <v>0.1</v>
      </c>
      <c r="J291">
        <v>236.25</v>
      </c>
      <c r="K291" t="s">
        <v>33</v>
      </c>
      <c r="L291" t="s">
        <v>20</v>
      </c>
      <c r="M291" t="s">
        <v>54</v>
      </c>
      <c r="N291" t="s">
        <v>22</v>
      </c>
      <c r="O291">
        <f>Table1[[#All],[Quantity]]*Table1[[#All],[Unit Price (?)]]</f>
        <v>262.5</v>
      </c>
      <c r="P291" t="str">
        <f>TEXT(Table1[[#All],[Order Date]],"dddd")</f>
        <v>Sunday</v>
      </c>
      <c r="Q291" t="str">
        <f>TEXT(Table1[[#All],[Order Date]],"mmm")</f>
        <v>Jan</v>
      </c>
      <c r="R291" t="str">
        <f>IF(Table1[[#All],[Total Price (?)]]&gt;1000,"High Value","Normal")</f>
        <v>Normal</v>
      </c>
    </row>
    <row r="292" spans="1:18" x14ac:dyDescent="0.3">
      <c r="A292" t="s">
        <v>353</v>
      </c>
      <c r="B292" s="1">
        <v>45708</v>
      </c>
      <c r="C292" t="s">
        <v>24</v>
      </c>
      <c r="D292" t="s">
        <v>25</v>
      </c>
      <c r="E292" t="s">
        <v>17</v>
      </c>
      <c r="F292" t="s">
        <v>32</v>
      </c>
      <c r="G292">
        <v>3</v>
      </c>
      <c r="H292">
        <v>609.35</v>
      </c>
      <c r="I292">
        <v>0.13</v>
      </c>
      <c r="J292">
        <v>1590.4</v>
      </c>
      <c r="K292" t="s">
        <v>41</v>
      </c>
      <c r="L292" t="s">
        <v>29</v>
      </c>
      <c r="M292" t="s">
        <v>54</v>
      </c>
      <c r="N292" t="s">
        <v>22</v>
      </c>
      <c r="O292">
        <f>Table1[[#All],[Quantity]]*Table1[[#All],[Unit Price (?)]]</f>
        <v>1828.0500000000002</v>
      </c>
      <c r="P292" t="str">
        <f>TEXT(Table1[[#All],[Order Date]],"dddd")</f>
        <v>Thursday</v>
      </c>
      <c r="Q292" t="str">
        <f>TEXT(Table1[[#All],[Order Date]],"mmm")</f>
        <v>Feb</v>
      </c>
      <c r="R292" t="str">
        <f>IF(Table1[[#All],[Total Price (?)]]&gt;1000,"High Value","Normal")</f>
        <v>High Value</v>
      </c>
    </row>
    <row r="293" spans="1:18" x14ac:dyDescent="0.3">
      <c r="A293" t="s">
        <v>354</v>
      </c>
      <c r="B293" s="1">
        <v>45703</v>
      </c>
      <c r="C293" t="s">
        <v>15</v>
      </c>
      <c r="D293" t="s">
        <v>39</v>
      </c>
      <c r="E293" t="s">
        <v>17</v>
      </c>
      <c r="F293" t="s">
        <v>44</v>
      </c>
      <c r="G293">
        <v>2</v>
      </c>
      <c r="H293">
        <v>4496.71</v>
      </c>
      <c r="I293">
        <v>0.13</v>
      </c>
      <c r="J293">
        <v>7824.28</v>
      </c>
      <c r="K293" t="s">
        <v>58</v>
      </c>
      <c r="L293" t="s">
        <v>20</v>
      </c>
      <c r="M293" t="s">
        <v>21</v>
      </c>
      <c r="N293" t="s">
        <v>22</v>
      </c>
      <c r="O293">
        <f>Table1[[#All],[Quantity]]*Table1[[#All],[Unit Price (?)]]</f>
        <v>8993.42</v>
      </c>
      <c r="P293" t="str">
        <f>TEXT(Table1[[#All],[Order Date]],"dddd")</f>
        <v>Saturday</v>
      </c>
      <c r="Q293" t="str">
        <f>TEXT(Table1[[#All],[Order Date]],"mmm")</f>
        <v>Feb</v>
      </c>
      <c r="R293" t="str">
        <f>IF(Table1[[#All],[Total Price (?)]]&gt;1000,"High Value","Normal")</f>
        <v>High Value</v>
      </c>
    </row>
    <row r="294" spans="1:18" x14ac:dyDescent="0.3">
      <c r="A294" t="s">
        <v>355</v>
      </c>
      <c r="B294" s="1">
        <v>45672</v>
      </c>
      <c r="C294" t="s">
        <v>36</v>
      </c>
      <c r="D294" t="s">
        <v>43</v>
      </c>
      <c r="E294" t="s">
        <v>17</v>
      </c>
      <c r="F294" t="s">
        <v>18</v>
      </c>
      <c r="G294">
        <v>4</v>
      </c>
      <c r="H294">
        <v>466.67</v>
      </c>
      <c r="I294">
        <v>0.14000000000000001</v>
      </c>
      <c r="J294">
        <v>1605.34</v>
      </c>
      <c r="K294" t="s">
        <v>19</v>
      </c>
      <c r="L294" t="s">
        <v>29</v>
      </c>
      <c r="M294" t="s">
        <v>30</v>
      </c>
      <c r="N294" t="s">
        <v>22</v>
      </c>
      <c r="O294">
        <f>Table1[[#All],[Quantity]]*Table1[[#All],[Unit Price (?)]]</f>
        <v>1866.68</v>
      </c>
      <c r="P294" t="str">
        <f>TEXT(Table1[[#All],[Order Date]],"dddd")</f>
        <v>Wednesday</v>
      </c>
      <c r="Q294" t="str">
        <f>TEXT(Table1[[#All],[Order Date]],"mmm")</f>
        <v>Jan</v>
      </c>
      <c r="R294" t="str">
        <f>IF(Table1[[#All],[Total Price (?)]]&gt;1000,"High Value","Normal")</f>
        <v>High Value</v>
      </c>
    </row>
    <row r="295" spans="1:18" x14ac:dyDescent="0.3">
      <c r="A295" t="s">
        <v>356</v>
      </c>
      <c r="B295" s="1">
        <v>45725</v>
      </c>
      <c r="C295" t="s">
        <v>48</v>
      </c>
      <c r="D295" t="s">
        <v>43</v>
      </c>
      <c r="E295" t="s">
        <v>99</v>
      </c>
      <c r="F295" t="s">
        <v>111</v>
      </c>
      <c r="G295">
        <v>4</v>
      </c>
      <c r="H295">
        <v>1432.58</v>
      </c>
      <c r="I295">
        <v>0.02</v>
      </c>
      <c r="J295">
        <v>5615.71</v>
      </c>
      <c r="K295" t="s">
        <v>46</v>
      </c>
      <c r="L295" t="s">
        <v>34</v>
      </c>
      <c r="M295" t="s">
        <v>54</v>
      </c>
      <c r="N295" t="s">
        <v>88</v>
      </c>
      <c r="O295">
        <f>Table1[[#All],[Quantity]]*Table1[[#All],[Unit Price (?)]]</f>
        <v>5730.32</v>
      </c>
      <c r="P295" t="str">
        <f>TEXT(Table1[[#All],[Order Date]],"dddd")</f>
        <v>Sunday</v>
      </c>
      <c r="Q295" t="str">
        <f>TEXT(Table1[[#All],[Order Date]],"mmm")</f>
        <v>Mar</v>
      </c>
      <c r="R295" t="str">
        <f>IF(Table1[[#All],[Total Price (?)]]&gt;1000,"High Value","Normal")</f>
        <v>High Value</v>
      </c>
    </row>
    <row r="296" spans="1:18" x14ac:dyDescent="0.3">
      <c r="A296" t="s">
        <v>357</v>
      </c>
      <c r="B296" s="1">
        <v>45664</v>
      </c>
      <c r="C296" t="s">
        <v>52</v>
      </c>
      <c r="D296" t="s">
        <v>39</v>
      </c>
      <c r="E296" t="s">
        <v>27</v>
      </c>
      <c r="F296" t="s">
        <v>79</v>
      </c>
      <c r="G296">
        <v>4</v>
      </c>
      <c r="H296">
        <v>2383.67</v>
      </c>
      <c r="I296">
        <v>0.1</v>
      </c>
      <c r="J296">
        <v>8581.2099999999991</v>
      </c>
      <c r="K296" t="s">
        <v>58</v>
      </c>
      <c r="L296" t="s">
        <v>20</v>
      </c>
      <c r="M296" t="s">
        <v>21</v>
      </c>
      <c r="N296" t="s">
        <v>59</v>
      </c>
      <c r="O296">
        <f>Table1[[#All],[Quantity]]*Table1[[#All],[Unit Price (?)]]</f>
        <v>9534.68</v>
      </c>
      <c r="P296" t="str">
        <f>TEXT(Table1[[#All],[Order Date]],"dddd")</f>
        <v>Tuesday</v>
      </c>
      <c r="Q296" t="str">
        <f>TEXT(Table1[[#All],[Order Date]],"mmm")</f>
        <v>Jan</v>
      </c>
      <c r="R296" t="str">
        <f>IF(Table1[[#All],[Total Price (?)]]&gt;1000,"High Value","Normal")</f>
        <v>High Value</v>
      </c>
    </row>
    <row r="297" spans="1:18" x14ac:dyDescent="0.3">
      <c r="A297" t="s">
        <v>358</v>
      </c>
      <c r="B297" s="1">
        <v>45774</v>
      </c>
      <c r="C297" t="s">
        <v>15</v>
      </c>
      <c r="D297" t="s">
        <v>16</v>
      </c>
      <c r="E297" t="s">
        <v>61</v>
      </c>
      <c r="F297" t="s">
        <v>92</v>
      </c>
      <c r="G297">
        <v>1</v>
      </c>
      <c r="H297">
        <v>543.05999999999995</v>
      </c>
      <c r="I297">
        <v>0.2</v>
      </c>
      <c r="J297">
        <v>434.45</v>
      </c>
      <c r="K297" t="s">
        <v>41</v>
      </c>
      <c r="L297" t="s">
        <v>34</v>
      </c>
      <c r="M297" t="s">
        <v>30</v>
      </c>
      <c r="N297" t="s">
        <v>22</v>
      </c>
      <c r="O297">
        <f>Table1[[#All],[Quantity]]*Table1[[#All],[Unit Price (?)]]</f>
        <v>543.05999999999995</v>
      </c>
      <c r="P297" t="str">
        <f>TEXT(Table1[[#All],[Order Date]],"dddd")</f>
        <v>Sunday</v>
      </c>
      <c r="Q297" t="str">
        <f>TEXT(Table1[[#All],[Order Date]],"mmm")</f>
        <v>Apr</v>
      </c>
      <c r="R297" t="str">
        <f>IF(Table1[[#All],[Total Price (?)]]&gt;1000,"High Value","Normal")</f>
        <v>Normal</v>
      </c>
    </row>
    <row r="298" spans="1:18" x14ac:dyDescent="0.3">
      <c r="A298" t="s">
        <v>359</v>
      </c>
      <c r="B298" s="1">
        <v>45767</v>
      </c>
      <c r="C298" t="s">
        <v>24</v>
      </c>
      <c r="D298" t="s">
        <v>43</v>
      </c>
      <c r="E298" t="s">
        <v>99</v>
      </c>
      <c r="F298" t="s">
        <v>100</v>
      </c>
      <c r="G298">
        <v>4</v>
      </c>
      <c r="H298">
        <v>2615.9499999999998</v>
      </c>
      <c r="I298">
        <v>0.17</v>
      </c>
      <c r="J298">
        <v>8684.9500000000007</v>
      </c>
      <c r="K298" t="s">
        <v>19</v>
      </c>
      <c r="L298" t="s">
        <v>34</v>
      </c>
      <c r="M298" t="s">
        <v>30</v>
      </c>
      <c r="N298" t="s">
        <v>22</v>
      </c>
      <c r="O298">
        <f>Table1[[#All],[Quantity]]*Table1[[#All],[Unit Price (?)]]</f>
        <v>10463.799999999999</v>
      </c>
      <c r="P298" t="str">
        <f>TEXT(Table1[[#All],[Order Date]],"dddd")</f>
        <v>Sunday</v>
      </c>
      <c r="Q298" t="str">
        <f>TEXT(Table1[[#All],[Order Date]],"mmm")</f>
        <v>Apr</v>
      </c>
      <c r="R298" t="str">
        <f>IF(Table1[[#All],[Total Price (?)]]&gt;1000,"High Value","Normal")</f>
        <v>High Value</v>
      </c>
    </row>
    <row r="299" spans="1:18" x14ac:dyDescent="0.3">
      <c r="A299" t="s">
        <v>360</v>
      </c>
      <c r="B299" s="1">
        <v>45704</v>
      </c>
      <c r="C299" t="s">
        <v>36</v>
      </c>
      <c r="D299" t="s">
        <v>16</v>
      </c>
      <c r="E299" t="s">
        <v>49</v>
      </c>
      <c r="F299" t="s">
        <v>50</v>
      </c>
      <c r="G299">
        <v>1</v>
      </c>
      <c r="H299">
        <v>2364.0100000000002</v>
      </c>
      <c r="I299">
        <v>0.2</v>
      </c>
      <c r="J299">
        <v>1891.21</v>
      </c>
      <c r="K299" t="s">
        <v>33</v>
      </c>
      <c r="L299" t="s">
        <v>20</v>
      </c>
      <c r="M299" t="s">
        <v>54</v>
      </c>
      <c r="N299" t="s">
        <v>22</v>
      </c>
      <c r="O299">
        <f>Table1[[#All],[Quantity]]*Table1[[#All],[Unit Price (?)]]</f>
        <v>2364.0100000000002</v>
      </c>
      <c r="P299" t="str">
        <f>TEXT(Table1[[#All],[Order Date]],"dddd")</f>
        <v>Sunday</v>
      </c>
      <c r="Q299" t="str">
        <f>TEXT(Table1[[#All],[Order Date]],"mmm")</f>
        <v>Feb</v>
      </c>
      <c r="R299" t="str">
        <f>IF(Table1[[#All],[Total Price (?)]]&gt;1000,"High Value","Normal")</f>
        <v>High Value</v>
      </c>
    </row>
    <row r="300" spans="1:18" x14ac:dyDescent="0.3">
      <c r="A300" t="s">
        <v>361</v>
      </c>
      <c r="B300" s="1">
        <v>45774</v>
      </c>
      <c r="C300" t="s">
        <v>52</v>
      </c>
      <c r="D300" t="s">
        <v>16</v>
      </c>
      <c r="E300" t="s">
        <v>61</v>
      </c>
      <c r="F300" t="s">
        <v>75</v>
      </c>
      <c r="G300">
        <v>1</v>
      </c>
      <c r="H300">
        <v>2953.39</v>
      </c>
      <c r="I300">
        <v>0.06</v>
      </c>
      <c r="J300">
        <v>2776.19</v>
      </c>
      <c r="K300" t="s">
        <v>41</v>
      </c>
      <c r="L300" t="s">
        <v>34</v>
      </c>
      <c r="M300" t="s">
        <v>54</v>
      </c>
      <c r="N300" t="s">
        <v>59</v>
      </c>
      <c r="O300">
        <f>Table1[[#All],[Quantity]]*Table1[[#All],[Unit Price (?)]]</f>
        <v>2953.39</v>
      </c>
      <c r="P300" t="str">
        <f>TEXT(Table1[[#All],[Order Date]],"dddd")</f>
        <v>Sunday</v>
      </c>
      <c r="Q300" t="str">
        <f>TEXT(Table1[[#All],[Order Date]],"mmm")</f>
        <v>Apr</v>
      </c>
      <c r="R300" t="str">
        <f>IF(Table1[[#All],[Total Price (?)]]&gt;1000,"High Value","Normal")</f>
        <v>High Value</v>
      </c>
    </row>
    <row r="301" spans="1:18" x14ac:dyDescent="0.3">
      <c r="A301" t="s">
        <v>362</v>
      </c>
      <c r="B301" s="1">
        <v>45702</v>
      </c>
      <c r="C301" t="s">
        <v>52</v>
      </c>
      <c r="D301" t="s">
        <v>25</v>
      </c>
      <c r="E301" t="s">
        <v>61</v>
      </c>
      <c r="F301" t="s">
        <v>92</v>
      </c>
      <c r="G301">
        <v>1</v>
      </c>
      <c r="H301">
        <v>309.20999999999998</v>
      </c>
      <c r="I301">
        <v>0.12</v>
      </c>
      <c r="J301">
        <v>272.10000000000002</v>
      </c>
      <c r="K301" t="s">
        <v>58</v>
      </c>
      <c r="L301" t="s">
        <v>34</v>
      </c>
      <c r="M301" t="s">
        <v>54</v>
      </c>
      <c r="N301" t="s">
        <v>88</v>
      </c>
      <c r="O301">
        <f>Table1[[#All],[Quantity]]*Table1[[#All],[Unit Price (?)]]</f>
        <v>309.20999999999998</v>
      </c>
      <c r="P301" t="str">
        <f>TEXT(Table1[[#All],[Order Date]],"dddd")</f>
        <v>Friday</v>
      </c>
      <c r="Q301" t="str">
        <f>TEXT(Table1[[#All],[Order Date]],"mmm")</f>
        <v>Feb</v>
      </c>
      <c r="R301" t="str">
        <f>IF(Table1[[#All],[Total Price (?)]]&gt;1000,"High Value","Normal")</f>
        <v>Normal</v>
      </c>
    </row>
    <row r="302" spans="1:18" x14ac:dyDescent="0.3">
      <c r="A302" t="s">
        <v>363</v>
      </c>
      <c r="B302" s="1">
        <v>45661</v>
      </c>
      <c r="C302" t="s">
        <v>24</v>
      </c>
      <c r="D302" t="s">
        <v>39</v>
      </c>
      <c r="E302" t="s">
        <v>49</v>
      </c>
      <c r="F302" t="s">
        <v>50</v>
      </c>
      <c r="G302">
        <v>4</v>
      </c>
      <c r="H302">
        <v>946.76</v>
      </c>
      <c r="I302">
        <v>0.05</v>
      </c>
      <c r="J302">
        <v>3597.69</v>
      </c>
      <c r="K302" t="s">
        <v>41</v>
      </c>
      <c r="L302" t="s">
        <v>29</v>
      </c>
      <c r="M302" t="s">
        <v>54</v>
      </c>
      <c r="N302" t="s">
        <v>22</v>
      </c>
      <c r="O302">
        <f>Table1[[#All],[Quantity]]*Table1[[#All],[Unit Price (?)]]</f>
        <v>3787.04</v>
      </c>
      <c r="P302" t="str">
        <f>TEXT(Table1[[#All],[Order Date]],"dddd")</f>
        <v>Saturday</v>
      </c>
      <c r="Q302" t="str">
        <f>TEXT(Table1[[#All],[Order Date]],"mmm")</f>
        <v>Jan</v>
      </c>
      <c r="R302" t="str">
        <f>IF(Table1[[#All],[Total Price (?)]]&gt;1000,"High Value","Normal")</f>
        <v>High Value</v>
      </c>
    </row>
    <row r="303" spans="1:18" x14ac:dyDescent="0.3">
      <c r="A303" t="s">
        <v>364</v>
      </c>
      <c r="B303" s="1">
        <v>45673</v>
      </c>
      <c r="C303" t="s">
        <v>36</v>
      </c>
      <c r="D303" t="s">
        <v>25</v>
      </c>
      <c r="E303" t="s">
        <v>61</v>
      </c>
      <c r="F303" t="s">
        <v>62</v>
      </c>
      <c r="G303">
        <v>2</v>
      </c>
      <c r="H303">
        <v>3271.66</v>
      </c>
      <c r="I303">
        <v>0.12</v>
      </c>
      <c r="J303">
        <v>5758.12</v>
      </c>
      <c r="K303" t="s">
        <v>33</v>
      </c>
      <c r="L303" t="s">
        <v>29</v>
      </c>
      <c r="M303" t="s">
        <v>21</v>
      </c>
      <c r="N303" t="s">
        <v>22</v>
      </c>
      <c r="O303">
        <f>Table1[[#All],[Quantity]]*Table1[[#All],[Unit Price (?)]]</f>
        <v>6543.32</v>
      </c>
      <c r="P303" t="str">
        <f>TEXT(Table1[[#All],[Order Date]],"dddd")</f>
        <v>Thursday</v>
      </c>
      <c r="Q303" t="str">
        <f>TEXT(Table1[[#All],[Order Date]],"mmm")</f>
        <v>Jan</v>
      </c>
      <c r="R303" t="str">
        <f>IF(Table1[[#All],[Total Price (?)]]&gt;1000,"High Value","Normal")</f>
        <v>High Value</v>
      </c>
    </row>
    <row r="304" spans="1:18" x14ac:dyDescent="0.3">
      <c r="A304" t="s">
        <v>365</v>
      </c>
      <c r="B304" s="1">
        <v>45797</v>
      </c>
      <c r="C304" t="s">
        <v>52</v>
      </c>
      <c r="D304" t="s">
        <v>16</v>
      </c>
      <c r="E304" t="s">
        <v>99</v>
      </c>
      <c r="F304" t="s">
        <v>115</v>
      </c>
      <c r="G304">
        <v>5</v>
      </c>
      <c r="H304">
        <v>1320.82</v>
      </c>
      <c r="I304">
        <v>0.25</v>
      </c>
      <c r="J304">
        <v>4953.07</v>
      </c>
      <c r="K304" t="s">
        <v>41</v>
      </c>
      <c r="L304" t="s">
        <v>20</v>
      </c>
      <c r="M304" t="s">
        <v>21</v>
      </c>
      <c r="N304" t="s">
        <v>59</v>
      </c>
      <c r="O304">
        <f>Table1[[#All],[Quantity]]*Table1[[#All],[Unit Price (?)]]</f>
        <v>6604.0999999999995</v>
      </c>
      <c r="P304" t="str">
        <f>TEXT(Table1[[#All],[Order Date]],"dddd")</f>
        <v>Tuesday</v>
      </c>
      <c r="Q304" t="str">
        <f>TEXT(Table1[[#All],[Order Date]],"mmm")</f>
        <v>May</v>
      </c>
      <c r="R304" t="str">
        <f>IF(Table1[[#All],[Total Price (?)]]&gt;1000,"High Value","Normal")</f>
        <v>High Value</v>
      </c>
    </row>
    <row r="305" spans="1:18" x14ac:dyDescent="0.3">
      <c r="A305" t="s">
        <v>366</v>
      </c>
      <c r="B305" s="1">
        <v>45782</v>
      </c>
      <c r="C305" t="s">
        <v>36</v>
      </c>
      <c r="D305" t="s">
        <v>16</v>
      </c>
      <c r="E305" t="s">
        <v>99</v>
      </c>
      <c r="F305" t="s">
        <v>115</v>
      </c>
      <c r="G305">
        <v>5</v>
      </c>
      <c r="H305">
        <v>2561.73</v>
      </c>
      <c r="I305">
        <v>0.1</v>
      </c>
      <c r="J305">
        <v>11527.78</v>
      </c>
      <c r="K305" t="s">
        <v>41</v>
      </c>
      <c r="L305" t="s">
        <v>34</v>
      </c>
      <c r="M305" t="s">
        <v>54</v>
      </c>
      <c r="N305" t="s">
        <v>22</v>
      </c>
      <c r="O305">
        <f>Table1[[#All],[Quantity]]*Table1[[#All],[Unit Price (?)]]</f>
        <v>12808.65</v>
      </c>
      <c r="P305" t="str">
        <f>TEXT(Table1[[#All],[Order Date]],"dddd")</f>
        <v>Monday</v>
      </c>
      <c r="Q305" t="str">
        <f>TEXT(Table1[[#All],[Order Date]],"mmm")</f>
        <v>May</v>
      </c>
      <c r="R305" t="str">
        <f>IF(Table1[[#All],[Total Price (?)]]&gt;1000,"High Value","Normal")</f>
        <v>High Value</v>
      </c>
    </row>
    <row r="306" spans="1:18" x14ac:dyDescent="0.3">
      <c r="A306" t="s">
        <v>367</v>
      </c>
      <c r="B306" s="1">
        <v>45671</v>
      </c>
      <c r="C306" t="s">
        <v>15</v>
      </c>
      <c r="D306" t="s">
        <v>43</v>
      </c>
      <c r="E306" t="s">
        <v>61</v>
      </c>
      <c r="F306" t="s">
        <v>62</v>
      </c>
      <c r="G306">
        <v>5</v>
      </c>
      <c r="H306">
        <v>1851.42</v>
      </c>
      <c r="I306">
        <v>0.15</v>
      </c>
      <c r="J306">
        <v>7868.53</v>
      </c>
      <c r="K306" t="s">
        <v>58</v>
      </c>
      <c r="L306" t="s">
        <v>34</v>
      </c>
      <c r="M306" t="s">
        <v>54</v>
      </c>
      <c r="N306" t="s">
        <v>22</v>
      </c>
      <c r="O306">
        <f>Table1[[#All],[Quantity]]*Table1[[#All],[Unit Price (?)]]</f>
        <v>9257.1</v>
      </c>
      <c r="P306" t="str">
        <f>TEXT(Table1[[#All],[Order Date]],"dddd")</f>
        <v>Tuesday</v>
      </c>
      <c r="Q306" t="str">
        <f>TEXT(Table1[[#All],[Order Date]],"mmm")</f>
        <v>Jan</v>
      </c>
      <c r="R306" t="str">
        <f>IF(Table1[[#All],[Total Price (?)]]&gt;1000,"High Value","Normal")</f>
        <v>High Value</v>
      </c>
    </row>
    <row r="307" spans="1:18" x14ac:dyDescent="0.3">
      <c r="A307" t="s">
        <v>368</v>
      </c>
      <c r="B307" s="1">
        <v>45704</v>
      </c>
      <c r="C307" t="s">
        <v>36</v>
      </c>
      <c r="D307" t="s">
        <v>43</v>
      </c>
      <c r="E307" t="s">
        <v>61</v>
      </c>
      <c r="F307" t="s">
        <v>66</v>
      </c>
      <c r="G307">
        <v>5</v>
      </c>
      <c r="H307">
        <v>4247.87</v>
      </c>
      <c r="I307">
        <v>0.2</v>
      </c>
      <c r="J307">
        <v>16991.48</v>
      </c>
      <c r="K307" t="s">
        <v>58</v>
      </c>
      <c r="L307" t="s">
        <v>20</v>
      </c>
      <c r="M307" t="s">
        <v>30</v>
      </c>
      <c r="N307" t="s">
        <v>22</v>
      </c>
      <c r="O307">
        <f>Table1[[#All],[Quantity]]*Table1[[#All],[Unit Price (?)]]</f>
        <v>21239.35</v>
      </c>
      <c r="P307" t="str">
        <f>TEXT(Table1[[#All],[Order Date]],"dddd")</f>
        <v>Sunday</v>
      </c>
      <c r="Q307" t="str">
        <f>TEXT(Table1[[#All],[Order Date]],"mmm")</f>
        <v>Feb</v>
      </c>
      <c r="R307" t="str">
        <f>IF(Table1[[#All],[Total Price (?)]]&gt;1000,"High Value","Normal")</f>
        <v>High Value</v>
      </c>
    </row>
    <row r="308" spans="1:18" x14ac:dyDescent="0.3">
      <c r="A308" t="s">
        <v>369</v>
      </c>
      <c r="B308" s="1">
        <v>45673</v>
      </c>
      <c r="C308" t="s">
        <v>15</v>
      </c>
      <c r="D308" t="s">
        <v>43</v>
      </c>
      <c r="E308" t="s">
        <v>27</v>
      </c>
      <c r="F308" t="s">
        <v>28</v>
      </c>
      <c r="G308">
        <v>3</v>
      </c>
      <c r="H308">
        <v>4743.04</v>
      </c>
      <c r="I308">
        <v>0.14000000000000001</v>
      </c>
      <c r="J308">
        <v>12237.04</v>
      </c>
      <c r="K308" t="s">
        <v>33</v>
      </c>
      <c r="L308" t="s">
        <v>20</v>
      </c>
      <c r="M308" t="s">
        <v>21</v>
      </c>
      <c r="N308" t="s">
        <v>88</v>
      </c>
      <c r="O308">
        <f>Table1[[#All],[Quantity]]*Table1[[#All],[Unit Price (?)]]</f>
        <v>14229.119999999999</v>
      </c>
      <c r="P308" t="str">
        <f>TEXT(Table1[[#All],[Order Date]],"dddd")</f>
        <v>Thursday</v>
      </c>
      <c r="Q308" t="str">
        <f>TEXT(Table1[[#All],[Order Date]],"mmm")</f>
        <v>Jan</v>
      </c>
      <c r="R308" t="str">
        <f>IF(Table1[[#All],[Total Price (?)]]&gt;1000,"High Value","Normal")</f>
        <v>High Value</v>
      </c>
    </row>
    <row r="309" spans="1:18" x14ac:dyDescent="0.3">
      <c r="A309" t="s">
        <v>370</v>
      </c>
      <c r="B309" s="1">
        <v>45835</v>
      </c>
      <c r="C309" t="s">
        <v>52</v>
      </c>
      <c r="D309" t="s">
        <v>25</v>
      </c>
      <c r="E309" t="s">
        <v>49</v>
      </c>
      <c r="F309" t="s">
        <v>53</v>
      </c>
      <c r="G309">
        <v>1</v>
      </c>
      <c r="H309">
        <v>375.22</v>
      </c>
      <c r="I309">
        <v>0.15</v>
      </c>
      <c r="J309">
        <v>318.94</v>
      </c>
      <c r="K309" t="s">
        <v>41</v>
      </c>
      <c r="L309" t="s">
        <v>20</v>
      </c>
      <c r="M309" t="s">
        <v>54</v>
      </c>
      <c r="N309" t="s">
        <v>22</v>
      </c>
      <c r="O309">
        <f>Table1[[#All],[Quantity]]*Table1[[#All],[Unit Price (?)]]</f>
        <v>375.22</v>
      </c>
      <c r="P309" t="str">
        <f>TEXT(Table1[[#All],[Order Date]],"dddd")</f>
        <v>Friday</v>
      </c>
      <c r="Q309" t="str">
        <f>TEXT(Table1[[#All],[Order Date]],"mmm")</f>
        <v>Jun</v>
      </c>
      <c r="R309" t="str">
        <f>IF(Table1[[#All],[Total Price (?)]]&gt;1000,"High Value","Normal")</f>
        <v>Normal</v>
      </c>
    </row>
    <row r="310" spans="1:18" x14ac:dyDescent="0.3">
      <c r="A310" t="s">
        <v>371</v>
      </c>
      <c r="B310" s="1">
        <v>45666</v>
      </c>
      <c r="C310" t="s">
        <v>52</v>
      </c>
      <c r="D310" t="s">
        <v>16</v>
      </c>
      <c r="E310" t="s">
        <v>27</v>
      </c>
      <c r="F310" t="s">
        <v>68</v>
      </c>
      <c r="G310">
        <v>2</v>
      </c>
      <c r="H310">
        <v>4602.03</v>
      </c>
      <c r="I310">
        <v>0.21</v>
      </c>
      <c r="J310">
        <v>7271.21</v>
      </c>
      <c r="K310" t="s">
        <v>46</v>
      </c>
      <c r="L310" t="s">
        <v>29</v>
      </c>
      <c r="M310" t="s">
        <v>30</v>
      </c>
      <c r="N310" t="s">
        <v>22</v>
      </c>
      <c r="O310">
        <f>Table1[[#All],[Quantity]]*Table1[[#All],[Unit Price (?)]]</f>
        <v>9204.06</v>
      </c>
      <c r="P310" t="str">
        <f>TEXT(Table1[[#All],[Order Date]],"dddd")</f>
        <v>Thursday</v>
      </c>
      <c r="Q310" t="str">
        <f>TEXT(Table1[[#All],[Order Date]],"mmm")</f>
        <v>Jan</v>
      </c>
      <c r="R310" t="str">
        <f>IF(Table1[[#All],[Total Price (?)]]&gt;1000,"High Value","Normal")</f>
        <v>High Value</v>
      </c>
    </row>
    <row r="311" spans="1:18" x14ac:dyDescent="0.3">
      <c r="A311" t="s">
        <v>372</v>
      </c>
      <c r="B311" s="1">
        <v>45826</v>
      </c>
      <c r="C311" t="s">
        <v>24</v>
      </c>
      <c r="D311" t="s">
        <v>16</v>
      </c>
      <c r="E311" t="s">
        <v>27</v>
      </c>
      <c r="F311" t="s">
        <v>68</v>
      </c>
      <c r="G311">
        <v>1</v>
      </c>
      <c r="H311">
        <v>1930.59</v>
      </c>
      <c r="I311">
        <v>0.24</v>
      </c>
      <c r="J311">
        <v>1467.25</v>
      </c>
      <c r="K311" t="s">
        <v>33</v>
      </c>
      <c r="L311" t="s">
        <v>34</v>
      </c>
      <c r="M311" t="s">
        <v>30</v>
      </c>
      <c r="N311" t="s">
        <v>22</v>
      </c>
      <c r="O311">
        <f>Table1[[#All],[Quantity]]*Table1[[#All],[Unit Price (?)]]</f>
        <v>1930.59</v>
      </c>
      <c r="P311" t="str">
        <f>TEXT(Table1[[#All],[Order Date]],"dddd")</f>
        <v>Wednesday</v>
      </c>
      <c r="Q311" t="str">
        <f>TEXT(Table1[[#All],[Order Date]],"mmm")</f>
        <v>Jun</v>
      </c>
      <c r="R311" t="str">
        <f>IF(Table1[[#All],[Total Price (?)]]&gt;1000,"High Value","Normal")</f>
        <v>High Value</v>
      </c>
    </row>
    <row r="312" spans="1:18" x14ac:dyDescent="0.3">
      <c r="A312" t="s">
        <v>373</v>
      </c>
      <c r="B312" s="1">
        <v>45724</v>
      </c>
      <c r="C312" t="s">
        <v>52</v>
      </c>
      <c r="D312" t="s">
        <v>39</v>
      </c>
      <c r="E312" t="s">
        <v>99</v>
      </c>
      <c r="F312" t="s">
        <v>100</v>
      </c>
      <c r="G312">
        <v>4</v>
      </c>
      <c r="H312">
        <v>3280.98</v>
      </c>
      <c r="I312">
        <v>0.04</v>
      </c>
      <c r="J312">
        <v>12598.96</v>
      </c>
      <c r="K312" t="s">
        <v>41</v>
      </c>
      <c r="L312" t="s">
        <v>29</v>
      </c>
      <c r="M312" t="s">
        <v>21</v>
      </c>
      <c r="N312" t="s">
        <v>22</v>
      </c>
      <c r="O312">
        <f>Table1[[#All],[Quantity]]*Table1[[#All],[Unit Price (?)]]</f>
        <v>13123.92</v>
      </c>
      <c r="P312" t="str">
        <f>TEXT(Table1[[#All],[Order Date]],"dddd")</f>
        <v>Saturday</v>
      </c>
      <c r="Q312" t="str">
        <f>TEXT(Table1[[#All],[Order Date]],"mmm")</f>
        <v>Mar</v>
      </c>
      <c r="R312" t="str">
        <f>IF(Table1[[#All],[Total Price (?)]]&gt;1000,"High Value","Normal")</f>
        <v>High Value</v>
      </c>
    </row>
    <row r="313" spans="1:18" x14ac:dyDescent="0.3">
      <c r="A313" t="s">
        <v>374</v>
      </c>
      <c r="B313" s="1">
        <v>45673</v>
      </c>
      <c r="C313" t="s">
        <v>48</v>
      </c>
      <c r="D313" t="s">
        <v>25</v>
      </c>
      <c r="E313" t="s">
        <v>27</v>
      </c>
      <c r="F313" t="s">
        <v>68</v>
      </c>
      <c r="G313">
        <v>3</v>
      </c>
      <c r="H313">
        <v>724.01</v>
      </c>
      <c r="I313">
        <v>0.18</v>
      </c>
      <c r="J313">
        <v>1781.06</v>
      </c>
      <c r="K313" t="s">
        <v>46</v>
      </c>
      <c r="L313" t="s">
        <v>29</v>
      </c>
      <c r="M313" t="s">
        <v>21</v>
      </c>
      <c r="N313" t="s">
        <v>37</v>
      </c>
      <c r="O313">
        <f>Table1[[#All],[Quantity]]*Table1[[#All],[Unit Price (?)]]</f>
        <v>2172.0299999999997</v>
      </c>
      <c r="P313" t="str">
        <f>TEXT(Table1[[#All],[Order Date]],"dddd")</f>
        <v>Thursday</v>
      </c>
      <c r="Q313" t="str">
        <f>TEXT(Table1[[#All],[Order Date]],"mmm")</f>
        <v>Jan</v>
      </c>
      <c r="R313" t="str">
        <f>IF(Table1[[#All],[Total Price (?)]]&gt;1000,"High Value","Normal")</f>
        <v>High Value</v>
      </c>
    </row>
    <row r="314" spans="1:18" x14ac:dyDescent="0.3">
      <c r="A314" t="s">
        <v>375</v>
      </c>
      <c r="B314" s="1">
        <v>45759</v>
      </c>
      <c r="C314" t="s">
        <v>52</v>
      </c>
      <c r="D314" t="s">
        <v>43</v>
      </c>
      <c r="E314" t="s">
        <v>27</v>
      </c>
      <c r="F314" t="s">
        <v>79</v>
      </c>
      <c r="G314">
        <v>5</v>
      </c>
      <c r="H314">
        <v>1182.3900000000001</v>
      </c>
      <c r="I314">
        <v>0.14000000000000001</v>
      </c>
      <c r="J314">
        <v>5084.28</v>
      </c>
      <c r="K314" t="s">
        <v>33</v>
      </c>
      <c r="L314" t="s">
        <v>34</v>
      </c>
      <c r="M314" t="s">
        <v>30</v>
      </c>
      <c r="N314" t="s">
        <v>22</v>
      </c>
      <c r="O314">
        <f>Table1[[#All],[Quantity]]*Table1[[#All],[Unit Price (?)]]</f>
        <v>5911.9500000000007</v>
      </c>
      <c r="P314" t="str">
        <f>TEXT(Table1[[#All],[Order Date]],"dddd")</f>
        <v>Saturday</v>
      </c>
      <c r="Q314" t="str">
        <f>TEXT(Table1[[#All],[Order Date]],"mmm")</f>
        <v>Apr</v>
      </c>
      <c r="R314" t="str">
        <f>IF(Table1[[#All],[Total Price (?)]]&gt;1000,"High Value","Normal")</f>
        <v>High Value</v>
      </c>
    </row>
    <row r="315" spans="1:18" x14ac:dyDescent="0.3">
      <c r="A315" t="s">
        <v>376</v>
      </c>
      <c r="B315" s="1">
        <v>45706</v>
      </c>
      <c r="C315" t="s">
        <v>15</v>
      </c>
      <c r="D315" t="s">
        <v>39</v>
      </c>
      <c r="E315" t="s">
        <v>17</v>
      </c>
      <c r="F315" t="s">
        <v>44</v>
      </c>
      <c r="G315">
        <v>1</v>
      </c>
      <c r="H315">
        <v>4126.1400000000003</v>
      </c>
      <c r="I315">
        <v>0.17</v>
      </c>
      <c r="J315">
        <v>3424.7</v>
      </c>
      <c r="K315" t="s">
        <v>46</v>
      </c>
      <c r="L315" t="s">
        <v>20</v>
      </c>
      <c r="M315" t="s">
        <v>21</v>
      </c>
      <c r="N315" t="s">
        <v>22</v>
      </c>
      <c r="O315">
        <f>Table1[[#All],[Quantity]]*Table1[[#All],[Unit Price (?)]]</f>
        <v>4126.1400000000003</v>
      </c>
      <c r="P315" t="str">
        <f>TEXT(Table1[[#All],[Order Date]],"dddd")</f>
        <v>Tuesday</v>
      </c>
      <c r="Q315" t="str">
        <f>TEXT(Table1[[#All],[Order Date]],"mmm")</f>
        <v>Feb</v>
      </c>
      <c r="R315" t="str">
        <f>IF(Table1[[#All],[Total Price (?)]]&gt;1000,"High Value","Normal")</f>
        <v>High Value</v>
      </c>
    </row>
    <row r="316" spans="1:18" x14ac:dyDescent="0.3">
      <c r="A316" t="s">
        <v>377</v>
      </c>
      <c r="B316" s="1">
        <v>45714</v>
      </c>
      <c r="C316" t="s">
        <v>52</v>
      </c>
      <c r="D316" t="s">
        <v>25</v>
      </c>
      <c r="E316" t="s">
        <v>99</v>
      </c>
      <c r="F316" t="s">
        <v>100</v>
      </c>
      <c r="G316">
        <v>3</v>
      </c>
      <c r="H316">
        <v>3956.4</v>
      </c>
      <c r="I316">
        <v>0.18</v>
      </c>
      <c r="J316">
        <v>9732.74</v>
      </c>
      <c r="K316" t="s">
        <v>58</v>
      </c>
      <c r="L316" t="s">
        <v>34</v>
      </c>
      <c r="M316" t="s">
        <v>54</v>
      </c>
      <c r="N316" t="s">
        <v>22</v>
      </c>
      <c r="O316">
        <f>Table1[[#All],[Quantity]]*Table1[[#All],[Unit Price (?)]]</f>
        <v>11869.2</v>
      </c>
      <c r="P316" t="str">
        <f>TEXT(Table1[[#All],[Order Date]],"dddd")</f>
        <v>Wednesday</v>
      </c>
      <c r="Q316" t="str">
        <f>TEXT(Table1[[#All],[Order Date]],"mmm")</f>
        <v>Feb</v>
      </c>
      <c r="R316" t="str">
        <f>IF(Table1[[#All],[Total Price (?)]]&gt;1000,"High Value","Normal")</f>
        <v>High Value</v>
      </c>
    </row>
    <row r="317" spans="1:18" x14ac:dyDescent="0.3">
      <c r="A317" t="s">
        <v>378</v>
      </c>
      <c r="B317" s="1">
        <v>45789</v>
      </c>
      <c r="C317" t="s">
        <v>48</v>
      </c>
      <c r="D317" t="s">
        <v>43</v>
      </c>
      <c r="E317" t="s">
        <v>49</v>
      </c>
      <c r="F317" t="s">
        <v>73</v>
      </c>
      <c r="G317">
        <v>3</v>
      </c>
      <c r="H317">
        <v>2775.52</v>
      </c>
      <c r="I317">
        <v>0.03</v>
      </c>
      <c r="J317">
        <v>8076.76</v>
      </c>
      <c r="K317" t="s">
        <v>41</v>
      </c>
      <c r="L317" t="s">
        <v>34</v>
      </c>
      <c r="M317" t="s">
        <v>30</v>
      </c>
      <c r="N317" t="s">
        <v>22</v>
      </c>
      <c r="O317">
        <f>Table1[[#All],[Quantity]]*Table1[[#All],[Unit Price (?)]]</f>
        <v>8326.56</v>
      </c>
      <c r="P317" t="str">
        <f>TEXT(Table1[[#All],[Order Date]],"dddd")</f>
        <v>Monday</v>
      </c>
      <c r="Q317" t="str">
        <f>TEXT(Table1[[#All],[Order Date]],"mmm")</f>
        <v>May</v>
      </c>
      <c r="R317" t="str">
        <f>IF(Table1[[#All],[Total Price (?)]]&gt;1000,"High Value","Normal")</f>
        <v>High Value</v>
      </c>
    </row>
    <row r="318" spans="1:18" x14ac:dyDescent="0.3">
      <c r="A318" t="s">
        <v>379</v>
      </c>
      <c r="B318" s="1">
        <v>45754</v>
      </c>
      <c r="C318" t="s">
        <v>15</v>
      </c>
      <c r="D318" t="s">
        <v>25</v>
      </c>
      <c r="E318" t="s">
        <v>17</v>
      </c>
      <c r="F318" t="s">
        <v>18</v>
      </c>
      <c r="G318">
        <v>3</v>
      </c>
      <c r="H318">
        <v>4763.1400000000003</v>
      </c>
      <c r="I318">
        <v>0.02</v>
      </c>
      <c r="J318">
        <v>14003.63</v>
      </c>
      <c r="K318" t="s">
        <v>58</v>
      </c>
      <c r="L318" t="s">
        <v>34</v>
      </c>
      <c r="M318" t="s">
        <v>54</v>
      </c>
      <c r="N318" t="s">
        <v>22</v>
      </c>
      <c r="O318">
        <f>Table1[[#All],[Quantity]]*Table1[[#All],[Unit Price (?)]]</f>
        <v>14289.420000000002</v>
      </c>
      <c r="P318" t="str">
        <f>TEXT(Table1[[#All],[Order Date]],"dddd")</f>
        <v>Monday</v>
      </c>
      <c r="Q318" t="str">
        <f>TEXT(Table1[[#All],[Order Date]],"mmm")</f>
        <v>Apr</v>
      </c>
      <c r="R318" t="str">
        <f>IF(Table1[[#All],[Total Price (?)]]&gt;1000,"High Value","Normal")</f>
        <v>High Value</v>
      </c>
    </row>
    <row r="319" spans="1:18" x14ac:dyDescent="0.3">
      <c r="A319" t="s">
        <v>380</v>
      </c>
      <c r="B319" s="1">
        <v>45701</v>
      </c>
      <c r="C319" t="s">
        <v>15</v>
      </c>
      <c r="D319" t="s">
        <v>43</v>
      </c>
      <c r="E319" t="s">
        <v>17</v>
      </c>
      <c r="F319" t="s">
        <v>18</v>
      </c>
      <c r="G319">
        <v>4</v>
      </c>
      <c r="H319">
        <v>3552.07</v>
      </c>
      <c r="I319">
        <v>0.11</v>
      </c>
      <c r="J319">
        <v>12645.37</v>
      </c>
      <c r="K319" t="s">
        <v>33</v>
      </c>
      <c r="L319" t="s">
        <v>29</v>
      </c>
      <c r="M319" t="s">
        <v>21</v>
      </c>
      <c r="N319" t="s">
        <v>22</v>
      </c>
      <c r="O319">
        <f>Table1[[#All],[Quantity]]*Table1[[#All],[Unit Price (?)]]</f>
        <v>14208.28</v>
      </c>
      <c r="P319" t="str">
        <f>TEXT(Table1[[#All],[Order Date]],"dddd")</f>
        <v>Thursday</v>
      </c>
      <c r="Q319" t="str">
        <f>TEXT(Table1[[#All],[Order Date]],"mmm")</f>
        <v>Feb</v>
      </c>
      <c r="R319" t="str">
        <f>IF(Table1[[#All],[Total Price (?)]]&gt;1000,"High Value","Normal")</f>
        <v>High Value</v>
      </c>
    </row>
    <row r="320" spans="1:18" x14ac:dyDescent="0.3">
      <c r="A320" t="s">
        <v>381</v>
      </c>
      <c r="B320" s="1">
        <v>45764</v>
      </c>
      <c r="C320" t="s">
        <v>24</v>
      </c>
      <c r="D320" t="s">
        <v>39</v>
      </c>
      <c r="E320" t="s">
        <v>49</v>
      </c>
      <c r="F320" t="s">
        <v>73</v>
      </c>
      <c r="G320">
        <v>2</v>
      </c>
      <c r="H320">
        <v>4874.55</v>
      </c>
      <c r="I320">
        <v>0.1</v>
      </c>
      <c r="J320">
        <v>8774.19</v>
      </c>
      <c r="K320" t="s">
        <v>58</v>
      </c>
      <c r="L320" t="s">
        <v>34</v>
      </c>
      <c r="M320" t="s">
        <v>21</v>
      </c>
      <c r="N320" t="s">
        <v>22</v>
      </c>
      <c r="O320">
        <f>Table1[[#All],[Quantity]]*Table1[[#All],[Unit Price (?)]]</f>
        <v>9749.1</v>
      </c>
      <c r="P320" t="str">
        <f>TEXT(Table1[[#All],[Order Date]],"dddd")</f>
        <v>Thursday</v>
      </c>
      <c r="Q320" t="str">
        <f>TEXT(Table1[[#All],[Order Date]],"mmm")</f>
        <v>Apr</v>
      </c>
      <c r="R320" t="str">
        <f>IF(Table1[[#All],[Total Price (?)]]&gt;1000,"High Value","Normal")</f>
        <v>High Value</v>
      </c>
    </row>
    <row r="321" spans="1:18" x14ac:dyDescent="0.3">
      <c r="A321" t="s">
        <v>382</v>
      </c>
      <c r="B321" s="1">
        <v>45685</v>
      </c>
      <c r="C321" t="s">
        <v>24</v>
      </c>
      <c r="D321" t="s">
        <v>39</v>
      </c>
      <c r="E321" t="s">
        <v>99</v>
      </c>
      <c r="F321" t="s">
        <v>100</v>
      </c>
      <c r="G321">
        <v>5</v>
      </c>
      <c r="H321">
        <v>2793.35</v>
      </c>
      <c r="I321">
        <v>0.12</v>
      </c>
      <c r="J321">
        <v>12290.74</v>
      </c>
      <c r="K321" t="s">
        <v>58</v>
      </c>
      <c r="L321" t="s">
        <v>34</v>
      </c>
      <c r="M321" t="s">
        <v>54</v>
      </c>
      <c r="N321" t="s">
        <v>22</v>
      </c>
      <c r="O321">
        <f>Table1[[#All],[Quantity]]*Table1[[#All],[Unit Price (?)]]</f>
        <v>13966.75</v>
      </c>
      <c r="P321" t="str">
        <f>TEXT(Table1[[#All],[Order Date]],"dddd")</f>
        <v>Tuesday</v>
      </c>
      <c r="Q321" t="str">
        <f>TEXT(Table1[[#All],[Order Date]],"mmm")</f>
        <v>Jan</v>
      </c>
      <c r="R321" t="str">
        <f>IF(Table1[[#All],[Total Price (?)]]&gt;1000,"High Value","Normal")</f>
        <v>High Value</v>
      </c>
    </row>
    <row r="322" spans="1:18" x14ac:dyDescent="0.3">
      <c r="A322" t="s">
        <v>383</v>
      </c>
      <c r="B322" s="1">
        <v>45800</v>
      </c>
      <c r="C322" t="s">
        <v>36</v>
      </c>
      <c r="D322" t="s">
        <v>16</v>
      </c>
      <c r="E322" t="s">
        <v>17</v>
      </c>
      <c r="F322" t="s">
        <v>32</v>
      </c>
      <c r="G322">
        <v>1</v>
      </c>
      <c r="H322">
        <v>226.1</v>
      </c>
      <c r="I322">
        <v>0.04</v>
      </c>
      <c r="J322">
        <v>217.06</v>
      </c>
      <c r="K322" t="s">
        <v>41</v>
      </c>
      <c r="L322" t="s">
        <v>20</v>
      </c>
      <c r="M322" t="s">
        <v>30</v>
      </c>
      <c r="N322" t="s">
        <v>22</v>
      </c>
      <c r="O322">
        <f>Table1[[#All],[Quantity]]*Table1[[#All],[Unit Price (?)]]</f>
        <v>226.1</v>
      </c>
      <c r="P322" t="str">
        <f>TEXT(Table1[[#All],[Order Date]],"dddd")</f>
        <v>Friday</v>
      </c>
      <c r="Q322" t="str">
        <f>TEXT(Table1[[#All],[Order Date]],"mmm")</f>
        <v>May</v>
      </c>
      <c r="R322" t="str">
        <f>IF(Table1[[#All],[Total Price (?)]]&gt;1000,"High Value","Normal")</f>
        <v>Normal</v>
      </c>
    </row>
    <row r="323" spans="1:18" x14ac:dyDescent="0.3">
      <c r="A323" t="s">
        <v>384</v>
      </c>
      <c r="B323" s="1">
        <v>45841</v>
      </c>
      <c r="C323" t="s">
        <v>48</v>
      </c>
      <c r="D323" t="s">
        <v>39</v>
      </c>
      <c r="E323" t="s">
        <v>17</v>
      </c>
      <c r="F323" t="s">
        <v>32</v>
      </c>
      <c r="G323">
        <v>3</v>
      </c>
      <c r="H323">
        <v>546.57000000000005</v>
      </c>
      <c r="I323">
        <v>0.14000000000000001</v>
      </c>
      <c r="J323">
        <v>1410.15</v>
      </c>
      <c r="K323" t="s">
        <v>41</v>
      </c>
      <c r="L323" t="s">
        <v>34</v>
      </c>
      <c r="M323" t="s">
        <v>54</v>
      </c>
      <c r="N323" t="s">
        <v>37</v>
      </c>
      <c r="O323">
        <f>Table1[[#All],[Quantity]]*Table1[[#All],[Unit Price (?)]]</f>
        <v>1639.71</v>
      </c>
      <c r="P323" t="str">
        <f>TEXT(Table1[[#All],[Order Date]],"dddd")</f>
        <v>Thursday</v>
      </c>
      <c r="Q323" t="str">
        <f>TEXT(Table1[[#All],[Order Date]],"mmm")</f>
        <v>Jul</v>
      </c>
      <c r="R323" t="str">
        <f>IF(Table1[[#All],[Total Price (?)]]&gt;1000,"High Value","Normal")</f>
        <v>High Value</v>
      </c>
    </row>
    <row r="324" spans="1:18" x14ac:dyDescent="0.3">
      <c r="A324" t="s">
        <v>385</v>
      </c>
      <c r="B324" s="1">
        <v>45831</v>
      </c>
      <c r="C324" t="s">
        <v>48</v>
      </c>
      <c r="D324" t="s">
        <v>16</v>
      </c>
      <c r="E324" t="s">
        <v>99</v>
      </c>
      <c r="F324" t="s">
        <v>100</v>
      </c>
      <c r="G324">
        <v>4</v>
      </c>
      <c r="H324">
        <v>2378.7800000000002</v>
      </c>
      <c r="I324">
        <v>0.06</v>
      </c>
      <c r="J324">
        <v>8944.2099999999991</v>
      </c>
      <c r="K324" t="s">
        <v>58</v>
      </c>
      <c r="L324" t="s">
        <v>34</v>
      </c>
      <c r="M324" t="s">
        <v>30</v>
      </c>
      <c r="N324" t="s">
        <v>22</v>
      </c>
      <c r="O324">
        <f>Table1[[#All],[Quantity]]*Table1[[#All],[Unit Price (?)]]</f>
        <v>9515.1200000000008</v>
      </c>
      <c r="P324" t="str">
        <f>TEXT(Table1[[#All],[Order Date]],"dddd")</f>
        <v>Monday</v>
      </c>
      <c r="Q324" t="str">
        <f>TEXT(Table1[[#All],[Order Date]],"mmm")</f>
        <v>Jun</v>
      </c>
      <c r="R324" t="str">
        <f>IF(Table1[[#All],[Total Price (?)]]&gt;1000,"High Value","Normal")</f>
        <v>High Value</v>
      </c>
    </row>
    <row r="325" spans="1:18" x14ac:dyDescent="0.3">
      <c r="A325" t="s">
        <v>386</v>
      </c>
      <c r="B325" s="1">
        <v>45770</v>
      </c>
      <c r="C325" t="s">
        <v>15</v>
      </c>
      <c r="D325" t="s">
        <v>25</v>
      </c>
      <c r="E325" t="s">
        <v>17</v>
      </c>
      <c r="F325" t="s">
        <v>18</v>
      </c>
      <c r="G325">
        <v>5</v>
      </c>
      <c r="H325">
        <v>1214.81</v>
      </c>
      <c r="I325">
        <v>0.02</v>
      </c>
      <c r="J325">
        <v>5952.57</v>
      </c>
      <c r="K325" t="s">
        <v>33</v>
      </c>
      <c r="L325" t="s">
        <v>34</v>
      </c>
      <c r="M325" t="s">
        <v>30</v>
      </c>
      <c r="N325" t="s">
        <v>59</v>
      </c>
      <c r="O325">
        <f>Table1[[#All],[Quantity]]*Table1[[#All],[Unit Price (?)]]</f>
        <v>6074.0499999999993</v>
      </c>
      <c r="P325" t="str">
        <f>TEXT(Table1[[#All],[Order Date]],"dddd")</f>
        <v>Wednesday</v>
      </c>
      <c r="Q325" t="str">
        <f>TEXT(Table1[[#All],[Order Date]],"mmm")</f>
        <v>Apr</v>
      </c>
      <c r="R325" t="str">
        <f>IF(Table1[[#All],[Total Price (?)]]&gt;1000,"High Value","Normal")</f>
        <v>High Value</v>
      </c>
    </row>
    <row r="326" spans="1:18" x14ac:dyDescent="0.3">
      <c r="A326" t="s">
        <v>387</v>
      </c>
      <c r="B326" s="1">
        <v>45771</v>
      </c>
      <c r="C326" t="s">
        <v>48</v>
      </c>
      <c r="D326" t="s">
        <v>43</v>
      </c>
      <c r="E326" t="s">
        <v>49</v>
      </c>
      <c r="F326" t="s">
        <v>73</v>
      </c>
      <c r="G326">
        <v>4</v>
      </c>
      <c r="H326">
        <v>4523.6099999999997</v>
      </c>
      <c r="I326">
        <v>0.18</v>
      </c>
      <c r="J326">
        <v>14837.44</v>
      </c>
      <c r="K326" t="s">
        <v>46</v>
      </c>
      <c r="L326" t="s">
        <v>20</v>
      </c>
      <c r="M326" t="s">
        <v>21</v>
      </c>
      <c r="N326" t="s">
        <v>22</v>
      </c>
      <c r="O326">
        <f>Table1[[#All],[Quantity]]*Table1[[#All],[Unit Price (?)]]</f>
        <v>18094.439999999999</v>
      </c>
      <c r="P326" t="str">
        <f>TEXT(Table1[[#All],[Order Date]],"dddd")</f>
        <v>Thursday</v>
      </c>
      <c r="Q326" t="str">
        <f>TEXT(Table1[[#All],[Order Date]],"mmm")</f>
        <v>Apr</v>
      </c>
      <c r="R326" t="str">
        <f>IF(Table1[[#All],[Total Price (?)]]&gt;1000,"High Value","Normal")</f>
        <v>High Value</v>
      </c>
    </row>
    <row r="327" spans="1:18" x14ac:dyDescent="0.3">
      <c r="A327" t="s">
        <v>388</v>
      </c>
      <c r="B327" s="1">
        <v>45751</v>
      </c>
      <c r="C327" t="s">
        <v>52</v>
      </c>
      <c r="D327" t="s">
        <v>25</v>
      </c>
      <c r="E327" t="s">
        <v>49</v>
      </c>
      <c r="F327" t="s">
        <v>73</v>
      </c>
      <c r="G327">
        <v>2</v>
      </c>
      <c r="H327">
        <v>309.11</v>
      </c>
      <c r="I327">
        <v>0.02</v>
      </c>
      <c r="J327">
        <v>605.86</v>
      </c>
      <c r="K327" t="s">
        <v>19</v>
      </c>
      <c r="L327" t="s">
        <v>20</v>
      </c>
      <c r="M327" t="s">
        <v>21</v>
      </c>
      <c r="N327" t="s">
        <v>22</v>
      </c>
      <c r="O327">
        <f>Table1[[#All],[Quantity]]*Table1[[#All],[Unit Price (?)]]</f>
        <v>618.22</v>
      </c>
      <c r="P327" t="str">
        <f>TEXT(Table1[[#All],[Order Date]],"dddd")</f>
        <v>Friday</v>
      </c>
      <c r="Q327" t="str">
        <f>TEXT(Table1[[#All],[Order Date]],"mmm")</f>
        <v>Apr</v>
      </c>
      <c r="R327" t="str">
        <f>IF(Table1[[#All],[Total Price (?)]]&gt;1000,"High Value","Normal")</f>
        <v>Normal</v>
      </c>
    </row>
    <row r="328" spans="1:18" x14ac:dyDescent="0.3">
      <c r="A328" t="s">
        <v>389</v>
      </c>
      <c r="B328" s="1">
        <v>45707</v>
      </c>
      <c r="C328" t="s">
        <v>15</v>
      </c>
      <c r="D328" t="s">
        <v>25</v>
      </c>
      <c r="E328" t="s">
        <v>61</v>
      </c>
      <c r="F328" t="s">
        <v>66</v>
      </c>
      <c r="G328">
        <v>4</v>
      </c>
      <c r="H328">
        <v>2826.18</v>
      </c>
      <c r="I328">
        <v>0.14000000000000001</v>
      </c>
      <c r="J328">
        <v>9722.06</v>
      </c>
      <c r="K328" t="s">
        <v>58</v>
      </c>
      <c r="L328" t="s">
        <v>20</v>
      </c>
      <c r="M328" t="s">
        <v>30</v>
      </c>
      <c r="N328" t="s">
        <v>37</v>
      </c>
      <c r="O328">
        <f>Table1[[#All],[Quantity]]*Table1[[#All],[Unit Price (?)]]</f>
        <v>11304.72</v>
      </c>
      <c r="P328" t="str">
        <f>TEXT(Table1[[#All],[Order Date]],"dddd")</f>
        <v>Wednesday</v>
      </c>
      <c r="Q328" t="str">
        <f>TEXT(Table1[[#All],[Order Date]],"mmm")</f>
        <v>Feb</v>
      </c>
      <c r="R328" t="str">
        <f>IF(Table1[[#All],[Total Price (?)]]&gt;1000,"High Value","Normal")</f>
        <v>High Value</v>
      </c>
    </row>
    <row r="329" spans="1:18" x14ac:dyDescent="0.3">
      <c r="A329" t="s">
        <v>390</v>
      </c>
      <c r="B329" s="1">
        <v>45812</v>
      </c>
      <c r="C329" t="s">
        <v>24</v>
      </c>
      <c r="D329" t="s">
        <v>16</v>
      </c>
      <c r="E329" t="s">
        <v>17</v>
      </c>
      <c r="F329" t="s">
        <v>40</v>
      </c>
      <c r="G329">
        <v>2</v>
      </c>
      <c r="H329">
        <v>2876.31</v>
      </c>
      <c r="I329">
        <v>0.15</v>
      </c>
      <c r="J329">
        <v>4889.7299999999996</v>
      </c>
      <c r="K329" t="s">
        <v>41</v>
      </c>
      <c r="L329" t="s">
        <v>20</v>
      </c>
      <c r="M329" t="s">
        <v>54</v>
      </c>
      <c r="N329" t="s">
        <v>22</v>
      </c>
      <c r="O329">
        <f>Table1[[#All],[Quantity]]*Table1[[#All],[Unit Price (?)]]</f>
        <v>5752.62</v>
      </c>
      <c r="P329" t="str">
        <f>TEXT(Table1[[#All],[Order Date]],"dddd")</f>
        <v>Wednesday</v>
      </c>
      <c r="Q329" t="str">
        <f>TEXT(Table1[[#All],[Order Date]],"mmm")</f>
        <v>Jun</v>
      </c>
      <c r="R329" t="str">
        <f>IF(Table1[[#All],[Total Price (?)]]&gt;1000,"High Value","Normal")</f>
        <v>High Value</v>
      </c>
    </row>
    <row r="330" spans="1:18" x14ac:dyDescent="0.3">
      <c r="A330" t="s">
        <v>391</v>
      </c>
      <c r="B330" s="1">
        <v>45751</v>
      </c>
      <c r="C330" t="s">
        <v>36</v>
      </c>
      <c r="D330" t="s">
        <v>25</v>
      </c>
      <c r="E330" t="s">
        <v>17</v>
      </c>
      <c r="F330" t="s">
        <v>32</v>
      </c>
      <c r="G330">
        <v>3</v>
      </c>
      <c r="H330">
        <v>1976.91</v>
      </c>
      <c r="I330">
        <v>0.12</v>
      </c>
      <c r="J330">
        <v>5219.04</v>
      </c>
      <c r="K330" t="s">
        <v>46</v>
      </c>
      <c r="L330" t="s">
        <v>34</v>
      </c>
      <c r="M330" t="s">
        <v>21</v>
      </c>
      <c r="N330" t="s">
        <v>22</v>
      </c>
      <c r="O330">
        <f>Table1[[#All],[Quantity]]*Table1[[#All],[Unit Price (?)]]</f>
        <v>5930.7300000000005</v>
      </c>
      <c r="P330" t="str">
        <f>TEXT(Table1[[#All],[Order Date]],"dddd")</f>
        <v>Friday</v>
      </c>
      <c r="Q330" t="str">
        <f>TEXT(Table1[[#All],[Order Date]],"mmm")</f>
        <v>Apr</v>
      </c>
      <c r="R330" t="str">
        <f>IF(Table1[[#All],[Total Price (?)]]&gt;1000,"High Value","Normal")</f>
        <v>High Value</v>
      </c>
    </row>
    <row r="331" spans="1:18" x14ac:dyDescent="0.3">
      <c r="A331" t="s">
        <v>392</v>
      </c>
      <c r="B331" s="1">
        <v>45816</v>
      </c>
      <c r="C331" t="s">
        <v>52</v>
      </c>
      <c r="D331" t="s">
        <v>43</v>
      </c>
      <c r="E331" t="s">
        <v>99</v>
      </c>
      <c r="F331" t="s">
        <v>115</v>
      </c>
      <c r="G331">
        <v>4</v>
      </c>
      <c r="H331">
        <v>290.02999999999997</v>
      </c>
      <c r="I331">
        <v>0.22</v>
      </c>
      <c r="J331">
        <v>904.89</v>
      </c>
      <c r="K331" t="s">
        <v>33</v>
      </c>
      <c r="L331" t="s">
        <v>29</v>
      </c>
      <c r="M331" t="s">
        <v>30</v>
      </c>
      <c r="N331" t="s">
        <v>22</v>
      </c>
      <c r="O331">
        <f>Table1[[#All],[Quantity]]*Table1[[#All],[Unit Price (?)]]</f>
        <v>1160.1199999999999</v>
      </c>
      <c r="P331" t="str">
        <f>TEXT(Table1[[#All],[Order Date]],"dddd")</f>
        <v>Sunday</v>
      </c>
      <c r="Q331" t="str">
        <f>TEXT(Table1[[#All],[Order Date]],"mmm")</f>
        <v>Jun</v>
      </c>
      <c r="R331" t="str">
        <f>IF(Table1[[#All],[Total Price (?)]]&gt;1000,"High Value","Normal")</f>
        <v>Normal</v>
      </c>
    </row>
    <row r="332" spans="1:18" x14ac:dyDescent="0.3">
      <c r="A332" t="s">
        <v>393</v>
      </c>
      <c r="B332" s="1">
        <v>45739</v>
      </c>
      <c r="C332" t="s">
        <v>15</v>
      </c>
      <c r="D332" t="s">
        <v>16</v>
      </c>
      <c r="E332" t="s">
        <v>49</v>
      </c>
      <c r="F332" t="s">
        <v>53</v>
      </c>
      <c r="G332">
        <v>3</v>
      </c>
      <c r="H332">
        <v>1623.65</v>
      </c>
      <c r="I332">
        <v>0.21</v>
      </c>
      <c r="J332">
        <v>3848.05</v>
      </c>
      <c r="K332" t="s">
        <v>58</v>
      </c>
      <c r="L332" t="s">
        <v>34</v>
      </c>
      <c r="M332" t="s">
        <v>21</v>
      </c>
      <c r="N332" t="s">
        <v>59</v>
      </c>
      <c r="O332">
        <f>Table1[[#All],[Quantity]]*Table1[[#All],[Unit Price (?)]]</f>
        <v>4870.9500000000007</v>
      </c>
      <c r="P332" t="str">
        <f>TEXT(Table1[[#All],[Order Date]],"dddd")</f>
        <v>Sunday</v>
      </c>
      <c r="Q332" t="str">
        <f>TEXT(Table1[[#All],[Order Date]],"mmm")</f>
        <v>Mar</v>
      </c>
      <c r="R332" t="str">
        <f>IF(Table1[[#All],[Total Price (?)]]&gt;1000,"High Value","Normal")</f>
        <v>High Value</v>
      </c>
    </row>
    <row r="333" spans="1:18" x14ac:dyDescent="0.3">
      <c r="A333" t="s">
        <v>394</v>
      </c>
      <c r="B333" s="1">
        <v>45696</v>
      </c>
      <c r="C333" t="s">
        <v>15</v>
      </c>
      <c r="D333" t="s">
        <v>43</v>
      </c>
      <c r="E333" t="s">
        <v>61</v>
      </c>
      <c r="F333" t="s">
        <v>75</v>
      </c>
      <c r="G333">
        <v>3</v>
      </c>
      <c r="H333">
        <v>3671.12</v>
      </c>
      <c r="I333">
        <v>0.15</v>
      </c>
      <c r="J333">
        <v>9361.36</v>
      </c>
      <c r="K333" t="s">
        <v>41</v>
      </c>
      <c r="L333" t="s">
        <v>34</v>
      </c>
      <c r="M333" t="s">
        <v>54</v>
      </c>
      <c r="N333" t="s">
        <v>22</v>
      </c>
      <c r="O333">
        <f>Table1[[#All],[Quantity]]*Table1[[#All],[Unit Price (?)]]</f>
        <v>11013.36</v>
      </c>
      <c r="P333" t="str">
        <f>TEXT(Table1[[#All],[Order Date]],"dddd")</f>
        <v>Saturday</v>
      </c>
      <c r="Q333" t="str">
        <f>TEXT(Table1[[#All],[Order Date]],"mmm")</f>
        <v>Feb</v>
      </c>
      <c r="R333" t="str">
        <f>IF(Table1[[#All],[Total Price (?)]]&gt;1000,"High Value","Normal")</f>
        <v>High Value</v>
      </c>
    </row>
    <row r="334" spans="1:18" x14ac:dyDescent="0.3">
      <c r="A334" t="s">
        <v>395</v>
      </c>
      <c r="B334" s="1">
        <v>45678</v>
      </c>
      <c r="C334" t="s">
        <v>36</v>
      </c>
      <c r="D334" t="s">
        <v>25</v>
      </c>
      <c r="E334" t="s">
        <v>49</v>
      </c>
      <c r="F334" t="s">
        <v>50</v>
      </c>
      <c r="G334">
        <v>5</v>
      </c>
      <c r="H334">
        <v>3978.3</v>
      </c>
      <c r="I334">
        <v>0.02</v>
      </c>
      <c r="J334">
        <v>19493.669999999998</v>
      </c>
      <c r="K334" t="s">
        <v>46</v>
      </c>
      <c r="L334" t="s">
        <v>20</v>
      </c>
      <c r="M334" t="s">
        <v>21</v>
      </c>
      <c r="N334" t="s">
        <v>22</v>
      </c>
      <c r="O334">
        <f>Table1[[#All],[Quantity]]*Table1[[#All],[Unit Price (?)]]</f>
        <v>19891.5</v>
      </c>
      <c r="P334" t="str">
        <f>TEXT(Table1[[#All],[Order Date]],"dddd")</f>
        <v>Tuesday</v>
      </c>
      <c r="Q334" t="str">
        <f>TEXT(Table1[[#All],[Order Date]],"mmm")</f>
        <v>Jan</v>
      </c>
      <c r="R334" t="str">
        <f>IF(Table1[[#All],[Total Price (?)]]&gt;1000,"High Value","Normal")</f>
        <v>High Value</v>
      </c>
    </row>
    <row r="335" spans="1:18" x14ac:dyDescent="0.3">
      <c r="A335" t="s">
        <v>396</v>
      </c>
      <c r="B335" s="1">
        <v>45678</v>
      </c>
      <c r="C335" t="s">
        <v>52</v>
      </c>
      <c r="D335" t="s">
        <v>43</v>
      </c>
      <c r="E335" t="s">
        <v>27</v>
      </c>
      <c r="F335" t="s">
        <v>79</v>
      </c>
      <c r="G335">
        <v>1</v>
      </c>
      <c r="H335">
        <v>1322.5</v>
      </c>
      <c r="I335">
        <v>0.11</v>
      </c>
      <c r="J335">
        <v>1177.03</v>
      </c>
      <c r="K335" t="s">
        <v>19</v>
      </c>
      <c r="L335" t="s">
        <v>20</v>
      </c>
      <c r="M335" t="s">
        <v>30</v>
      </c>
      <c r="N335" t="s">
        <v>22</v>
      </c>
      <c r="O335">
        <f>Table1[[#All],[Quantity]]*Table1[[#All],[Unit Price (?)]]</f>
        <v>1322.5</v>
      </c>
      <c r="P335" t="str">
        <f>TEXT(Table1[[#All],[Order Date]],"dddd")</f>
        <v>Tuesday</v>
      </c>
      <c r="Q335" t="str">
        <f>TEXT(Table1[[#All],[Order Date]],"mmm")</f>
        <v>Jan</v>
      </c>
      <c r="R335" t="str">
        <f>IF(Table1[[#All],[Total Price (?)]]&gt;1000,"High Value","Normal")</f>
        <v>High Value</v>
      </c>
    </row>
    <row r="336" spans="1:18" x14ac:dyDescent="0.3">
      <c r="A336" t="s">
        <v>397</v>
      </c>
      <c r="B336" s="1">
        <v>45787</v>
      </c>
      <c r="C336" t="s">
        <v>24</v>
      </c>
      <c r="D336" t="s">
        <v>39</v>
      </c>
      <c r="E336" t="s">
        <v>49</v>
      </c>
      <c r="F336" t="s">
        <v>50</v>
      </c>
      <c r="G336">
        <v>3</v>
      </c>
      <c r="H336">
        <v>2495.06</v>
      </c>
      <c r="I336">
        <v>0.11</v>
      </c>
      <c r="J336">
        <v>6661.81</v>
      </c>
      <c r="K336" t="s">
        <v>58</v>
      </c>
      <c r="L336" t="s">
        <v>20</v>
      </c>
      <c r="M336" t="s">
        <v>30</v>
      </c>
      <c r="N336" t="s">
        <v>22</v>
      </c>
      <c r="O336">
        <f>Table1[[#All],[Quantity]]*Table1[[#All],[Unit Price (?)]]</f>
        <v>7485.18</v>
      </c>
      <c r="P336" t="str">
        <f>TEXT(Table1[[#All],[Order Date]],"dddd")</f>
        <v>Saturday</v>
      </c>
      <c r="Q336" t="str">
        <f>TEXT(Table1[[#All],[Order Date]],"mmm")</f>
        <v>May</v>
      </c>
      <c r="R336" t="str">
        <f>IF(Table1[[#All],[Total Price (?)]]&gt;1000,"High Value","Normal")</f>
        <v>High Value</v>
      </c>
    </row>
    <row r="337" spans="1:18" x14ac:dyDescent="0.3">
      <c r="A337" t="s">
        <v>398</v>
      </c>
      <c r="B337" s="1">
        <v>45743</v>
      </c>
      <c r="C337" t="s">
        <v>15</v>
      </c>
      <c r="D337" t="s">
        <v>43</v>
      </c>
      <c r="E337" t="s">
        <v>99</v>
      </c>
      <c r="F337" t="s">
        <v>120</v>
      </c>
      <c r="G337">
        <v>1</v>
      </c>
      <c r="H337">
        <v>898.25</v>
      </c>
      <c r="I337">
        <v>0.14000000000000001</v>
      </c>
      <c r="J337">
        <v>772.5</v>
      </c>
      <c r="K337" t="s">
        <v>58</v>
      </c>
      <c r="L337" t="s">
        <v>34</v>
      </c>
      <c r="M337" t="s">
        <v>54</v>
      </c>
      <c r="N337" t="s">
        <v>22</v>
      </c>
      <c r="O337">
        <f>Table1[[#All],[Quantity]]*Table1[[#All],[Unit Price (?)]]</f>
        <v>898.25</v>
      </c>
      <c r="P337" t="str">
        <f>TEXT(Table1[[#All],[Order Date]],"dddd")</f>
        <v>Thursday</v>
      </c>
      <c r="Q337" t="str">
        <f>TEXT(Table1[[#All],[Order Date]],"mmm")</f>
        <v>Mar</v>
      </c>
      <c r="R337" t="str">
        <f>IF(Table1[[#All],[Total Price (?)]]&gt;1000,"High Value","Normal")</f>
        <v>Normal</v>
      </c>
    </row>
    <row r="338" spans="1:18" x14ac:dyDescent="0.3">
      <c r="A338" t="s">
        <v>399</v>
      </c>
      <c r="B338" s="1">
        <v>45728</v>
      </c>
      <c r="C338" t="s">
        <v>48</v>
      </c>
      <c r="D338" t="s">
        <v>16</v>
      </c>
      <c r="E338" t="s">
        <v>61</v>
      </c>
      <c r="F338" t="s">
        <v>66</v>
      </c>
      <c r="G338">
        <v>1</v>
      </c>
      <c r="H338">
        <v>2423.08</v>
      </c>
      <c r="I338">
        <v>0.03</v>
      </c>
      <c r="J338">
        <v>2350.39</v>
      </c>
      <c r="K338" t="s">
        <v>33</v>
      </c>
      <c r="L338" t="s">
        <v>20</v>
      </c>
      <c r="M338" t="s">
        <v>54</v>
      </c>
      <c r="N338" t="s">
        <v>22</v>
      </c>
      <c r="O338">
        <f>Table1[[#All],[Quantity]]*Table1[[#All],[Unit Price (?)]]</f>
        <v>2423.08</v>
      </c>
      <c r="P338" t="str">
        <f>TEXT(Table1[[#All],[Order Date]],"dddd")</f>
        <v>Wednesday</v>
      </c>
      <c r="Q338" t="str">
        <f>TEXT(Table1[[#All],[Order Date]],"mmm")</f>
        <v>Mar</v>
      </c>
      <c r="R338" t="str">
        <f>IF(Table1[[#All],[Total Price (?)]]&gt;1000,"High Value","Normal")</f>
        <v>High Value</v>
      </c>
    </row>
    <row r="339" spans="1:18" x14ac:dyDescent="0.3">
      <c r="A339" t="s">
        <v>400</v>
      </c>
      <c r="B339" s="1">
        <v>45742</v>
      </c>
      <c r="C339" t="s">
        <v>15</v>
      </c>
      <c r="D339" t="s">
        <v>25</v>
      </c>
      <c r="E339" t="s">
        <v>27</v>
      </c>
      <c r="F339" t="s">
        <v>28</v>
      </c>
      <c r="G339">
        <v>3</v>
      </c>
      <c r="H339">
        <v>2349.09</v>
      </c>
      <c r="I339">
        <v>0.05</v>
      </c>
      <c r="J339">
        <v>6694.91</v>
      </c>
      <c r="K339" t="s">
        <v>41</v>
      </c>
      <c r="L339" t="s">
        <v>34</v>
      </c>
      <c r="M339" t="s">
        <v>30</v>
      </c>
      <c r="N339" t="s">
        <v>22</v>
      </c>
      <c r="O339">
        <f>Table1[[#All],[Quantity]]*Table1[[#All],[Unit Price (?)]]</f>
        <v>7047.27</v>
      </c>
      <c r="P339" t="str">
        <f>TEXT(Table1[[#All],[Order Date]],"dddd")</f>
        <v>Wednesday</v>
      </c>
      <c r="Q339" t="str">
        <f>TEXT(Table1[[#All],[Order Date]],"mmm")</f>
        <v>Mar</v>
      </c>
      <c r="R339" t="str">
        <f>IF(Table1[[#All],[Total Price (?)]]&gt;1000,"High Value","Normal")</f>
        <v>High Value</v>
      </c>
    </row>
    <row r="340" spans="1:18" x14ac:dyDescent="0.3">
      <c r="A340" t="s">
        <v>401</v>
      </c>
      <c r="B340" s="1">
        <v>45739</v>
      </c>
      <c r="C340" t="s">
        <v>36</v>
      </c>
      <c r="D340" t="s">
        <v>39</v>
      </c>
      <c r="E340" t="s">
        <v>17</v>
      </c>
      <c r="F340" t="s">
        <v>32</v>
      </c>
      <c r="G340">
        <v>3</v>
      </c>
      <c r="H340">
        <v>1562.53</v>
      </c>
      <c r="I340">
        <v>0.03</v>
      </c>
      <c r="J340">
        <v>4546.96</v>
      </c>
      <c r="K340" t="s">
        <v>33</v>
      </c>
      <c r="L340" t="s">
        <v>29</v>
      </c>
      <c r="M340" t="s">
        <v>54</v>
      </c>
      <c r="N340" t="s">
        <v>59</v>
      </c>
      <c r="O340">
        <f>Table1[[#All],[Quantity]]*Table1[[#All],[Unit Price (?)]]</f>
        <v>4687.59</v>
      </c>
      <c r="P340" t="str">
        <f>TEXT(Table1[[#All],[Order Date]],"dddd")</f>
        <v>Sunday</v>
      </c>
      <c r="Q340" t="str">
        <f>TEXT(Table1[[#All],[Order Date]],"mmm")</f>
        <v>Mar</v>
      </c>
      <c r="R340" t="str">
        <f>IF(Table1[[#All],[Total Price (?)]]&gt;1000,"High Value","Normal")</f>
        <v>High Value</v>
      </c>
    </row>
    <row r="341" spans="1:18" x14ac:dyDescent="0.3">
      <c r="A341" t="s">
        <v>402</v>
      </c>
      <c r="B341" s="1">
        <v>45750</v>
      </c>
      <c r="C341" t="s">
        <v>15</v>
      </c>
      <c r="D341" t="s">
        <v>25</v>
      </c>
      <c r="E341" t="s">
        <v>99</v>
      </c>
      <c r="F341" t="s">
        <v>111</v>
      </c>
      <c r="G341">
        <v>2</v>
      </c>
      <c r="H341">
        <v>2634.74</v>
      </c>
      <c r="I341">
        <v>0.06</v>
      </c>
      <c r="J341">
        <v>4953.3100000000004</v>
      </c>
      <c r="K341" t="s">
        <v>46</v>
      </c>
      <c r="L341" t="s">
        <v>20</v>
      </c>
      <c r="M341" t="s">
        <v>54</v>
      </c>
      <c r="N341" t="s">
        <v>22</v>
      </c>
      <c r="O341">
        <f>Table1[[#All],[Quantity]]*Table1[[#All],[Unit Price (?)]]</f>
        <v>5269.48</v>
      </c>
      <c r="P341" t="str">
        <f>TEXT(Table1[[#All],[Order Date]],"dddd")</f>
        <v>Thursday</v>
      </c>
      <c r="Q341" t="str">
        <f>TEXT(Table1[[#All],[Order Date]],"mmm")</f>
        <v>Apr</v>
      </c>
      <c r="R341" t="str">
        <f>IF(Table1[[#All],[Total Price (?)]]&gt;1000,"High Value","Normal")</f>
        <v>High Value</v>
      </c>
    </row>
    <row r="342" spans="1:18" x14ac:dyDescent="0.3">
      <c r="A342" t="s">
        <v>403</v>
      </c>
      <c r="B342" s="1">
        <v>45827</v>
      </c>
      <c r="C342" t="s">
        <v>48</v>
      </c>
      <c r="D342" t="s">
        <v>43</v>
      </c>
      <c r="E342" t="s">
        <v>61</v>
      </c>
      <c r="F342" t="s">
        <v>62</v>
      </c>
      <c r="G342">
        <v>4</v>
      </c>
      <c r="H342">
        <v>2082.5300000000002</v>
      </c>
      <c r="I342">
        <v>0.18</v>
      </c>
      <c r="J342">
        <v>6830.7</v>
      </c>
      <c r="K342" t="s">
        <v>46</v>
      </c>
      <c r="L342" t="s">
        <v>34</v>
      </c>
      <c r="M342" t="s">
        <v>21</v>
      </c>
      <c r="N342" t="s">
        <v>22</v>
      </c>
      <c r="O342">
        <f>Table1[[#All],[Quantity]]*Table1[[#All],[Unit Price (?)]]</f>
        <v>8330.1200000000008</v>
      </c>
      <c r="P342" t="str">
        <f>TEXT(Table1[[#All],[Order Date]],"dddd")</f>
        <v>Thursday</v>
      </c>
      <c r="Q342" t="str">
        <f>TEXT(Table1[[#All],[Order Date]],"mmm")</f>
        <v>Jun</v>
      </c>
      <c r="R342" t="str">
        <f>IF(Table1[[#All],[Total Price (?)]]&gt;1000,"High Value","Normal")</f>
        <v>High Value</v>
      </c>
    </row>
    <row r="343" spans="1:18" x14ac:dyDescent="0.3">
      <c r="A343" t="s">
        <v>404</v>
      </c>
      <c r="B343" s="1">
        <v>45801</v>
      </c>
      <c r="C343" t="s">
        <v>15</v>
      </c>
      <c r="D343" t="s">
        <v>39</v>
      </c>
      <c r="E343" t="s">
        <v>61</v>
      </c>
      <c r="F343" t="s">
        <v>92</v>
      </c>
      <c r="G343">
        <v>2</v>
      </c>
      <c r="H343">
        <v>4219.13</v>
      </c>
      <c r="I343">
        <v>0.22</v>
      </c>
      <c r="J343">
        <v>6581.84</v>
      </c>
      <c r="K343" t="s">
        <v>33</v>
      </c>
      <c r="L343" t="s">
        <v>34</v>
      </c>
      <c r="M343" t="s">
        <v>54</v>
      </c>
      <c r="N343" t="s">
        <v>22</v>
      </c>
      <c r="O343">
        <f>Table1[[#All],[Quantity]]*Table1[[#All],[Unit Price (?)]]</f>
        <v>8438.26</v>
      </c>
      <c r="P343" t="str">
        <f>TEXT(Table1[[#All],[Order Date]],"dddd")</f>
        <v>Saturday</v>
      </c>
      <c r="Q343" t="str">
        <f>TEXT(Table1[[#All],[Order Date]],"mmm")</f>
        <v>May</v>
      </c>
      <c r="R343" t="str">
        <f>IF(Table1[[#All],[Total Price (?)]]&gt;1000,"High Value","Normal")</f>
        <v>High Value</v>
      </c>
    </row>
    <row r="344" spans="1:18" x14ac:dyDescent="0.3">
      <c r="A344" t="s">
        <v>405</v>
      </c>
      <c r="B344" s="1">
        <v>45670</v>
      </c>
      <c r="C344" t="s">
        <v>36</v>
      </c>
      <c r="D344" t="s">
        <v>39</v>
      </c>
      <c r="E344" t="s">
        <v>61</v>
      </c>
      <c r="F344" t="s">
        <v>66</v>
      </c>
      <c r="G344">
        <v>3</v>
      </c>
      <c r="H344">
        <v>3306.73</v>
      </c>
      <c r="I344">
        <v>0.06</v>
      </c>
      <c r="J344">
        <v>9324.98</v>
      </c>
      <c r="K344" t="s">
        <v>19</v>
      </c>
      <c r="L344" t="s">
        <v>29</v>
      </c>
      <c r="M344" t="s">
        <v>54</v>
      </c>
      <c r="N344" t="s">
        <v>22</v>
      </c>
      <c r="O344">
        <f>Table1[[#All],[Quantity]]*Table1[[#All],[Unit Price (?)]]</f>
        <v>9920.19</v>
      </c>
      <c r="P344" t="str">
        <f>TEXT(Table1[[#All],[Order Date]],"dddd")</f>
        <v>Monday</v>
      </c>
      <c r="Q344" t="str">
        <f>TEXT(Table1[[#All],[Order Date]],"mmm")</f>
        <v>Jan</v>
      </c>
      <c r="R344" t="str">
        <f>IF(Table1[[#All],[Total Price (?)]]&gt;1000,"High Value","Normal")</f>
        <v>High Value</v>
      </c>
    </row>
    <row r="345" spans="1:18" x14ac:dyDescent="0.3">
      <c r="A345" t="s">
        <v>406</v>
      </c>
      <c r="B345" s="1">
        <v>45790</v>
      </c>
      <c r="C345" t="s">
        <v>15</v>
      </c>
      <c r="D345" t="s">
        <v>16</v>
      </c>
      <c r="E345" t="s">
        <v>99</v>
      </c>
      <c r="F345" t="s">
        <v>111</v>
      </c>
      <c r="G345">
        <v>4</v>
      </c>
      <c r="H345">
        <v>4270.95</v>
      </c>
      <c r="I345">
        <v>0.12</v>
      </c>
      <c r="J345">
        <v>15033.74</v>
      </c>
      <c r="K345" t="s">
        <v>33</v>
      </c>
      <c r="L345" t="s">
        <v>34</v>
      </c>
      <c r="M345" t="s">
        <v>21</v>
      </c>
      <c r="N345" t="s">
        <v>22</v>
      </c>
      <c r="O345">
        <f>Table1[[#All],[Quantity]]*Table1[[#All],[Unit Price (?)]]</f>
        <v>17083.8</v>
      </c>
      <c r="P345" t="str">
        <f>TEXT(Table1[[#All],[Order Date]],"dddd")</f>
        <v>Tuesday</v>
      </c>
      <c r="Q345" t="str">
        <f>TEXT(Table1[[#All],[Order Date]],"mmm")</f>
        <v>May</v>
      </c>
      <c r="R345" t="str">
        <f>IF(Table1[[#All],[Total Price (?)]]&gt;1000,"High Value","Normal")</f>
        <v>High Value</v>
      </c>
    </row>
    <row r="346" spans="1:18" x14ac:dyDescent="0.3">
      <c r="A346" t="s">
        <v>407</v>
      </c>
      <c r="B346" s="1">
        <v>45786</v>
      </c>
      <c r="C346" t="s">
        <v>48</v>
      </c>
      <c r="D346" t="s">
        <v>43</v>
      </c>
      <c r="E346" t="s">
        <v>61</v>
      </c>
      <c r="F346" t="s">
        <v>62</v>
      </c>
      <c r="G346">
        <v>4</v>
      </c>
      <c r="H346">
        <v>364.9</v>
      </c>
      <c r="I346">
        <v>0.21</v>
      </c>
      <c r="J346">
        <v>1153.08</v>
      </c>
      <c r="K346" t="s">
        <v>33</v>
      </c>
      <c r="L346" t="s">
        <v>34</v>
      </c>
      <c r="M346" t="s">
        <v>54</v>
      </c>
      <c r="N346" t="s">
        <v>22</v>
      </c>
      <c r="O346">
        <f>Table1[[#All],[Quantity]]*Table1[[#All],[Unit Price (?)]]</f>
        <v>1459.6</v>
      </c>
      <c r="P346" t="str">
        <f>TEXT(Table1[[#All],[Order Date]],"dddd")</f>
        <v>Friday</v>
      </c>
      <c r="Q346" t="str">
        <f>TEXT(Table1[[#All],[Order Date]],"mmm")</f>
        <v>May</v>
      </c>
      <c r="R346" t="str">
        <f>IF(Table1[[#All],[Total Price (?)]]&gt;1000,"High Value","Normal")</f>
        <v>High Value</v>
      </c>
    </row>
    <row r="347" spans="1:18" x14ac:dyDescent="0.3">
      <c r="A347" t="s">
        <v>408</v>
      </c>
      <c r="B347" s="1">
        <v>45785</v>
      </c>
      <c r="C347" t="s">
        <v>52</v>
      </c>
      <c r="D347" t="s">
        <v>43</v>
      </c>
      <c r="E347" t="s">
        <v>27</v>
      </c>
      <c r="F347" t="s">
        <v>87</v>
      </c>
      <c r="G347">
        <v>2</v>
      </c>
      <c r="H347">
        <v>3916.81</v>
      </c>
      <c r="I347">
        <v>0.12</v>
      </c>
      <c r="J347">
        <v>6893.59</v>
      </c>
      <c r="K347" t="s">
        <v>46</v>
      </c>
      <c r="L347" t="s">
        <v>29</v>
      </c>
      <c r="M347" t="s">
        <v>21</v>
      </c>
      <c r="N347" t="s">
        <v>22</v>
      </c>
      <c r="O347">
        <f>Table1[[#All],[Quantity]]*Table1[[#All],[Unit Price (?)]]</f>
        <v>7833.62</v>
      </c>
      <c r="P347" t="str">
        <f>TEXT(Table1[[#All],[Order Date]],"dddd")</f>
        <v>Thursday</v>
      </c>
      <c r="Q347" t="str">
        <f>TEXT(Table1[[#All],[Order Date]],"mmm")</f>
        <v>May</v>
      </c>
      <c r="R347" t="str">
        <f>IF(Table1[[#All],[Total Price (?)]]&gt;1000,"High Value","Normal")</f>
        <v>High Value</v>
      </c>
    </row>
    <row r="348" spans="1:18" x14ac:dyDescent="0.3">
      <c r="A348" t="s">
        <v>409</v>
      </c>
      <c r="B348" s="1">
        <v>45679</v>
      </c>
      <c r="C348" t="s">
        <v>48</v>
      </c>
      <c r="D348" t="s">
        <v>43</v>
      </c>
      <c r="E348" t="s">
        <v>17</v>
      </c>
      <c r="F348" t="s">
        <v>18</v>
      </c>
      <c r="G348">
        <v>2</v>
      </c>
      <c r="H348">
        <v>2923.77</v>
      </c>
      <c r="I348">
        <v>0.04</v>
      </c>
      <c r="J348">
        <v>5613.64</v>
      </c>
      <c r="K348" t="s">
        <v>46</v>
      </c>
      <c r="L348" t="s">
        <v>20</v>
      </c>
      <c r="M348" t="s">
        <v>54</v>
      </c>
      <c r="N348" t="s">
        <v>22</v>
      </c>
      <c r="O348">
        <f>Table1[[#All],[Quantity]]*Table1[[#All],[Unit Price (?)]]</f>
        <v>5847.54</v>
      </c>
      <c r="P348" t="str">
        <f>TEXT(Table1[[#All],[Order Date]],"dddd")</f>
        <v>Wednesday</v>
      </c>
      <c r="Q348" t="str">
        <f>TEXT(Table1[[#All],[Order Date]],"mmm")</f>
        <v>Jan</v>
      </c>
      <c r="R348" t="str">
        <f>IF(Table1[[#All],[Total Price (?)]]&gt;1000,"High Value","Normal")</f>
        <v>High Value</v>
      </c>
    </row>
    <row r="349" spans="1:18" x14ac:dyDescent="0.3">
      <c r="A349" t="s">
        <v>410</v>
      </c>
      <c r="B349" s="1">
        <v>45671</v>
      </c>
      <c r="C349" t="s">
        <v>48</v>
      </c>
      <c r="D349" t="s">
        <v>16</v>
      </c>
      <c r="E349" t="s">
        <v>49</v>
      </c>
      <c r="F349" t="s">
        <v>50</v>
      </c>
      <c r="G349">
        <v>1</v>
      </c>
      <c r="H349">
        <v>284.85000000000002</v>
      </c>
      <c r="I349">
        <v>0.05</v>
      </c>
      <c r="J349">
        <v>270.61</v>
      </c>
      <c r="K349" t="s">
        <v>41</v>
      </c>
      <c r="L349" t="s">
        <v>34</v>
      </c>
      <c r="M349" t="s">
        <v>30</v>
      </c>
      <c r="N349" t="s">
        <v>37</v>
      </c>
      <c r="O349">
        <f>Table1[[#All],[Quantity]]*Table1[[#All],[Unit Price (?)]]</f>
        <v>284.85000000000002</v>
      </c>
      <c r="P349" t="str">
        <f>TEXT(Table1[[#All],[Order Date]],"dddd")</f>
        <v>Tuesday</v>
      </c>
      <c r="Q349" t="str">
        <f>TEXT(Table1[[#All],[Order Date]],"mmm")</f>
        <v>Jan</v>
      </c>
      <c r="R349" t="str">
        <f>IF(Table1[[#All],[Total Price (?)]]&gt;1000,"High Value","Normal")</f>
        <v>Normal</v>
      </c>
    </row>
    <row r="350" spans="1:18" x14ac:dyDescent="0.3">
      <c r="A350" t="s">
        <v>411</v>
      </c>
      <c r="B350" s="1">
        <v>45738</v>
      </c>
      <c r="C350" t="s">
        <v>24</v>
      </c>
      <c r="D350" t="s">
        <v>43</v>
      </c>
      <c r="E350" t="s">
        <v>27</v>
      </c>
      <c r="F350" t="s">
        <v>68</v>
      </c>
      <c r="G350">
        <v>2</v>
      </c>
      <c r="H350">
        <v>1208.7</v>
      </c>
      <c r="I350">
        <v>0.22</v>
      </c>
      <c r="J350">
        <v>1885.57</v>
      </c>
      <c r="K350" t="s">
        <v>58</v>
      </c>
      <c r="L350" t="s">
        <v>29</v>
      </c>
      <c r="M350" t="s">
        <v>30</v>
      </c>
      <c r="N350" t="s">
        <v>22</v>
      </c>
      <c r="O350">
        <f>Table1[[#All],[Quantity]]*Table1[[#All],[Unit Price (?)]]</f>
        <v>2417.4</v>
      </c>
      <c r="P350" t="str">
        <f>TEXT(Table1[[#All],[Order Date]],"dddd")</f>
        <v>Saturday</v>
      </c>
      <c r="Q350" t="str">
        <f>TEXT(Table1[[#All],[Order Date]],"mmm")</f>
        <v>Mar</v>
      </c>
      <c r="R350" t="str">
        <f>IF(Table1[[#All],[Total Price (?)]]&gt;1000,"High Value","Normal")</f>
        <v>High Value</v>
      </c>
    </row>
    <row r="351" spans="1:18" x14ac:dyDescent="0.3">
      <c r="A351" t="s">
        <v>412</v>
      </c>
      <c r="B351" s="1">
        <v>45801</v>
      </c>
      <c r="C351" t="s">
        <v>52</v>
      </c>
      <c r="D351" t="s">
        <v>39</v>
      </c>
      <c r="E351" t="s">
        <v>27</v>
      </c>
      <c r="F351" t="s">
        <v>28</v>
      </c>
      <c r="G351">
        <v>3</v>
      </c>
      <c r="H351">
        <v>4747.47</v>
      </c>
      <c r="I351">
        <v>0.11</v>
      </c>
      <c r="J351">
        <v>12675.74</v>
      </c>
      <c r="K351" t="s">
        <v>58</v>
      </c>
      <c r="L351" t="s">
        <v>20</v>
      </c>
      <c r="M351" t="s">
        <v>21</v>
      </c>
      <c r="N351" t="s">
        <v>22</v>
      </c>
      <c r="O351">
        <f>Table1[[#All],[Quantity]]*Table1[[#All],[Unit Price (?)]]</f>
        <v>14242.41</v>
      </c>
      <c r="P351" t="str">
        <f>TEXT(Table1[[#All],[Order Date]],"dddd")</f>
        <v>Saturday</v>
      </c>
      <c r="Q351" t="str">
        <f>TEXT(Table1[[#All],[Order Date]],"mmm")</f>
        <v>May</v>
      </c>
      <c r="R351" t="str">
        <f>IF(Table1[[#All],[Total Price (?)]]&gt;1000,"High Value","Normal")</f>
        <v>High Value</v>
      </c>
    </row>
    <row r="352" spans="1:18" x14ac:dyDescent="0.3">
      <c r="A352" t="s">
        <v>413</v>
      </c>
      <c r="B352" s="1">
        <v>45725</v>
      </c>
      <c r="C352" t="s">
        <v>48</v>
      </c>
      <c r="D352" t="s">
        <v>16</v>
      </c>
      <c r="E352" t="s">
        <v>61</v>
      </c>
      <c r="F352" t="s">
        <v>66</v>
      </c>
      <c r="G352">
        <v>2</v>
      </c>
      <c r="H352">
        <v>4745.6099999999997</v>
      </c>
      <c r="I352">
        <v>0.23</v>
      </c>
      <c r="J352">
        <v>7308.24</v>
      </c>
      <c r="K352" t="s">
        <v>46</v>
      </c>
      <c r="L352" t="s">
        <v>20</v>
      </c>
      <c r="M352" t="s">
        <v>30</v>
      </c>
      <c r="N352" t="s">
        <v>22</v>
      </c>
      <c r="O352">
        <f>Table1[[#All],[Quantity]]*Table1[[#All],[Unit Price (?)]]</f>
        <v>9491.2199999999993</v>
      </c>
      <c r="P352" t="str">
        <f>TEXT(Table1[[#All],[Order Date]],"dddd")</f>
        <v>Sunday</v>
      </c>
      <c r="Q352" t="str">
        <f>TEXT(Table1[[#All],[Order Date]],"mmm")</f>
        <v>Mar</v>
      </c>
      <c r="R352" t="str">
        <f>IF(Table1[[#All],[Total Price (?)]]&gt;1000,"High Value","Normal")</f>
        <v>High Value</v>
      </c>
    </row>
    <row r="353" spans="1:18" x14ac:dyDescent="0.3">
      <c r="A353" t="s">
        <v>414</v>
      </c>
      <c r="B353" s="1">
        <v>45815</v>
      </c>
      <c r="C353" t="s">
        <v>24</v>
      </c>
      <c r="D353" t="s">
        <v>25</v>
      </c>
      <c r="E353" t="s">
        <v>61</v>
      </c>
      <c r="F353" t="s">
        <v>75</v>
      </c>
      <c r="G353">
        <v>2</v>
      </c>
      <c r="H353">
        <v>703.49</v>
      </c>
      <c r="I353">
        <v>0.18</v>
      </c>
      <c r="J353">
        <v>1153.72</v>
      </c>
      <c r="K353" t="s">
        <v>33</v>
      </c>
      <c r="L353" t="s">
        <v>29</v>
      </c>
      <c r="M353" t="s">
        <v>54</v>
      </c>
      <c r="N353" t="s">
        <v>37</v>
      </c>
      <c r="O353">
        <f>Table1[[#All],[Quantity]]*Table1[[#All],[Unit Price (?)]]</f>
        <v>1406.98</v>
      </c>
      <c r="P353" t="str">
        <f>TEXT(Table1[[#All],[Order Date]],"dddd")</f>
        <v>Saturday</v>
      </c>
      <c r="Q353" t="str">
        <f>TEXT(Table1[[#All],[Order Date]],"mmm")</f>
        <v>Jun</v>
      </c>
      <c r="R353" t="str">
        <f>IF(Table1[[#All],[Total Price (?)]]&gt;1000,"High Value","Normal")</f>
        <v>High Value</v>
      </c>
    </row>
    <row r="354" spans="1:18" x14ac:dyDescent="0.3">
      <c r="A354" t="s">
        <v>415</v>
      </c>
      <c r="B354" s="1">
        <v>45827</v>
      </c>
      <c r="C354" t="s">
        <v>36</v>
      </c>
      <c r="D354" t="s">
        <v>16</v>
      </c>
      <c r="E354" t="s">
        <v>99</v>
      </c>
      <c r="F354" t="s">
        <v>120</v>
      </c>
      <c r="G354">
        <v>1</v>
      </c>
      <c r="H354">
        <v>3302.48</v>
      </c>
      <c r="I354">
        <v>0</v>
      </c>
      <c r="J354">
        <v>3302.48</v>
      </c>
      <c r="K354" t="s">
        <v>58</v>
      </c>
      <c r="L354" t="s">
        <v>29</v>
      </c>
      <c r="M354" t="s">
        <v>21</v>
      </c>
      <c r="N354" t="s">
        <v>22</v>
      </c>
      <c r="O354">
        <f>Table1[[#All],[Quantity]]*Table1[[#All],[Unit Price (?)]]</f>
        <v>3302.48</v>
      </c>
      <c r="P354" t="str">
        <f>TEXT(Table1[[#All],[Order Date]],"dddd")</f>
        <v>Thursday</v>
      </c>
      <c r="Q354" t="str">
        <f>TEXT(Table1[[#All],[Order Date]],"mmm")</f>
        <v>Jun</v>
      </c>
      <c r="R354" t="str">
        <f>IF(Table1[[#All],[Total Price (?)]]&gt;1000,"High Value","Normal")</f>
        <v>High Value</v>
      </c>
    </row>
    <row r="355" spans="1:18" x14ac:dyDescent="0.3">
      <c r="A355" t="s">
        <v>416</v>
      </c>
      <c r="B355" s="1">
        <v>45681</v>
      </c>
      <c r="C355" t="s">
        <v>36</v>
      </c>
      <c r="D355" t="s">
        <v>39</v>
      </c>
      <c r="E355" t="s">
        <v>49</v>
      </c>
      <c r="F355" t="s">
        <v>56</v>
      </c>
      <c r="G355">
        <v>2</v>
      </c>
      <c r="H355">
        <v>1106.93</v>
      </c>
      <c r="I355">
        <v>0.17</v>
      </c>
      <c r="J355">
        <v>1837.5</v>
      </c>
      <c r="K355" t="s">
        <v>46</v>
      </c>
      <c r="L355" t="s">
        <v>34</v>
      </c>
      <c r="M355" t="s">
        <v>54</v>
      </c>
      <c r="N355" t="s">
        <v>22</v>
      </c>
      <c r="O355">
        <f>Table1[[#All],[Quantity]]*Table1[[#All],[Unit Price (?)]]</f>
        <v>2213.86</v>
      </c>
      <c r="P355" t="str">
        <f>TEXT(Table1[[#All],[Order Date]],"dddd")</f>
        <v>Friday</v>
      </c>
      <c r="Q355" t="str">
        <f>TEXT(Table1[[#All],[Order Date]],"mmm")</f>
        <v>Jan</v>
      </c>
      <c r="R355" t="str">
        <f>IF(Table1[[#All],[Total Price (?)]]&gt;1000,"High Value","Normal")</f>
        <v>High Value</v>
      </c>
    </row>
    <row r="356" spans="1:18" x14ac:dyDescent="0.3">
      <c r="A356" t="s">
        <v>417</v>
      </c>
      <c r="B356" s="1">
        <v>45708</v>
      </c>
      <c r="C356" t="s">
        <v>36</v>
      </c>
      <c r="D356" t="s">
        <v>16</v>
      </c>
      <c r="E356" t="s">
        <v>17</v>
      </c>
      <c r="F356" t="s">
        <v>32</v>
      </c>
      <c r="G356">
        <v>2</v>
      </c>
      <c r="H356">
        <v>2152.25</v>
      </c>
      <c r="I356">
        <v>0.22</v>
      </c>
      <c r="J356">
        <v>3357.51</v>
      </c>
      <c r="K356" t="s">
        <v>33</v>
      </c>
      <c r="L356" t="s">
        <v>29</v>
      </c>
      <c r="M356" t="s">
        <v>21</v>
      </c>
      <c r="N356" t="s">
        <v>22</v>
      </c>
      <c r="O356">
        <f>Table1[[#All],[Quantity]]*Table1[[#All],[Unit Price (?)]]</f>
        <v>4304.5</v>
      </c>
      <c r="P356" t="str">
        <f>TEXT(Table1[[#All],[Order Date]],"dddd")</f>
        <v>Thursday</v>
      </c>
      <c r="Q356" t="str">
        <f>TEXT(Table1[[#All],[Order Date]],"mmm")</f>
        <v>Feb</v>
      </c>
      <c r="R356" t="str">
        <f>IF(Table1[[#All],[Total Price (?)]]&gt;1000,"High Value","Normal")</f>
        <v>High Value</v>
      </c>
    </row>
    <row r="357" spans="1:18" x14ac:dyDescent="0.3">
      <c r="A357" t="s">
        <v>418</v>
      </c>
      <c r="B357" s="1">
        <v>45697</v>
      </c>
      <c r="C357" t="s">
        <v>52</v>
      </c>
      <c r="D357" t="s">
        <v>25</v>
      </c>
      <c r="E357" t="s">
        <v>17</v>
      </c>
      <c r="F357" t="s">
        <v>40</v>
      </c>
      <c r="G357">
        <v>3</v>
      </c>
      <c r="H357">
        <v>4174.34</v>
      </c>
      <c r="I357">
        <v>0.24</v>
      </c>
      <c r="J357">
        <v>9517.5</v>
      </c>
      <c r="K357" t="s">
        <v>33</v>
      </c>
      <c r="L357" t="s">
        <v>20</v>
      </c>
      <c r="M357" t="s">
        <v>30</v>
      </c>
      <c r="N357" t="s">
        <v>22</v>
      </c>
      <c r="O357">
        <f>Table1[[#All],[Quantity]]*Table1[[#All],[Unit Price (?)]]</f>
        <v>12523.02</v>
      </c>
      <c r="P357" t="str">
        <f>TEXT(Table1[[#All],[Order Date]],"dddd")</f>
        <v>Sunday</v>
      </c>
      <c r="Q357" t="str">
        <f>TEXT(Table1[[#All],[Order Date]],"mmm")</f>
        <v>Feb</v>
      </c>
      <c r="R357" t="str">
        <f>IF(Table1[[#All],[Total Price (?)]]&gt;1000,"High Value","Normal")</f>
        <v>High Value</v>
      </c>
    </row>
    <row r="358" spans="1:18" x14ac:dyDescent="0.3">
      <c r="A358" t="s">
        <v>419</v>
      </c>
      <c r="B358" s="1">
        <v>45696</v>
      </c>
      <c r="C358" t="s">
        <v>52</v>
      </c>
      <c r="D358" t="s">
        <v>25</v>
      </c>
      <c r="E358" t="s">
        <v>17</v>
      </c>
      <c r="F358" t="s">
        <v>40</v>
      </c>
      <c r="G358">
        <v>2</v>
      </c>
      <c r="H358">
        <v>113.42</v>
      </c>
      <c r="I358">
        <v>0.17</v>
      </c>
      <c r="J358">
        <v>188.28</v>
      </c>
      <c r="K358" t="s">
        <v>41</v>
      </c>
      <c r="L358" t="s">
        <v>34</v>
      </c>
      <c r="M358" t="s">
        <v>54</v>
      </c>
      <c r="N358" t="s">
        <v>22</v>
      </c>
      <c r="O358">
        <f>Table1[[#All],[Quantity]]*Table1[[#All],[Unit Price (?)]]</f>
        <v>226.84</v>
      </c>
      <c r="P358" t="str">
        <f>TEXT(Table1[[#All],[Order Date]],"dddd")</f>
        <v>Saturday</v>
      </c>
      <c r="Q358" t="str">
        <f>TEXT(Table1[[#All],[Order Date]],"mmm")</f>
        <v>Feb</v>
      </c>
      <c r="R358" t="str">
        <f>IF(Table1[[#All],[Total Price (?)]]&gt;1000,"High Value","Normal")</f>
        <v>Normal</v>
      </c>
    </row>
    <row r="359" spans="1:18" x14ac:dyDescent="0.3">
      <c r="A359" t="s">
        <v>420</v>
      </c>
      <c r="B359" s="1">
        <v>45764</v>
      </c>
      <c r="C359" t="s">
        <v>24</v>
      </c>
      <c r="D359" t="s">
        <v>25</v>
      </c>
      <c r="E359" t="s">
        <v>17</v>
      </c>
      <c r="F359" t="s">
        <v>18</v>
      </c>
      <c r="G359">
        <v>2</v>
      </c>
      <c r="H359">
        <v>2338.08</v>
      </c>
      <c r="I359">
        <v>0.24</v>
      </c>
      <c r="J359">
        <v>3553.88</v>
      </c>
      <c r="K359" t="s">
        <v>46</v>
      </c>
      <c r="L359" t="s">
        <v>29</v>
      </c>
      <c r="M359" t="s">
        <v>30</v>
      </c>
      <c r="N359" t="s">
        <v>22</v>
      </c>
      <c r="O359">
        <f>Table1[[#All],[Quantity]]*Table1[[#All],[Unit Price (?)]]</f>
        <v>4676.16</v>
      </c>
      <c r="P359" t="str">
        <f>TEXT(Table1[[#All],[Order Date]],"dddd")</f>
        <v>Thursday</v>
      </c>
      <c r="Q359" t="str">
        <f>TEXT(Table1[[#All],[Order Date]],"mmm")</f>
        <v>Apr</v>
      </c>
      <c r="R359" t="str">
        <f>IF(Table1[[#All],[Total Price (?)]]&gt;1000,"High Value","Normal")</f>
        <v>High Value</v>
      </c>
    </row>
    <row r="360" spans="1:18" x14ac:dyDescent="0.3">
      <c r="A360" t="s">
        <v>421</v>
      </c>
      <c r="B360" s="1">
        <v>45747</v>
      </c>
      <c r="C360" t="s">
        <v>15</v>
      </c>
      <c r="D360" t="s">
        <v>16</v>
      </c>
      <c r="E360" t="s">
        <v>61</v>
      </c>
      <c r="F360" t="s">
        <v>62</v>
      </c>
      <c r="G360">
        <v>3</v>
      </c>
      <c r="H360">
        <v>2187.38</v>
      </c>
      <c r="I360">
        <v>0.03</v>
      </c>
      <c r="J360">
        <v>6365.28</v>
      </c>
      <c r="K360" t="s">
        <v>46</v>
      </c>
      <c r="L360" t="s">
        <v>29</v>
      </c>
      <c r="M360" t="s">
        <v>54</v>
      </c>
      <c r="N360" t="s">
        <v>37</v>
      </c>
      <c r="O360">
        <f>Table1[[#All],[Quantity]]*Table1[[#All],[Unit Price (?)]]</f>
        <v>6562.14</v>
      </c>
      <c r="P360" t="str">
        <f>TEXT(Table1[[#All],[Order Date]],"dddd")</f>
        <v>Monday</v>
      </c>
      <c r="Q360" t="str">
        <f>TEXT(Table1[[#All],[Order Date]],"mmm")</f>
        <v>Mar</v>
      </c>
      <c r="R360" t="str">
        <f>IF(Table1[[#All],[Total Price (?)]]&gt;1000,"High Value","Normal")</f>
        <v>High Value</v>
      </c>
    </row>
    <row r="361" spans="1:18" x14ac:dyDescent="0.3">
      <c r="A361" t="s">
        <v>422</v>
      </c>
      <c r="B361" s="1">
        <v>45687</v>
      </c>
      <c r="C361" t="s">
        <v>15</v>
      </c>
      <c r="D361" t="s">
        <v>43</v>
      </c>
      <c r="E361" t="s">
        <v>61</v>
      </c>
      <c r="F361" t="s">
        <v>66</v>
      </c>
      <c r="G361">
        <v>3</v>
      </c>
      <c r="H361">
        <v>4404.53</v>
      </c>
      <c r="I361">
        <v>0.02</v>
      </c>
      <c r="J361">
        <v>12949.32</v>
      </c>
      <c r="K361" t="s">
        <v>41</v>
      </c>
      <c r="L361" t="s">
        <v>29</v>
      </c>
      <c r="M361" t="s">
        <v>30</v>
      </c>
      <c r="N361" t="s">
        <v>22</v>
      </c>
      <c r="O361">
        <f>Table1[[#All],[Quantity]]*Table1[[#All],[Unit Price (?)]]</f>
        <v>13213.59</v>
      </c>
      <c r="P361" t="str">
        <f>TEXT(Table1[[#All],[Order Date]],"dddd")</f>
        <v>Thursday</v>
      </c>
      <c r="Q361" t="str">
        <f>TEXT(Table1[[#All],[Order Date]],"mmm")</f>
        <v>Jan</v>
      </c>
      <c r="R361" t="str">
        <f>IF(Table1[[#All],[Total Price (?)]]&gt;1000,"High Value","Normal")</f>
        <v>High Value</v>
      </c>
    </row>
    <row r="362" spans="1:18" x14ac:dyDescent="0.3">
      <c r="A362" t="s">
        <v>423</v>
      </c>
      <c r="B362" s="1">
        <v>45741</v>
      </c>
      <c r="C362" t="s">
        <v>15</v>
      </c>
      <c r="D362" t="s">
        <v>16</v>
      </c>
      <c r="E362" t="s">
        <v>49</v>
      </c>
      <c r="F362" t="s">
        <v>50</v>
      </c>
      <c r="G362">
        <v>4</v>
      </c>
      <c r="H362">
        <v>4019.51</v>
      </c>
      <c r="I362">
        <v>0.16</v>
      </c>
      <c r="J362">
        <v>13505.55</v>
      </c>
      <c r="K362" t="s">
        <v>41</v>
      </c>
      <c r="L362" t="s">
        <v>29</v>
      </c>
      <c r="M362" t="s">
        <v>54</v>
      </c>
      <c r="N362" t="s">
        <v>22</v>
      </c>
      <c r="O362">
        <f>Table1[[#All],[Quantity]]*Table1[[#All],[Unit Price (?)]]</f>
        <v>16078.04</v>
      </c>
      <c r="P362" t="str">
        <f>TEXT(Table1[[#All],[Order Date]],"dddd")</f>
        <v>Tuesday</v>
      </c>
      <c r="Q362" t="str">
        <f>TEXT(Table1[[#All],[Order Date]],"mmm")</f>
        <v>Mar</v>
      </c>
      <c r="R362" t="str">
        <f>IF(Table1[[#All],[Total Price (?)]]&gt;1000,"High Value","Normal")</f>
        <v>High Value</v>
      </c>
    </row>
    <row r="363" spans="1:18" x14ac:dyDescent="0.3">
      <c r="A363" t="s">
        <v>424</v>
      </c>
      <c r="B363" s="1">
        <v>45695</v>
      </c>
      <c r="C363" t="s">
        <v>24</v>
      </c>
      <c r="D363" t="s">
        <v>25</v>
      </c>
      <c r="E363" t="s">
        <v>17</v>
      </c>
      <c r="F363" t="s">
        <v>44</v>
      </c>
      <c r="G363">
        <v>4</v>
      </c>
      <c r="H363">
        <v>4031.1</v>
      </c>
      <c r="I363">
        <v>0.17</v>
      </c>
      <c r="J363">
        <v>13383.25</v>
      </c>
      <c r="K363" t="s">
        <v>41</v>
      </c>
      <c r="L363" t="s">
        <v>29</v>
      </c>
      <c r="M363" t="s">
        <v>54</v>
      </c>
      <c r="N363" t="s">
        <v>88</v>
      </c>
      <c r="O363">
        <f>Table1[[#All],[Quantity]]*Table1[[#All],[Unit Price (?)]]</f>
        <v>16124.4</v>
      </c>
      <c r="P363" t="str">
        <f>TEXT(Table1[[#All],[Order Date]],"dddd")</f>
        <v>Friday</v>
      </c>
      <c r="Q363" t="str">
        <f>TEXT(Table1[[#All],[Order Date]],"mmm")</f>
        <v>Feb</v>
      </c>
      <c r="R363" t="str">
        <f>IF(Table1[[#All],[Total Price (?)]]&gt;1000,"High Value","Normal")</f>
        <v>High Value</v>
      </c>
    </row>
    <row r="364" spans="1:18" x14ac:dyDescent="0.3">
      <c r="A364" t="s">
        <v>425</v>
      </c>
      <c r="B364" s="1">
        <v>45714</v>
      </c>
      <c r="C364" t="s">
        <v>52</v>
      </c>
      <c r="D364" t="s">
        <v>39</v>
      </c>
      <c r="E364" t="s">
        <v>27</v>
      </c>
      <c r="F364" t="s">
        <v>79</v>
      </c>
      <c r="G364">
        <v>1</v>
      </c>
      <c r="H364">
        <v>4449.21</v>
      </c>
      <c r="I364">
        <v>0.11</v>
      </c>
      <c r="J364">
        <v>3959.8</v>
      </c>
      <c r="K364" t="s">
        <v>41</v>
      </c>
      <c r="L364" t="s">
        <v>34</v>
      </c>
      <c r="M364" t="s">
        <v>54</v>
      </c>
      <c r="N364" t="s">
        <v>22</v>
      </c>
      <c r="O364">
        <f>Table1[[#All],[Quantity]]*Table1[[#All],[Unit Price (?)]]</f>
        <v>4449.21</v>
      </c>
      <c r="P364" t="str">
        <f>TEXT(Table1[[#All],[Order Date]],"dddd")</f>
        <v>Wednesday</v>
      </c>
      <c r="Q364" t="str">
        <f>TEXT(Table1[[#All],[Order Date]],"mmm")</f>
        <v>Feb</v>
      </c>
      <c r="R364" t="str">
        <f>IF(Table1[[#All],[Total Price (?)]]&gt;1000,"High Value","Normal")</f>
        <v>High Value</v>
      </c>
    </row>
    <row r="365" spans="1:18" x14ac:dyDescent="0.3">
      <c r="A365" t="s">
        <v>426</v>
      </c>
      <c r="B365" s="1">
        <v>45749</v>
      </c>
      <c r="C365" t="s">
        <v>15</v>
      </c>
      <c r="D365" t="s">
        <v>25</v>
      </c>
      <c r="E365" t="s">
        <v>17</v>
      </c>
      <c r="F365" t="s">
        <v>44</v>
      </c>
      <c r="G365">
        <v>5</v>
      </c>
      <c r="H365">
        <v>566.69000000000005</v>
      </c>
      <c r="I365">
        <v>0.17</v>
      </c>
      <c r="J365">
        <v>2351.7600000000002</v>
      </c>
      <c r="K365" t="s">
        <v>33</v>
      </c>
      <c r="L365" t="s">
        <v>29</v>
      </c>
      <c r="M365" t="s">
        <v>54</v>
      </c>
      <c r="N365" t="s">
        <v>22</v>
      </c>
      <c r="O365">
        <f>Table1[[#All],[Quantity]]*Table1[[#All],[Unit Price (?)]]</f>
        <v>2833.4500000000003</v>
      </c>
      <c r="P365" t="str">
        <f>TEXT(Table1[[#All],[Order Date]],"dddd")</f>
        <v>Wednesday</v>
      </c>
      <c r="Q365" t="str">
        <f>TEXT(Table1[[#All],[Order Date]],"mmm")</f>
        <v>Apr</v>
      </c>
      <c r="R365" t="str">
        <f>IF(Table1[[#All],[Total Price (?)]]&gt;1000,"High Value","Normal")</f>
        <v>High Value</v>
      </c>
    </row>
    <row r="366" spans="1:18" x14ac:dyDescent="0.3">
      <c r="A366" t="s">
        <v>427</v>
      </c>
      <c r="B366" s="1">
        <v>45708</v>
      </c>
      <c r="C366" t="s">
        <v>36</v>
      </c>
      <c r="D366" t="s">
        <v>25</v>
      </c>
      <c r="E366" t="s">
        <v>49</v>
      </c>
      <c r="F366" t="s">
        <v>73</v>
      </c>
      <c r="G366">
        <v>1</v>
      </c>
      <c r="H366">
        <v>3252.65</v>
      </c>
      <c r="I366">
        <v>0.04</v>
      </c>
      <c r="J366">
        <v>3122.54</v>
      </c>
      <c r="K366" t="s">
        <v>33</v>
      </c>
      <c r="L366" t="s">
        <v>20</v>
      </c>
      <c r="M366" t="s">
        <v>30</v>
      </c>
      <c r="N366" t="s">
        <v>37</v>
      </c>
      <c r="O366">
        <f>Table1[[#All],[Quantity]]*Table1[[#All],[Unit Price (?)]]</f>
        <v>3252.65</v>
      </c>
      <c r="P366" t="str">
        <f>TEXT(Table1[[#All],[Order Date]],"dddd")</f>
        <v>Thursday</v>
      </c>
      <c r="Q366" t="str">
        <f>TEXT(Table1[[#All],[Order Date]],"mmm")</f>
        <v>Feb</v>
      </c>
      <c r="R366" t="str">
        <f>IF(Table1[[#All],[Total Price (?)]]&gt;1000,"High Value","Normal")</f>
        <v>High Value</v>
      </c>
    </row>
    <row r="367" spans="1:18" x14ac:dyDescent="0.3">
      <c r="A367" t="s">
        <v>428</v>
      </c>
      <c r="B367" s="1">
        <v>45829</v>
      </c>
      <c r="C367" t="s">
        <v>15</v>
      </c>
      <c r="D367" t="s">
        <v>25</v>
      </c>
      <c r="E367" t="s">
        <v>17</v>
      </c>
      <c r="F367" t="s">
        <v>40</v>
      </c>
      <c r="G367">
        <v>3</v>
      </c>
      <c r="H367">
        <v>346.72</v>
      </c>
      <c r="I367">
        <v>0.06</v>
      </c>
      <c r="J367">
        <v>977.75</v>
      </c>
      <c r="K367" t="s">
        <v>19</v>
      </c>
      <c r="L367" t="s">
        <v>34</v>
      </c>
      <c r="M367" t="s">
        <v>21</v>
      </c>
      <c r="N367" t="s">
        <v>22</v>
      </c>
      <c r="O367">
        <f>Table1[[#All],[Quantity]]*Table1[[#All],[Unit Price (?)]]</f>
        <v>1040.1600000000001</v>
      </c>
      <c r="P367" t="str">
        <f>TEXT(Table1[[#All],[Order Date]],"dddd")</f>
        <v>Saturday</v>
      </c>
      <c r="Q367" t="str">
        <f>TEXT(Table1[[#All],[Order Date]],"mmm")</f>
        <v>Jun</v>
      </c>
      <c r="R367" t="str">
        <f>IF(Table1[[#All],[Total Price (?)]]&gt;1000,"High Value","Normal")</f>
        <v>Normal</v>
      </c>
    </row>
    <row r="368" spans="1:18" x14ac:dyDescent="0.3">
      <c r="A368" t="s">
        <v>429</v>
      </c>
      <c r="B368" s="1">
        <v>45839</v>
      </c>
      <c r="C368" t="s">
        <v>48</v>
      </c>
      <c r="D368" t="s">
        <v>16</v>
      </c>
      <c r="E368" t="s">
        <v>61</v>
      </c>
      <c r="F368" t="s">
        <v>62</v>
      </c>
      <c r="G368">
        <v>4</v>
      </c>
      <c r="H368">
        <v>531.29999999999995</v>
      </c>
      <c r="I368">
        <v>0.12</v>
      </c>
      <c r="J368">
        <v>1870.18</v>
      </c>
      <c r="K368" t="s">
        <v>41</v>
      </c>
      <c r="L368" t="s">
        <v>29</v>
      </c>
      <c r="M368" t="s">
        <v>30</v>
      </c>
      <c r="N368" t="s">
        <v>59</v>
      </c>
      <c r="O368">
        <f>Table1[[#All],[Quantity]]*Table1[[#All],[Unit Price (?)]]</f>
        <v>2125.1999999999998</v>
      </c>
      <c r="P368" t="str">
        <f>TEXT(Table1[[#All],[Order Date]],"dddd")</f>
        <v>Tuesday</v>
      </c>
      <c r="Q368" t="str">
        <f>TEXT(Table1[[#All],[Order Date]],"mmm")</f>
        <v>Jul</v>
      </c>
      <c r="R368" t="str">
        <f>IF(Table1[[#All],[Total Price (?)]]&gt;1000,"High Value","Normal")</f>
        <v>High Value</v>
      </c>
    </row>
    <row r="369" spans="1:18" x14ac:dyDescent="0.3">
      <c r="A369" t="s">
        <v>430</v>
      </c>
      <c r="B369" s="1">
        <v>45674</v>
      </c>
      <c r="C369" t="s">
        <v>48</v>
      </c>
      <c r="D369" t="s">
        <v>39</v>
      </c>
      <c r="E369" t="s">
        <v>17</v>
      </c>
      <c r="F369" t="s">
        <v>18</v>
      </c>
      <c r="G369">
        <v>5</v>
      </c>
      <c r="H369">
        <v>2790.58</v>
      </c>
      <c r="I369">
        <v>0.21</v>
      </c>
      <c r="J369">
        <v>11022.79</v>
      </c>
      <c r="K369" t="s">
        <v>41</v>
      </c>
      <c r="L369" t="s">
        <v>20</v>
      </c>
      <c r="M369" t="s">
        <v>21</v>
      </c>
      <c r="N369" t="s">
        <v>37</v>
      </c>
      <c r="O369">
        <f>Table1[[#All],[Quantity]]*Table1[[#All],[Unit Price (?)]]</f>
        <v>13952.9</v>
      </c>
      <c r="P369" t="str">
        <f>TEXT(Table1[[#All],[Order Date]],"dddd")</f>
        <v>Friday</v>
      </c>
      <c r="Q369" t="str">
        <f>TEXT(Table1[[#All],[Order Date]],"mmm")</f>
        <v>Jan</v>
      </c>
      <c r="R369" t="str">
        <f>IF(Table1[[#All],[Total Price (?)]]&gt;1000,"High Value","Normal")</f>
        <v>High Value</v>
      </c>
    </row>
    <row r="370" spans="1:18" x14ac:dyDescent="0.3">
      <c r="A370" t="s">
        <v>431</v>
      </c>
      <c r="B370" s="1">
        <v>45746</v>
      </c>
      <c r="C370" t="s">
        <v>48</v>
      </c>
      <c r="D370" t="s">
        <v>25</v>
      </c>
      <c r="E370" t="s">
        <v>27</v>
      </c>
      <c r="F370" t="s">
        <v>68</v>
      </c>
      <c r="G370">
        <v>1</v>
      </c>
      <c r="H370">
        <v>4101.28</v>
      </c>
      <c r="I370">
        <v>0.21</v>
      </c>
      <c r="J370">
        <v>3240.01</v>
      </c>
      <c r="K370" t="s">
        <v>46</v>
      </c>
      <c r="L370" t="s">
        <v>34</v>
      </c>
      <c r="M370" t="s">
        <v>30</v>
      </c>
      <c r="N370" t="s">
        <v>22</v>
      </c>
      <c r="O370">
        <f>Table1[[#All],[Quantity]]*Table1[[#All],[Unit Price (?)]]</f>
        <v>4101.28</v>
      </c>
      <c r="P370" t="str">
        <f>TEXT(Table1[[#All],[Order Date]],"dddd")</f>
        <v>Sunday</v>
      </c>
      <c r="Q370" t="str">
        <f>TEXT(Table1[[#All],[Order Date]],"mmm")</f>
        <v>Mar</v>
      </c>
      <c r="R370" t="str">
        <f>IF(Table1[[#All],[Total Price (?)]]&gt;1000,"High Value","Normal")</f>
        <v>High Value</v>
      </c>
    </row>
    <row r="371" spans="1:18" x14ac:dyDescent="0.3">
      <c r="A371" t="s">
        <v>432</v>
      </c>
      <c r="B371" s="1">
        <v>45816</v>
      </c>
      <c r="C371" t="s">
        <v>24</v>
      </c>
      <c r="D371" t="s">
        <v>39</v>
      </c>
      <c r="E371" t="s">
        <v>99</v>
      </c>
      <c r="F371" t="s">
        <v>115</v>
      </c>
      <c r="G371">
        <v>2</v>
      </c>
      <c r="H371">
        <v>110.77</v>
      </c>
      <c r="I371">
        <v>0.09</v>
      </c>
      <c r="J371">
        <v>201.6</v>
      </c>
      <c r="K371" t="s">
        <v>58</v>
      </c>
      <c r="L371" t="s">
        <v>29</v>
      </c>
      <c r="M371" t="s">
        <v>21</v>
      </c>
      <c r="N371" t="s">
        <v>22</v>
      </c>
      <c r="O371">
        <f>Table1[[#All],[Quantity]]*Table1[[#All],[Unit Price (?)]]</f>
        <v>221.54</v>
      </c>
      <c r="P371" t="str">
        <f>TEXT(Table1[[#All],[Order Date]],"dddd")</f>
        <v>Sunday</v>
      </c>
      <c r="Q371" t="str">
        <f>TEXT(Table1[[#All],[Order Date]],"mmm")</f>
        <v>Jun</v>
      </c>
      <c r="R371" t="str">
        <f>IF(Table1[[#All],[Total Price (?)]]&gt;1000,"High Value","Normal")</f>
        <v>Normal</v>
      </c>
    </row>
    <row r="372" spans="1:18" x14ac:dyDescent="0.3">
      <c r="A372" t="s">
        <v>433</v>
      </c>
      <c r="B372" s="1">
        <v>45827</v>
      </c>
      <c r="C372" t="s">
        <v>24</v>
      </c>
      <c r="D372" t="s">
        <v>16</v>
      </c>
      <c r="E372" t="s">
        <v>99</v>
      </c>
      <c r="F372" t="s">
        <v>120</v>
      </c>
      <c r="G372">
        <v>2</v>
      </c>
      <c r="H372">
        <v>4127.01</v>
      </c>
      <c r="I372">
        <v>0.19</v>
      </c>
      <c r="J372">
        <v>6685.76</v>
      </c>
      <c r="K372" t="s">
        <v>19</v>
      </c>
      <c r="L372" t="s">
        <v>34</v>
      </c>
      <c r="M372" t="s">
        <v>30</v>
      </c>
      <c r="N372" t="s">
        <v>22</v>
      </c>
      <c r="O372">
        <f>Table1[[#All],[Quantity]]*Table1[[#All],[Unit Price (?)]]</f>
        <v>8254.02</v>
      </c>
      <c r="P372" t="str">
        <f>TEXT(Table1[[#All],[Order Date]],"dddd")</f>
        <v>Thursday</v>
      </c>
      <c r="Q372" t="str">
        <f>TEXT(Table1[[#All],[Order Date]],"mmm")</f>
        <v>Jun</v>
      </c>
      <c r="R372" t="str">
        <f>IF(Table1[[#All],[Total Price (?)]]&gt;1000,"High Value","Normal")</f>
        <v>High Value</v>
      </c>
    </row>
    <row r="373" spans="1:18" x14ac:dyDescent="0.3">
      <c r="A373" t="s">
        <v>434</v>
      </c>
      <c r="B373" s="1">
        <v>45826</v>
      </c>
      <c r="C373" t="s">
        <v>24</v>
      </c>
      <c r="D373" t="s">
        <v>16</v>
      </c>
      <c r="E373" t="s">
        <v>61</v>
      </c>
      <c r="F373" t="s">
        <v>75</v>
      </c>
      <c r="G373">
        <v>4</v>
      </c>
      <c r="H373">
        <v>4140.32</v>
      </c>
      <c r="I373">
        <v>0.05</v>
      </c>
      <c r="J373">
        <v>15733.22</v>
      </c>
      <c r="K373" t="s">
        <v>41</v>
      </c>
      <c r="L373" t="s">
        <v>20</v>
      </c>
      <c r="M373" t="s">
        <v>30</v>
      </c>
      <c r="N373" t="s">
        <v>88</v>
      </c>
      <c r="O373">
        <f>Table1[[#All],[Quantity]]*Table1[[#All],[Unit Price (?)]]</f>
        <v>16561.28</v>
      </c>
      <c r="P373" t="str">
        <f>TEXT(Table1[[#All],[Order Date]],"dddd")</f>
        <v>Wednesday</v>
      </c>
      <c r="Q373" t="str">
        <f>TEXT(Table1[[#All],[Order Date]],"mmm")</f>
        <v>Jun</v>
      </c>
      <c r="R373" t="str">
        <f>IF(Table1[[#All],[Total Price (?)]]&gt;1000,"High Value","Normal")</f>
        <v>High Value</v>
      </c>
    </row>
    <row r="374" spans="1:18" x14ac:dyDescent="0.3">
      <c r="A374" t="s">
        <v>435</v>
      </c>
      <c r="B374" s="1">
        <v>45766</v>
      </c>
      <c r="C374" t="s">
        <v>48</v>
      </c>
      <c r="D374" t="s">
        <v>16</v>
      </c>
      <c r="E374" t="s">
        <v>17</v>
      </c>
      <c r="F374" t="s">
        <v>18</v>
      </c>
      <c r="G374">
        <v>5</v>
      </c>
      <c r="H374">
        <v>4785.33</v>
      </c>
      <c r="I374">
        <v>0.03</v>
      </c>
      <c r="J374">
        <v>23208.85</v>
      </c>
      <c r="K374" t="s">
        <v>41</v>
      </c>
      <c r="L374" t="s">
        <v>29</v>
      </c>
      <c r="M374" t="s">
        <v>30</v>
      </c>
      <c r="N374" t="s">
        <v>22</v>
      </c>
      <c r="O374">
        <f>Table1[[#All],[Quantity]]*Table1[[#All],[Unit Price (?)]]</f>
        <v>23926.65</v>
      </c>
      <c r="P374" t="str">
        <f>TEXT(Table1[[#All],[Order Date]],"dddd")</f>
        <v>Saturday</v>
      </c>
      <c r="Q374" t="str">
        <f>TEXT(Table1[[#All],[Order Date]],"mmm")</f>
        <v>Apr</v>
      </c>
      <c r="R374" t="str">
        <f>IF(Table1[[#All],[Total Price (?)]]&gt;1000,"High Value","Normal")</f>
        <v>High Value</v>
      </c>
    </row>
    <row r="375" spans="1:18" x14ac:dyDescent="0.3">
      <c r="A375" t="s">
        <v>436</v>
      </c>
      <c r="B375" s="1">
        <v>45679</v>
      </c>
      <c r="C375" t="s">
        <v>36</v>
      </c>
      <c r="D375" t="s">
        <v>16</v>
      </c>
      <c r="E375" t="s">
        <v>17</v>
      </c>
      <c r="F375" t="s">
        <v>40</v>
      </c>
      <c r="G375">
        <v>2</v>
      </c>
      <c r="H375">
        <v>3489.91</v>
      </c>
      <c r="I375">
        <v>0.04</v>
      </c>
      <c r="J375">
        <v>6700.63</v>
      </c>
      <c r="K375" t="s">
        <v>41</v>
      </c>
      <c r="L375" t="s">
        <v>29</v>
      </c>
      <c r="M375" t="s">
        <v>54</v>
      </c>
      <c r="N375" t="s">
        <v>22</v>
      </c>
      <c r="O375">
        <f>Table1[[#All],[Quantity]]*Table1[[#All],[Unit Price (?)]]</f>
        <v>6979.82</v>
      </c>
      <c r="P375" t="str">
        <f>TEXT(Table1[[#All],[Order Date]],"dddd")</f>
        <v>Wednesday</v>
      </c>
      <c r="Q375" t="str">
        <f>TEXT(Table1[[#All],[Order Date]],"mmm")</f>
        <v>Jan</v>
      </c>
      <c r="R375" t="str">
        <f>IF(Table1[[#All],[Total Price (?)]]&gt;1000,"High Value","Normal")</f>
        <v>High Value</v>
      </c>
    </row>
    <row r="376" spans="1:18" x14ac:dyDescent="0.3">
      <c r="A376" t="s">
        <v>437</v>
      </c>
      <c r="B376" s="1">
        <v>45669</v>
      </c>
      <c r="C376" t="s">
        <v>36</v>
      </c>
      <c r="D376" t="s">
        <v>25</v>
      </c>
      <c r="E376" t="s">
        <v>27</v>
      </c>
      <c r="F376" t="s">
        <v>28</v>
      </c>
      <c r="G376">
        <v>5</v>
      </c>
      <c r="H376">
        <v>4587.96</v>
      </c>
      <c r="I376">
        <v>0.19</v>
      </c>
      <c r="J376">
        <v>18581.240000000002</v>
      </c>
      <c r="K376" t="s">
        <v>41</v>
      </c>
      <c r="L376" t="s">
        <v>34</v>
      </c>
      <c r="M376" t="s">
        <v>30</v>
      </c>
      <c r="N376" t="s">
        <v>59</v>
      </c>
      <c r="O376">
        <f>Table1[[#All],[Quantity]]*Table1[[#All],[Unit Price (?)]]</f>
        <v>22939.8</v>
      </c>
      <c r="P376" t="str">
        <f>TEXT(Table1[[#All],[Order Date]],"dddd")</f>
        <v>Sunday</v>
      </c>
      <c r="Q376" t="str">
        <f>TEXT(Table1[[#All],[Order Date]],"mmm")</f>
        <v>Jan</v>
      </c>
      <c r="R376" t="str">
        <f>IF(Table1[[#All],[Total Price (?)]]&gt;1000,"High Value","Normal")</f>
        <v>High Value</v>
      </c>
    </row>
    <row r="377" spans="1:18" x14ac:dyDescent="0.3">
      <c r="A377" t="s">
        <v>438</v>
      </c>
      <c r="B377" s="1">
        <v>45786</v>
      </c>
      <c r="C377" t="s">
        <v>52</v>
      </c>
      <c r="D377" t="s">
        <v>39</v>
      </c>
      <c r="E377" t="s">
        <v>99</v>
      </c>
      <c r="F377" t="s">
        <v>115</v>
      </c>
      <c r="G377">
        <v>5</v>
      </c>
      <c r="H377">
        <v>3530.07</v>
      </c>
      <c r="I377">
        <v>0.19</v>
      </c>
      <c r="J377">
        <v>14296.78</v>
      </c>
      <c r="K377" t="s">
        <v>19</v>
      </c>
      <c r="L377" t="s">
        <v>34</v>
      </c>
      <c r="M377" t="s">
        <v>30</v>
      </c>
      <c r="N377" t="s">
        <v>22</v>
      </c>
      <c r="O377">
        <f>Table1[[#All],[Quantity]]*Table1[[#All],[Unit Price (?)]]</f>
        <v>17650.350000000002</v>
      </c>
      <c r="P377" t="str">
        <f>TEXT(Table1[[#All],[Order Date]],"dddd")</f>
        <v>Friday</v>
      </c>
      <c r="Q377" t="str">
        <f>TEXT(Table1[[#All],[Order Date]],"mmm")</f>
        <v>May</v>
      </c>
      <c r="R377" t="str">
        <f>IF(Table1[[#All],[Total Price (?)]]&gt;1000,"High Value","Normal")</f>
        <v>High Value</v>
      </c>
    </row>
    <row r="378" spans="1:18" x14ac:dyDescent="0.3">
      <c r="A378" t="s">
        <v>439</v>
      </c>
      <c r="B378" s="1">
        <v>45764</v>
      </c>
      <c r="C378" t="s">
        <v>52</v>
      </c>
      <c r="D378" t="s">
        <v>43</v>
      </c>
      <c r="E378" t="s">
        <v>27</v>
      </c>
      <c r="F378" t="s">
        <v>68</v>
      </c>
      <c r="G378">
        <v>3</v>
      </c>
      <c r="H378">
        <v>3464.4</v>
      </c>
      <c r="I378">
        <v>0.23</v>
      </c>
      <c r="J378">
        <v>8002.76</v>
      </c>
      <c r="K378" t="s">
        <v>19</v>
      </c>
      <c r="L378" t="s">
        <v>29</v>
      </c>
      <c r="M378" t="s">
        <v>54</v>
      </c>
      <c r="N378" t="s">
        <v>22</v>
      </c>
      <c r="O378">
        <f>Table1[[#All],[Quantity]]*Table1[[#All],[Unit Price (?)]]</f>
        <v>10393.200000000001</v>
      </c>
      <c r="P378" t="str">
        <f>TEXT(Table1[[#All],[Order Date]],"dddd")</f>
        <v>Thursday</v>
      </c>
      <c r="Q378" t="str">
        <f>TEXT(Table1[[#All],[Order Date]],"mmm")</f>
        <v>Apr</v>
      </c>
      <c r="R378" t="str">
        <f>IF(Table1[[#All],[Total Price (?)]]&gt;1000,"High Value","Normal")</f>
        <v>High Value</v>
      </c>
    </row>
    <row r="379" spans="1:18" x14ac:dyDescent="0.3">
      <c r="A379" t="s">
        <v>440</v>
      </c>
      <c r="B379" s="1">
        <v>45822</v>
      </c>
      <c r="C379" t="s">
        <v>15</v>
      </c>
      <c r="D379" t="s">
        <v>39</v>
      </c>
      <c r="E379" t="s">
        <v>99</v>
      </c>
      <c r="F379" t="s">
        <v>120</v>
      </c>
      <c r="G379">
        <v>5</v>
      </c>
      <c r="H379">
        <v>2896.13</v>
      </c>
      <c r="I379">
        <v>0.17</v>
      </c>
      <c r="J379">
        <v>12018.94</v>
      </c>
      <c r="K379" t="s">
        <v>33</v>
      </c>
      <c r="L379" t="s">
        <v>34</v>
      </c>
      <c r="M379" t="s">
        <v>30</v>
      </c>
      <c r="N379" t="s">
        <v>37</v>
      </c>
      <c r="O379">
        <f>Table1[[#All],[Quantity]]*Table1[[#All],[Unit Price (?)]]</f>
        <v>14480.650000000001</v>
      </c>
      <c r="P379" t="str">
        <f>TEXT(Table1[[#All],[Order Date]],"dddd")</f>
        <v>Saturday</v>
      </c>
      <c r="Q379" t="str">
        <f>TEXT(Table1[[#All],[Order Date]],"mmm")</f>
        <v>Jun</v>
      </c>
      <c r="R379" t="str">
        <f>IF(Table1[[#All],[Total Price (?)]]&gt;1000,"High Value","Normal")</f>
        <v>High Value</v>
      </c>
    </row>
    <row r="380" spans="1:18" x14ac:dyDescent="0.3">
      <c r="A380" t="s">
        <v>441</v>
      </c>
      <c r="B380" s="1">
        <v>45662</v>
      </c>
      <c r="C380" t="s">
        <v>36</v>
      </c>
      <c r="D380" t="s">
        <v>39</v>
      </c>
      <c r="E380" t="s">
        <v>49</v>
      </c>
      <c r="F380" t="s">
        <v>56</v>
      </c>
      <c r="G380">
        <v>4</v>
      </c>
      <c r="H380">
        <v>812.1</v>
      </c>
      <c r="I380">
        <v>0.17</v>
      </c>
      <c r="J380">
        <v>2696.17</v>
      </c>
      <c r="K380" t="s">
        <v>58</v>
      </c>
      <c r="L380" t="s">
        <v>20</v>
      </c>
      <c r="M380" t="s">
        <v>54</v>
      </c>
      <c r="N380" t="s">
        <v>88</v>
      </c>
      <c r="O380">
        <f>Table1[[#All],[Quantity]]*Table1[[#All],[Unit Price (?)]]</f>
        <v>3248.4</v>
      </c>
      <c r="P380" t="str">
        <f>TEXT(Table1[[#All],[Order Date]],"dddd")</f>
        <v>Sunday</v>
      </c>
      <c r="Q380" t="str">
        <f>TEXT(Table1[[#All],[Order Date]],"mmm")</f>
        <v>Jan</v>
      </c>
      <c r="R380" t="str">
        <f>IF(Table1[[#All],[Total Price (?)]]&gt;1000,"High Value","Normal")</f>
        <v>High Value</v>
      </c>
    </row>
    <row r="381" spans="1:18" x14ac:dyDescent="0.3">
      <c r="A381" t="s">
        <v>442</v>
      </c>
      <c r="B381" s="1">
        <v>45678</v>
      </c>
      <c r="C381" t="s">
        <v>15</v>
      </c>
      <c r="D381" t="s">
        <v>25</v>
      </c>
      <c r="E381" t="s">
        <v>61</v>
      </c>
      <c r="F381" t="s">
        <v>66</v>
      </c>
      <c r="G381">
        <v>3</v>
      </c>
      <c r="H381">
        <v>1099.5999999999999</v>
      </c>
      <c r="I381">
        <v>0.14000000000000001</v>
      </c>
      <c r="J381">
        <v>2836.97</v>
      </c>
      <c r="K381" t="s">
        <v>19</v>
      </c>
      <c r="L381" t="s">
        <v>20</v>
      </c>
      <c r="M381" t="s">
        <v>30</v>
      </c>
      <c r="N381" t="s">
        <v>22</v>
      </c>
      <c r="O381">
        <f>Table1[[#All],[Quantity]]*Table1[[#All],[Unit Price (?)]]</f>
        <v>3298.7999999999997</v>
      </c>
      <c r="P381" t="str">
        <f>TEXT(Table1[[#All],[Order Date]],"dddd")</f>
        <v>Tuesday</v>
      </c>
      <c r="Q381" t="str">
        <f>TEXT(Table1[[#All],[Order Date]],"mmm")</f>
        <v>Jan</v>
      </c>
      <c r="R381" t="str">
        <f>IF(Table1[[#All],[Total Price (?)]]&gt;1000,"High Value","Normal")</f>
        <v>High Value</v>
      </c>
    </row>
    <row r="382" spans="1:18" x14ac:dyDescent="0.3">
      <c r="A382" t="s">
        <v>443</v>
      </c>
      <c r="B382" s="1">
        <v>45839</v>
      </c>
      <c r="C382" t="s">
        <v>36</v>
      </c>
      <c r="D382" t="s">
        <v>16</v>
      </c>
      <c r="E382" t="s">
        <v>27</v>
      </c>
      <c r="F382" t="s">
        <v>68</v>
      </c>
      <c r="G382">
        <v>5</v>
      </c>
      <c r="H382">
        <v>3943.11</v>
      </c>
      <c r="I382">
        <v>0.2</v>
      </c>
      <c r="J382">
        <v>15772.44</v>
      </c>
      <c r="K382" t="s">
        <v>41</v>
      </c>
      <c r="L382" t="s">
        <v>20</v>
      </c>
      <c r="M382" t="s">
        <v>30</v>
      </c>
      <c r="N382" t="s">
        <v>37</v>
      </c>
      <c r="O382">
        <f>Table1[[#All],[Quantity]]*Table1[[#All],[Unit Price (?)]]</f>
        <v>19715.55</v>
      </c>
      <c r="P382" t="str">
        <f>TEXT(Table1[[#All],[Order Date]],"dddd")</f>
        <v>Tuesday</v>
      </c>
      <c r="Q382" t="str">
        <f>TEXT(Table1[[#All],[Order Date]],"mmm")</f>
        <v>Jul</v>
      </c>
      <c r="R382" t="str">
        <f>IF(Table1[[#All],[Total Price (?)]]&gt;1000,"High Value","Normal")</f>
        <v>High Value</v>
      </c>
    </row>
    <row r="383" spans="1:18" x14ac:dyDescent="0.3">
      <c r="A383" t="s">
        <v>444</v>
      </c>
      <c r="B383" s="1">
        <v>45806</v>
      </c>
      <c r="C383" t="s">
        <v>15</v>
      </c>
      <c r="D383" t="s">
        <v>43</v>
      </c>
      <c r="E383" t="s">
        <v>49</v>
      </c>
      <c r="F383" t="s">
        <v>50</v>
      </c>
      <c r="G383">
        <v>1</v>
      </c>
      <c r="H383">
        <v>3743.98</v>
      </c>
      <c r="I383">
        <v>0.05</v>
      </c>
      <c r="J383">
        <v>3556.78</v>
      </c>
      <c r="K383" t="s">
        <v>33</v>
      </c>
      <c r="L383" t="s">
        <v>20</v>
      </c>
      <c r="M383" t="s">
        <v>30</v>
      </c>
      <c r="N383" t="s">
        <v>37</v>
      </c>
      <c r="O383">
        <f>Table1[[#All],[Quantity]]*Table1[[#All],[Unit Price (?)]]</f>
        <v>3743.98</v>
      </c>
      <c r="P383" t="str">
        <f>TEXT(Table1[[#All],[Order Date]],"dddd")</f>
        <v>Thursday</v>
      </c>
      <c r="Q383" t="str">
        <f>TEXT(Table1[[#All],[Order Date]],"mmm")</f>
        <v>May</v>
      </c>
      <c r="R383" t="str">
        <f>IF(Table1[[#All],[Total Price (?)]]&gt;1000,"High Value","Normal")</f>
        <v>High Value</v>
      </c>
    </row>
    <row r="384" spans="1:18" x14ac:dyDescent="0.3">
      <c r="A384" t="s">
        <v>445</v>
      </c>
      <c r="B384" s="1">
        <v>45824</v>
      </c>
      <c r="C384" t="s">
        <v>52</v>
      </c>
      <c r="D384" t="s">
        <v>16</v>
      </c>
      <c r="E384" t="s">
        <v>99</v>
      </c>
      <c r="F384" t="s">
        <v>100</v>
      </c>
      <c r="G384">
        <v>2</v>
      </c>
      <c r="H384">
        <v>4918.92</v>
      </c>
      <c r="I384">
        <v>0.02</v>
      </c>
      <c r="J384">
        <v>9641.08</v>
      </c>
      <c r="K384" t="s">
        <v>46</v>
      </c>
      <c r="L384" t="s">
        <v>34</v>
      </c>
      <c r="M384" t="s">
        <v>54</v>
      </c>
      <c r="N384" t="s">
        <v>22</v>
      </c>
      <c r="O384">
        <f>Table1[[#All],[Quantity]]*Table1[[#All],[Unit Price (?)]]</f>
        <v>9837.84</v>
      </c>
      <c r="P384" t="str">
        <f>TEXT(Table1[[#All],[Order Date]],"dddd")</f>
        <v>Monday</v>
      </c>
      <c r="Q384" t="str">
        <f>TEXT(Table1[[#All],[Order Date]],"mmm")</f>
        <v>Jun</v>
      </c>
      <c r="R384" t="str">
        <f>IF(Table1[[#All],[Total Price (?)]]&gt;1000,"High Value","Normal")</f>
        <v>High Value</v>
      </c>
    </row>
    <row r="385" spans="1:18" x14ac:dyDescent="0.3">
      <c r="A385" t="s">
        <v>446</v>
      </c>
      <c r="B385" s="1">
        <v>45705</v>
      </c>
      <c r="C385" t="s">
        <v>36</v>
      </c>
      <c r="D385" t="s">
        <v>25</v>
      </c>
      <c r="E385" t="s">
        <v>49</v>
      </c>
      <c r="F385" t="s">
        <v>53</v>
      </c>
      <c r="G385">
        <v>2</v>
      </c>
      <c r="H385">
        <v>2961.53</v>
      </c>
      <c r="I385">
        <v>0.06</v>
      </c>
      <c r="J385">
        <v>5567.68</v>
      </c>
      <c r="K385" t="s">
        <v>46</v>
      </c>
      <c r="L385" t="s">
        <v>20</v>
      </c>
      <c r="M385" t="s">
        <v>30</v>
      </c>
      <c r="N385" t="s">
        <v>22</v>
      </c>
      <c r="O385">
        <f>Table1[[#All],[Quantity]]*Table1[[#All],[Unit Price (?)]]</f>
        <v>5923.06</v>
      </c>
      <c r="P385" t="str">
        <f>TEXT(Table1[[#All],[Order Date]],"dddd")</f>
        <v>Monday</v>
      </c>
      <c r="Q385" t="str">
        <f>TEXT(Table1[[#All],[Order Date]],"mmm")</f>
        <v>Feb</v>
      </c>
      <c r="R385" t="str">
        <f>IF(Table1[[#All],[Total Price (?)]]&gt;1000,"High Value","Normal")</f>
        <v>High Value</v>
      </c>
    </row>
    <row r="386" spans="1:18" x14ac:dyDescent="0.3">
      <c r="A386" t="s">
        <v>447</v>
      </c>
      <c r="B386" s="1">
        <v>45692</v>
      </c>
      <c r="C386" t="s">
        <v>52</v>
      </c>
      <c r="D386" t="s">
        <v>39</v>
      </c>
      <c r="E386" t="s">
        <v>61</v>
      </c>
      <c r="F386" t="s">
        <v>62</v>
      </c>
      <c r="G386">
        <v>1</v>
      </c>
      <c r="H386">
        <v>3890.94</v>
      </c>
      <c r="I386">
        <v>0.16</v>
      </c>
      <c r="J386">
        <v>3268.39</v>
      </c>
      <c r="K386" t="s">
        <v>46</v>
      </c>
      <c r="L386" t="s">
        <v>29</v>
      </c>
      <c r="M386" t="s">
        <v>21</v>
      </c>
      <c r="N386" t="s">
        <v>22</v>
      </c>
      <c r="O386">
        <f>Table1[[#All],[Quantity]]*Table1[[#All],[Unit Price (?)]]</f>
        <v>3890.94</v>
      </c>
      <c r="P386" t="str">
        <f>TEXT(Table1[[#All],[Order Date]],"dddd")</f>
        <v>Tuesday</v>
      </c>
      <c r="Q386" t="str">
        <f>TEXT(Table1[[#All],[Order Date]],"mmm")</f>
        <v>Feb</v>
      </c>
      <c r="R386" t="str">
        <f>IF(Table1[[#All],[Total Price (?)]]&gt;1000,"High Value","Normal")</f>
        <v>High Value</v>
      </c>
    </row>
    <row r="387" spans="1:18" x14ac:dyDescent="0.3">
      <c r="A387" t="s">
        <v>448</v>
      </c>
      <c r="B387" s="1">
        <v>45738</v>
      </c>
      <c r="C387" t="s">
        <v>24</v>
      </c>
      <c r="D387" t="s">
        <v>43</v>
      </c>
      <c r="E387" t="s">
        <v>27</v>
      </c>
      <c r="F387" t="s">
        <v>28</v>
      </c>
      <c r="G387">
        <v>2</v>
      </c>
      <c r="H387">
        <v>4789.24</v>
      </c>
      <c r="I387">
        <v>0.13</v>
      </c>
      <c r="J387">
        <v>8333.2800000000007</v>
      </c>
      <c r="K387" t="s">
        <v>46</v>
      </c>
      <c r="L387" t="s">
        <v>29</v>
      </c>
      <c r="M387" t="s">
        <v>21</v>
      </c>
      <c r="N387" t="s">
        <v>22</v>
      </c>
      <c r="O387">
        <f>Table1[[#All],[Quantity]]*Table1[[#All],[Unit Price (?)]]</f>
        <v>9578.48</v>
      </c>
      <c r="P387" t="str">
        <f>TEXT(Table1[[#All],[Order Date]],"dddd")</f>
        <v>Saturday</v>
      </c>
      <c r="Q387" t="str">
        <f>TEXT(Table1[[#All],[Order Date]],"mmm")</f>
        <v>Mar</v>
      </c>
      <c r="R387" t="str">
        <f>IF(Table1[[#All],[Total Price (?)]]&gt;1000,"High Value","Normal")</f>
        <v>High Value</v>
      </c>
    </row>
    <row r="388" spans="1:18" x14ac:dyDescent="0.3">
      <c r="A388" t="s">
        <v>449</v>
      </c>
      <c r="B388" s="1">
        <v>45754</v>
      </c>
      <c r="C388" t="s">
        <v>24</v>
      </c>
      <c r="D388" t="s">
        <v>43</v>
      </c>
      <c r="E388" t="s">
        <v>27</v>
      </c>
      <c r="F388" t="s">
        <v>87</v>
      </c>
      <c r="G388">
        <v>2</v>
      </c>
      <c r="H388">
        <v>3350.34</v>
      </c>
      <c r="I388">
        <v>0.08</v>
      </c>
      <c r="J388">
        <v>6164.63</v>
      </c>
      <c r="K388" t="s">
        <v>46</v>
      </c>
      <c r="L388" t="s">
        <v>20</v>
      </c>
      <c r="M388" t="s">
        <v>30</v>
      </c>
      <c r="N388" t="s">
        <v>59</v>
      </c>
      <c r="O388">
        <f>Table1[[#All],[Quantity]]*Table1[[#All],[Unit Price (?)]]</f>
        <v>6700.68</v>
      </c>
      <c r="P388" t="str">
        <f>TEXT(Table1[[#All],[Order Date]],"dddd")</f>
        <v>Monday</v>
      </c>
      <c r="Q388" t="str">
        <f>TEXT(Table1[[#All],[Order Date]],"mmm")</f>
        <v>Apr</v>
      </c>
      <c r="R388" t="str">
        <f>IF(Table1[[#All],[Total Price (?)]]&gt;1000,"High Value","Normal")</f>
        <v>High Value</v>
      </c>
    </row>
    <row r="389" spans="1:18" x14ac:dyDescent="0.3">
      <c r="A389" t="s">
        <v>450</v>
      </c>
      <c r="B389" s="1">
        <v>45753</v>
      </c>
      <c r="C389" t="s">
        <v>36</v>
      </c>
      <c r="D389" t="s">
        <v>43</v>
      </c>
      <c r="E389" t="s">
        <v>27</v>
      </c>
      <c r="F389" t="s">
        <v>87</v>
      </c>
      <c r="G389">
        <v>3</v>
      </c>
      <c r="H389">
        <v>2283.77</v>
      </c>
      <c r="I389">
        <v>0.23</v>
      </c>
      <c r="J389">
        <v>5275.51</v>
      </c>
      <c r="K389" t="s">
        <v>58</v>
      </c>
      <c r="L389" t="s">
        <v>20</v>
      </c>
      <c r="M389" t="s">
        <v>21</v>
      </c>
      <c r="N389" t="s">
        <v>59</v>
      </c>
      <c r="O389">
        <f>Table1[[#All],[Quantity]]*Table1[[#All],[Unit Price (?)]]</f>
        <v>6851.3099999999995</v>
      </c>
      <c r="P389" t="str">
        <f>TEXT(Table1[[#All],[Order Date]],"dddd")</f>
        <v>Sunday</v>
      </c>
      <c r="Q389" t="str">
        <f>TEXT(Table1[[#All],[Order Date]],"mmm")</f>
        <v>Apr</v>
      </c>
      <c r="R389" t="str">
        <f>IF(Table1[[#All],[Total Price (?)]]&gt;1000,"High Value","Normal")</f>
        <v>High Value</v>
      </c>
    </row>
    <row r="390" spans="1:18" x14ac:dyDescent="0.3">
      <c r="A390" t="s">
        <v>451</v>
      </c>
      <c r="B390" s="1">
        <v>45701</v>
      </c>
      <c r="C390" t="s">
        <v>24</v>
      </c>
      <c r="D390" t="s">
        <v>39</v>
      </c>
      <c r="E390" t="s">
        <v>99</v>
      </c>
      <c r="F390" t="s">
        <v>115</v>
      </c>
      <c r="G390">
        <v>5</v>
      </c>
      <c r="H390">
        <v>3647.48</v>
      </c>
      <c r="I390">
        <v>0.01</v>
      </c>
      <c r="J390">
        <v>18055.03</v>
      </c>
      <c r="K390" t="s">
        <v>41</v>
      </c>
      <c r="L390" t="s">
        <v>34</v>
      </c>
      <c r="M390" t="s">
        <v>21</v>
      </c>
      <c r="N390" t="s">
        <v>22</v>
      </c>
      <c r="O390">
        <f>Table1[[#All],[Quantity]]*Table1[[#All],[Unit Price (?)]]</f>
        <v>18237.400000000001</v>
      </c>
      <c r="P390" t="str">
        <f>TEXT(Table1[[#All],[Order Date]],"dddd")</f>
        <v>Thursday</v>
      </c>
      <c r="Q390" t="str">
        <f>TEXT(Table1[[#All],[Order Date]],"mmm")</f>
        <v>Feb</v>
      </c>
      <c r="R390" t="str">
        <f>IF(Table1[[#All],[Total Price (?)]]&gt;1000,"High Value","Normal")</f>
        <v>High Value</v>
      </c>
    </row>
    <row r="391" spans="1:18" x14ac:dyDescent="0.3">
      <c r="A391" t="s">
        <v>452</v>
      </c>
      <c r="B391" s="1">
        <v>45827</v>
      </c>
      <c r="C391" t="s">
        <v>48</v>
      </c>
      <c r="D391" t="s">
        <v>43</v>
      </c>
      <c r="E391" t="s">
        <v>27</v>
      </c>
      <c r="F391" t="s">
        <v>87</v>
      </c>
      <c r="G391">
        <v>2</v>
      </c>
      <c r="H391">
        <v>1669.53</v>
      </c>
      <c r="I391">
        <v>0.02</v>
      </c>
      <c r="J391">
        <v>3272.28</v>
      </c>
      <c r="K391" t="s">
        <v>58</v>
      </c>
      <c r="L391" t="s">
        <v>34</v>
      </c>
      <c r="M391" t="s">
        <v>54</v>
      </c>
      <c r="N391" t="s">
        <v>59</v>
      </c>
      <c r="O391">
        <f>Table1[[#All],[Quantity]]*Table1[[#All],[Unit Price (?)]]</f>
        <v>3339.06</v>
      </c>
      <c r="P391" t="str">
        <f>TEXT(Table1[[#All],[Order Date]],"dddd")</f>
        <v>Thursday</v>
      </c>
      <c r="Q391" t="str">
        <f>TEXT(Table1[[#All],[Order Date]],"mmm")</f>
        <v>Jun</v>
      </c>
      <c r="R391" t="str">
        <f>IF(Table1[[#All],[Total Price (?)]]&gt;1000,"High Value","Normal")</f>
        <v>High Value</v>
      </c>
    </row>
    <row r="392" spans="1:18" x14ac:dyDescent="0.3">
      <c r="A392" t="s">
        <v>453</v>
      </c>
      <c r="B392" s="1">
        <v>45737</v>
      </c>
      <c r="C392" t="s">
        <v>24</v>
      </c>
      <c r="D392" t="s">
        <v>43</v>
      </c>
      <c r="E392" t="s">
        <v>27</v>
      </c>
      <c r="F392" t="s">
        <v>79</v>
      </c>
      <c r="G392">
        <v>2</v>
      </c>
      <c r="H392">
        <v>4338.26</v>
      </c>
      <c r="I392">
        <v>0.11</v>
      </c>
      <c r="J392">
        <v>7722.1</v>
      </c>
      <c r="K392" t="s">
        <v>19</v>
      </c>
      <c r="L392" t="s">
        <v>29</v>
      </c>
      <c r="M392" t="s">
        <v>54</v>
      </c>
      <c r="N392" t="s">
        <v>22</v>
      </c>
      <c r="O392">
        <f>Table1[[#All],[Quantity]]*Table1[[#All],[Unit Price (?)]]</f>
        <v>8676.52</v>
      </c>
      <c r="P392" t="str">
        <f>TEXT(Table1[[#All],[Order Date]],"dddd")</f>
        <v>Friday</v>
      </c>
      <c r="Q392" t="str">
        <f>TEXT(Table1[[#All],[Order Date]],"mmm")</f>
        <v>Mar</v>
      </c>
      <c r="R392" t="str">
        <f>IF(Table1[[#All],[Total Price (?)]]&gt;1000,"High Value","Normal")</f>
        <v>High Value</v>
      </c>
    </row>
    <row r="393" spans="1:18" x14ac:dyDescent="0.3">
      <c r="A393" t="s">
        <v>454</v>
      </c>
      <c r="B393" s="1">
        <v>45835</v>
      </c>
      <c r="C393" t="s">
        <v>52</v>
      </c>
      <c r="D393" t="s">
        <v>39</v>
      </c>
      <c r="E393" t="s">
        <v>49</v>
      </c>
      <c r="F393" t="s">
        <v>56</v>
      </c>
      <c r="G393">
        <v>3</v>
      </c>
      <c r="H393">
        <v>285.64</v>
      </c>
      <c r="I393">
        <v>0.02</v>
      </c>
      <c r="J393">
        <v>839.78</v>
      </c>
      <c r="K393" t="s">
        <v>58</v>
      </c>
      <c r="L393" t="s">
        <v>34</v>
      </c>
      <c r="M393" t="s">
        <v>54</v>
      </c>
      <c r="N393" t="s">
        <v>22</v>
      </c>
      <c r="O393">
        <f>Table1[[#All],[Quantity]]*Table1[[#All],[Unit Price (?)]]</f>
        <v>856.92</v>
      </c>
      <c r="P393" t="str">
        <f>TEXT(Table1[[#All],[Order Date]],"dddd")</f>
        <v>Friday</v>
      </c>
      <c r="Q393" t="str">
        <f>TEXT(Table1[[#All],[Order Date]],"mmm")</f>
        <v>Jun</v>
      </c>
      <c r="R393" t="str">
        <f>IF(Table1[[#All],[Total Price (?)]]&gt;1000,"High Value","Normal")</f>
        <v>Normal</v>
      </c>
    </row>
    <row r="394" spans="1:18" x14ac:dyDescent="0.3">
      <c r="A394" t="s">
        <v>455</v>
      </c>
      <c r="B394" s="1">
        <v>45671</v>
      </c>
      <c r="C394" t="s">
        <v>15</v>
      </c>
      <c r="D394" t="s">
        <v>25</v>
      </c>
      <c r="E394" t="s">
        <v>27</v>
      </c>
      <c r="F394" t="s">
        <v>68</v>
      </c>
      <c r="G394">
        <v>4</v>
      </c>
      <c r="H394">
        <v>3188.06</v>
      </c>
      <c r="I394">
        <v>0.11</v>
      </c>
      <c r="J394">
        <v>11349.49</v>
      </c>
      <c r="K394" t="s">
        <v>41</v>
      </c>
      <c r="L394" t="s">
        <v>34</v>
      </c>
      <c r="M394" t="s">
        <v>54</v>
      </c>
      <c r="N394" t="s">
        <v>22</v>
      </c>
      <c r="O394">
        <f>Table1[[#All],[Quantity]]*Table1[[#All],[Unit Price (?)]]</f>
        <v>12752.24</v>
      </c>
      <c r="P394" t="str">
        <f>TEXT(Table1[[#All],[Order Date]],"dddd")</f>
        <v>Tuesday</v>
      </c>
      <c r="Q394" t="str">
        <f>TEXT(Table1[[#All],[Order Date]],"mmm")</f>
        <v>Jan</v>
      </c>
      <c r="R394" t="str">
        <f>IF(Table1[[#All],[Total Price (?)]]&gt;1000,"High Value","Normal")</f>
        <v>High Value</v>
      </c>
    </row>
    <row r="395" spans="1:18" x14ac:dyDescent="0.3">
      <c r="A395" t="s">
        <v>456</v>
      </c>
      <c r="B395" s="1">
        <v>45691</v>
      </c>
      <c r="C395" t="s">
        <v>36</v>
      </c>
      <c r="D395" t="s">
        <v>16</v>
      </c>
      <c r="E395" t="s">
        <v>27</v>
      </c>
      <c r="F395" t="s">
        <v>79</v>
      </c>
      <c r="G395">
        <v>5</v>
      </c>
      <c r="H395">
        <v>323.02999999999997</v>
      </c>
      <c r="I395">
        <v>0.21</v>
      </c>
      <c r="J395">
        <v>1275.97</v>
      </c>
      <c r="K395" t="s">
        <v>58</v>
      </c>
      <c r="L395" t="s">
        <v>29</v>
      </c>
      <c r="M395" t="s">
        <v>30</v>
      </c>
      <c r="N395" t="s">
        <v>22</v>
      </c>
      <c r="O395">
        <f>Table1[[#All],[Quantity]]*Table1[[#All],[Unit Price (?)]]</f>
        <v>1615.1499999999999</v>
      </c>
      <c r="P395" t="str">
        <f>TEXT(Table1[[#All],[Order Date]],"dddd")</f>
        <v>Monday</v>
      </c>
      <c r="Q395" t="str">
        <f>TEXT(Table1[[#All],[Order Date]],"mmm")</f>
        <v>Feb</v>
      </c>
      <c r="R395" t="str">
        <f>IF(Table1[[#All],[Total Price (?)]]&gt;1000,"High Value","Normal")</f>
        <v>High Value</v>
      </c>
    </row>
    <row r="396" spans="1:18" x14ac:dyDescent="0.3">
      <c r="A396" t="s">
        <v>457</v>
      </c>
      <c r="B396" s="1">
        <v>45733</v>
      </c>
      <c r="C396" t="s">
        <v>15</v>
      </c>
      <c r="D396" t="s">
        <v>43</v>
      </c>
      <c r="E396" t="s">
        <v>99</v>
      </c>
      <c r="F396" t="s">
        <v>120</v>
      </c>
      <c r="G396">
        <v>4</v>
      </c>
      <c r="H396">
        <v>4128.3999999999996</v>
      </c>
      <c r="I396">
        <v>0.01</v>
      </c>
      <c r="J396">
        <v>16348.46</v>
      </c>
      <c r="K396" t="s">
        <v>41</v>
      </c>
      <c r="L396" t="s">
        <v>34</v>
      </c>
      <c r="M396" t="s">
        <v>54</v>
      </c>
      <c r="N396" t="s">
        <v>22</v>
      </c>
      <c r="O396">
        <f>Table1[[#All],[Quantity]]*Table1[[#All],[Unit Price (?)]]</f>
        <v>16513.599999999999</v>
      </c>
      <c r="P396" t="str">
        <f>TEXT(Table1[[#All],[Order Date]],"dddd")</f>
        <v>Monday</v>
      </c>
      <c r="Q396" t="str">
        <f>TEXT(Table1[[#All],[Order Date]],"mmm")</f>
        <v>Mar</v>
      </c>
      <c r="R396" t="str">
        <f>IF(Table1[[#All],[Total Price (?)]]&gt;1000,"High Value","Normal")</f>
        <v>High Value</v>
      </c>
    </row>
    <row r="397" spans="1:18" x14ac:dyDescent="0.3">
      <c r="A397" t="s">
        <v>458</v>
      </c>
      <c r="B397" s="1">
        <v>45660</v>
      </c>
      <c r="C397" t="s">
        <v>52</v>
      </c>
      <c r="D397" t="s">
        <v>43</v>
      </c>
      <c r="E397" t="s">
        <v>49</v>
      </c>
      <c r="F397" t="s">
        <v>53</v>
      </c>
      <c r="G397">
        <v>3</v>
      </c>
      <c r="H397">
        <v>4791.22</v>
      </c>
      <c r="I397">
        <v>0</v>
      </c>
      <c r="J397">
        <v>14373.66</v>
      </c>
      <c r="K397" t="s">
        <v>46</v>
      </c>
      <c r="L397" t="s">
        <v>29</v>
      </c>
      <c r="M397" t="s">
        <v>21</v>
      </c>
      <c r="N397" t="s">
        <v>22</v>
      </c>
      <c r="O397">
        <f>Table1[[#All],[Quantity]]*Table1[[#All],[Unit Price (?)]]</f>
        <v>14373.66</v>
      </c>
      <c r="P397" t="str">
        <f>TEXT(Table1[[#All],[Order Date]],"dddd")</f>
        <v>Friday</v>
      </c>
      <c r="Q397" t="str">
        <f>TEXT(Table1[[#All],[Order Date]],"mmm")</f>
        <v>Jan</v>
      </c>
      <c r="R397" t="str">
        <f>IF(Table1[[#All],[Total Price (?)]]&gt;1000,"High Value","Normal")</f>
        <v>High Value</v>
      </c>
    </row>
    <row r="398" spans="1:18" x14ac:dyDescent="0.3">
      <c r="A398" t="s">
        <v>459</v>
      </c>
      <c r="B398" s="1">
        <v>45735</v>
      </c>
      <c r="C398" t="s">
        <v>36</v>
      </c>
      <c r="D398" t="s">
        <v>39</v>
      </c>
      <c r="E398" t="s">
        <v>17</v>
      </c>
      <c r="F398" t="s">
        <v>40</v>
      </c>
      <c r="G398">
        <v>3</v>
      </c>
      <c r="H398">
        <v>1129.26</v>
      </c>
      <c r="I398">
        <v>0.19</v>
      </c>
      <c r="J398">
        <v>2744.1</v>
      </c>
      <c r="K398" t="s">
        <v>33</v>
      </c>
      <c r="L398" t="s">
        <v>20</v>
      </c>
      <c r="M398" t="s">
        <v>21</v>
      </c>
      <c r="N398" t="s">
        <v>22</v>
      </c>
      <c r="O398">
        <f>Table1[[#All],[Quantity]]*Table1[[#All],[Unit Price (?)]]</f>
        <v>3387.7799999999997</v>
      </c>
      <c r="P398" t="str">
        <f>TEXT(Table1[[#All],[Order Date]],"dddd")</f>
        <v>Wednesday</v>
      </c>
      <c r="Q398" t="str">
        <f>TEXT(Table1[[#All],[Order Date]],"mmm")</f>
        <v>Mar</v>
      </c>
      <c r="R398" t="str">
        <f>IF(Table1[[#All],[Total Price (?)]]&gt;1000,"High Value","Normal")</f>
        <v>High Value</v>
      </c>
    </row>
    <row r="399" spans="1:18" x14ac:dyDescent="0.3">
      <c r="A399" t="s">
        <v>460</v>
      </c>
      <c r="B399" s="1">
        <v>45711</v>
      </c>
      <c r="C399" t="s">
        <v>52</v>
      </c>
      <c r="D399" t="s">
        <v>16</v>
      </c>
      <c r="E399" t="s">
        <v>27</v>
      </c>
      <c r="F399" t="s">
        <v>68</v>
      </c>
      <c r="G399">
        <v>5</v>
      </c>
      <c r="H399">
        <v>4190.2700000000004</v>
      </c>
      <c r="I399">
        <v>0.05</v>
      </c>
      <c r="J399">
        <v>19903.78</v>
      </c>
      <c r="K399" t="s">
        <v>19</v>
      </c>
      <c r="L399" t="s">
        <v>20</v>
      </c>
      <c r="M399" t="s">
        <v>54</v>
      </c>
      <c r="N399" t="s">
        <v>37</v>
      </c>
      <c r="O399">
        <f>Table1[[#All],[Quantity]]*Table1[[#All],[Unit Price (?)]]</f>
        <v>20951.350000000002</v>
      </c>
      <c r="P399" t="str">
        <f>TEXT(Table1[[#All],[Order Date]],"dddd")</f>
        <v>Sunday</v>
      </c>
      <c r="Q399" t="str">
        <f>TEXT(Table1[[#All],[Order Date]],"mmm")</f>
        <v>Feb</v>
      </c>
      <c r="R399" t="str">
        <f>IF(Table1[[#All],[Total Price (?)]]&gt;1000,"High Value","Normal")</f>
        <v>High Value</v>
      </c>
    </row>
    <row r="400" spans="1:18" x14ac:dyDescent="0.3">
      <c r="A400" t="s">
        <v>461</v>
      </c>
      <c r="B400" s="1">
        <v>45839</v>
      </c>
      <c r="C400" t="s">
        <v>36</v>
      </c>
      <c r="D400" t="s">
        <v>25</v>
      </c>
      <c r="E400" t="s">
        <v>27</v>
      </c>
      <c r="F400" t="s">
        <v>87</v>
      </c>
      <c r="G400">
        <v>1</v>
      </c>
      <c r="H400">
        <v>1328.37</v>
      </c>
      <c r="I400">
        <v>0.05</v>
      </c>
      <c r="J400">
        <v>1261.95</v>
      </c>
      <c r="K400" t="s">
        <v>58</v>
      </c>
      <c r="L400" t="s">
        <v>34</v>
      </c>
      <c r="M400" t="s">
        <v>21</v>
      </c>
      <c r="N400" t="s">
        <v>59</v>
      </c>
      <c r="O400">
        <f>Table1[[#All],[Quantity]]*Table1[[#All],[Unit Price (?)]]</f>
        <v>1328.37</v>
      </c>
      <c r="P400" t="str">
        <f>TEXT(Table1[[#All],[Order Date]],"dddd")</f>
        <v>Tuesday</v>
      </c>
      <c r="Q400" t="str">
        <f>TEXT(Table1[[#All],[Order Date]],"mmm")</f>
        <v>Jul</v>
      </c>
      <c r="R400" t="str">
        <f>IF(Table1[[#All],[Total Price (?)]]&gt;1000,"High Value","Normal")</f>
        <v>High Value</v>
      </c>
    </row>
    <row r="401" spans="1:18" x14ac:dyDescent="0.3">
      <c r="A401" t="s">
        <v>462</v>
      </c>
      <c r="B401" s="1">
        <v>45812</v>
      </c>
      <c r="C401" t="s">
        <v>52</v>
      </c>
      <c r="D401" t="s">
        <v>25</v>
      </c>
      <c r="E401" t="s">
        <v>99</v>
      </c>
      <c r="F401" t="s">
        <v>100</v>
      </c>
      <c r="G401">
        <v>5</v>
      </c>
      <c r="H401">
        <v>442.06</v>
      </c>
      <c r="I401">
        <v>0.05</v>
      </c>
      <c r="J401">
        <v>2099.7800000000002</v>
      </c>
      <c r="K401" t="s">
        <v>58</v>
      </c>
      <c r="L401" t="s">
        <v>34</v>
      </c>
      <c r="M401" t="s">
        <v>30</v>
      </c>
      <c r="N401" t="s">
        <v>22</v>
      </c>
      <c r="O401">
        <f>Table1[[#All],[Quantity]]*Table1[[#All],[Unit Price (?)]]</f>
        <v>2210.3000000000002</v>
      </c>
      <c r="P401" t="str">
        <f>TEXT(Table1[[#All],[Order Date]],"dddd")</f>
        <v>Wednesday</v>
      </c>
      <c r="Q401" t="str">
        <f>TEXT(Table1[[#All],[Order Date]],"mmm")</f>
        <v>Jun</v>
      </c>
      <c r="R401" t="str">
        <f>IF(Table1[[#All],[Total Price (?)]]&gt;1000,"High Value","Normal")</f>
        <v>High Value</v>
      </c>
    </row>
    <row r="402" spans="1:18" x14ac:dyDescent="0.3">
      <c r="A402" t="s">
        <v>463</v>
      </c>
      <c r="B402" s="1">
        <v>45812</v>
      </c>
      <c r="C402" t="s">
        <v>36</v>
      </c>
      <c r="D402" t="s">
        <v>43</v>
      </c>
      <c r="E402" t="s">
        <v>99</v>
      </c>
      <c r="F402" t="s">
        <v>100</v>
      </c>
      <c r="G402">
        <v>3</v>
      </c>
      <c r="H402">
        <v>4797.43</v>
      </c>
      <c r="I402">
        <v>0.04</v>
      </c>
      <c r="J402">
        <v>13816.6</v>
      </c>
      <c r="K402" t="s">
        <v>33</v>
      </c>
      <c r="L402" t="s">
        <v>34</v>
      </c>
      <c r="M402" t="s">
        <v>30</v>
      </c>
      <c r="N402" t="s">
        <v>88</v>
      </c>
      <c r="O402">
        <f>Table1[[#All],[Quantity]]*Table1[[#All],[Unit Price (?)]]</f>
        <v>14392.29</v>
      </c>
      <c r="P402" t="str">
        <f>TEXT(Table1[[#All],[Order Date]],"dddd")</f>
        <v>Wednesday</v>
      </c>
      <c r="Q402" t="str">
        <f>TEXT(Table1[[#All],[Order Date]],"mmm")</f>
        <v>Jun</v>
      </c>
      <c r="R402" t="str">
        <f>IF(Table1[[#All],[Total Price (?)]]&gt;1000,"High Value","Normal")</f>
        <v>High Value</v>
      </c>
    </row>
    <row r="403" spans="1:18" x14ac:dyDescent="0.3">
      <c r="A403" t="s">
        <v>464</v>
      </c>
      <c r="B403" s="1">
        <v>45748</v>
      </c>
      <c r="C403" t="s">
        <v>15</v>
      </c>
      <c r="D403" t="s">
        <v>39</v>
      </c>
      <c r="E403" t="s">
        <v>49</v>
      </c>
      <c r="F403" t="s">
        <v>53</v>
      </c>
      <c r="G403">
        <v>3</v>
      </c>
      <c r="H403">
        <v>4401.6400000000003</v>
      </c>
      <c r="I403">
        <v>0.12</v>
      </c>
      <c r="J403">
        <v>11620.33</v>
      </c>
      <c r="K403" t="s">
        <v>19</v>
      </c>
      <c r="L403" t="s">
        <v>29</v>
      </c>
      <c r="M403" t="s">
        <v>30</v>
      </c>
      <c r="N403" t="s">
        <v>22</v>
      </c>
      <c r="O403">
        <f>Table1[[#All],[Quantity]]*Table1[[#All],[Unit Price (?)]]</f>
        <v>13204.920000000002</v>
      </c>
      <c r="P403" t="str">
        <f>TEXT(Table1[[#All],[Order Date]],"dddd")</f>
        <v>Tuesday</v>
      </c>
      <c r="Q403" t="str">
        <f>TEXT(Table1[[#All],[Order Date]],"mmm")</f>
        <v>Apr</v>
      </c>
      <c r="R403" t="str">
        <f>IF(Table1[[#All],[Total Price (?)]]&gt;1000,"High Value","Normal")</f>
        <v>High Value</v>
      </c>
    </row>
    <row r="404" spans="1:18" x14ac:dyDescent="0.3">
      <c r="A404" t="s">
        <v>465</v>
      </c>
      <c r="B404" s="1">
        <v>45715</v>
      </c>
      <c r="C404" t="s">
        <v>36</v>
      </c>
      <c r="D404" t="s">
        <v>16</v>
      </c>
      <c r="E404" t="s">
        <v>17</v>
      </c>
      <c r="F404" t="s">
        <v>44</v>
      </c>
      <c r="G404">
        <v>2</v>
      </c>
      <c r="H404">
        <v>4467.3599999999997</v>
      </c>
      <c r="I404">
        <v>0.05</v>
      </c>
      <c r="J404">
        <v>8487.98</v>
      </c>
      <c r="K404" t="s">
        <v>58</v>
      </c>
      <c r="L404" t="s">
        <v>34</v>
      </c>
      <c r="M404" t="s">
        <v>21</v>
      </c>
      <c r="N404" t="s">
        <v>22</v>
      </c>
      <c r="O404">
        <f>Table1[[#All],[Quantity]]*Table1[[#All],[Unit Price (?)]]</f>
        <v>8934.7199999999993</v>
      </c>
      <c r="P404" t="str">
        <f>TEXT(Table1[[#All],[Order Date]],"dddd")</f>
        <v>Thursday</v>
      </c>
      <c r="Q404" t="str">
        <f>TEXT(Table1[[#All],[Order Date]],"mmm")</f>
        <v>Feb</v>
      </c>
      <c r="R404" t="str">
        <f>IF(Table1[[#All],[Total Price (?)]]&gt;1000,"High Value","Normal")</f>
        <v>High Value</v>
      </c>
    </row>
    <row r="405" spans="1:18" x14ac:dyDescent="0.3">
      <c r="A405" t="s">
        <v>466</v>
      </c>
      <c r="B405" s="1">
        <v>45742</v>
      </c>
      <c r="C405" t="s">
        <v>36</v>
      </c>
      <c r="D405" t="s">
        <v>25</v>
      </c>
      <c r="E405" t="s">
        <v>17</v>
      </c>
      <c r="F405" t="s">
        <v>18</v>
      </c>
      <c r="G405">
        <v>5</v>
      </c>
      <c r="H405">
        <v>1142.53</v>
      </c>
      <c r="I405">
        <v>0.01</v>
      </c>
      <c r="J405">
        <v>5655.52</v>
      </c>
      <c r="K405" t="s">
        <v>33</v>
      </c>
      <c r="L405" t="s">
        <v>34</v>
      </c>
      <c r="M405" t="s">
        <v>30</v>
      </c>
      <c r="N405" t="s">
        <v>22</v>
      </c>
      <c r="O405">
        <f>Table1[[#All],[Quantity]]*Table1[[#All],[Unit Price (?)]]</f>
        <v>5712.65</v>
      </c>
      <c r="P405" t="str">
        <f>TEXT(Table1[[#All],[Order Date]],"dddd")</f>
        <v>Wednesday</v>
      </c>
      <c r="Q405" t="str">
        <f>TEXT(Table1[[#All],[Order Date]],"mmm")</f>
        <v>Mar</v>
      </c>
      <c r="R405" t="str">
        <f>IF(Table1[[#All],[Total Price (?)]]&gt;1000,"High Value","Normal")</f>
        <v>High Value</v>
      </c>
    </row>
    <row r="406" spans="1:18" x14ac:dyDescent="0.3">
      <c r="A406" t="s">
        <v>467</v>
      </c>
      <c r="B406" s="1">
        <v>45795</v>
      </c>
      <c r="C406" t="s">
        <v>48</v>
      </c>
      <c r="D406" t="s">
        <v>25</v>
      </c>
      <c r="E406" t="s">
        <v>61</v>
      </c>
      <c r="F406" t="s">
        <v>66</v>
      </c>
      <c r="G406">
        <v>3</v>
      </c>
      <c r="H406">
        <v>756.02</v>
      </c>
      <c r="I406">
        <v>0.13</v>
      </c>
      <c r="J406">
        <v>1973.21</v>
      </c>
      <c r="K406" t="s">
        <v>19</v>
      </c>
      <c r="L406" t="s">
        <v>29</v>
      </c>
      <c r="M406" t="s">
        <v>54</v>
      </c>
      <c r="N406" t="s">
        <v>22</v>
      </c>
      <c r="O406">
        <f>Table1[[#All],[Quantity]]*Table1[[#All],[Unit Price (?)]]</f>
        <v>2268.06</v>
      </c>
      <c r="P406" t="str">
        <f>TEXT(Table1[[#All],[Order Date]],"dddd")</f>
        <v>Sunday</v>
      </c>
      <c r="Q406" t="str">
        <f>TEXT(Table1[[#All],[Order Date]],"mmm")</f>
        <v>May</v>
      </c>
      <c r="R406" t="str">
        <f>IF(Table1[[#All],[Total Price (?)]]&gt;1000,"High Value","Normal")</f>
        <v>High Value</v>
      </c>
    </row>
    <row r="407" spans="1:18" x14ac:dyDescent="0.3">
      <c r="A407" t="s">
        <v>468</v>
      </c>
      <c r="B407" s="1">
        <v>45801</v>
      </c>
      <c r="C407" t="s">
        <v>36</v>
      </c>
      <c r="D407" t="s">
        <v>43</v>
      </c>
      <c r="E407" t="s">
        <v>17</v>
      </c>
      <c r="F407" t="s">
        <v>44</v>
      </c>
      <c r="G407">
        <v>2</v>
      </c>
      <c r="H407">
        <v>2286.48</v>
      </c>
      <c r="I407">
        <v>0.04</v>
      </c>
      <c r="J407">
        <v>4390.04</v>
      </c>
      <c r="K407" t="s">
        <v>19</v>
      </c>
      <c r="L407" t="s">
        <v>29</v>
      </c>
      <c r="M407" t="s">
        <v>21</v>
      </c>
      <c r="N407" t="s">
        <v>22</v>
      </c>
      <c r="O407">
        <f>Table1[[#All],[Quantity]]*Table1[[#All],[Unit Price (?)]]</f>
        <v>4572.96</v>
      </c>
      <c r="P407" t="str">
        <f>TEXT(Table1[[#All],[Order Date]],"dddd")</f>
        <v>Saturday</v>
      </c>
      <c r="Q407" t="str">
        <f>TEXT(Table1[[#All],[Order Date]],"mmm")</f>
        <v>May</v>
      </c>
      <c r="R407" t="str">
        <f>IF(Table1[[#All],[Total Price (?)]]&gt;1000,"High Value","Normal")</f>
        <v>High Value</v>
      </c>
    </row>
    <row r="408" spans="1:18" x14ac:dyDescent="0.3">
      <c r="A408" t="s">
        <v>469</v>
      </c>
      <c r="B408" s="1">
        <v>45812</v>
      </c>
      <c r="C408" t="s">
        <v>24</v>
      </c>
      <c r="D408" t="s">
        <v>43</v>
      </c>
      <c r="E408" t="s">
        <v>49</v>
      </c>
      <c r="F408" t="s">
        <v>53</v>
      </c>
      <c r="G408">
        <v>2</v>
      </c>
      <c r="H408">
        <v>408.02</v>
      </c>
      <c r="I408">
        <v>0.09</v>
      </c>
      <c r="J408">
        <v>742.6</v>
      </c>
      <c r="K408" t="s">
        <v>19</v>
      </c>
      <c r="L408" t="s">
        <v>34</v>
      </c>
      <c r="M408" t="s">
        <v>54</v>
      </c>
      <c r="N408" t="s">
        <v>22</v>
      </c>
      <c r="O408">
        <f>Table1[[#All],[Quantity]]*Table1[[#All],[Unit Price (?)]]</f>
        <v>816.04</v>
      </c>
      <c r="P408" t="str">
        <f>TEXT(Table1[[#All],[Order Date]],"dddd")</f>
        <v>Wednesday</v>
      </c>
      <c r="Q408" t="str">
        <f>TEXT(Table1[[#All],[Order Date]],"mmm")</f>
        <v>Jun</v>
      </c>
      <c r="R408" t="str">
        <f>IF(Table1[[#All],[Total Price (?)]]&gt;1000,"High Value","Normal")</f>
        <v>Normal</v>
      </c>
    </row>
    <row r="409" spans="1:18" x14ac:dyDescent="0.3">
      <c r="A409" t="s">
        <v>470</v>
      </c>
      <c r="B409" s="1">
        <v>45767</v>
      </c>
      <c r="C409" t="s">
        <v>48</v>
      </c>
      <c r="D409" t="s">
        <v>39</v>
      </c>
      <c r="E409" t="s">
        <v>99</v>
      </c>
      <c r="F409" t="s">
        <v>115</v>
      </c>
      <c r="G409">
        <v>1</v>
      </c>
      <c r="H409">
        <v>4904.8900000000003</v>
      </c>
      <c r="I409">
        <v>0.08</v>
      </c>
      <c r="J409">
        <v>4512.5</v>
      </c>
      <c r="K409" t="s">
        <v>41</v>
      </c>
      <c r="L409" t="s">
        <v>20</v>
      </c>
      <c r="M409" t="s">
        <v>21</v>
      </c>
      <c r="N409" t="s">
        <v>88</v>
      </c>
      <c r="O409">
        <f>Table1[[#All],[Quantity]]*Table1[[#All],[Unit Price (?)]]</f>
        <v>4904.8900000000003</v>
      </c>
      <c r="P409" t="str">
        <f>TEXT(Table1[[#All],[Order Date]],"dddd")</f>
        <v>Sunday</v>
      </c>
      <c r="Q409" t="str">
        <f>TEXT(Table1[[#All],[Order Date]],"mmm")</f>
        <v>Apr</v>
      </c>
      <c r="R409" t="str">
        <f>IF(Table1[[#All],[Total Price (?)]]&gt;1000,"High Value","Normal")</f>
        <v>High Value</v>
      </c>
    </row>
    <row r="410" spans="1:18" x14ac:dyDescent="0.3">
      <c r="A410" t="s">
        <v>471</v>
      </c>
      <c r="B410" s="1">
        <v>45788</v>
      </c>
      <c r="C410" t="s">
        <v>48</v>
      </c>
      <c r="D410" t="s">
        <v>39</v>
      </c>
      <c r="E410" t="s">
        <v>99</v>
      </c>
      <c r="F410" t="s">
        <v>100</v>
      </c>
      <c r="G410">
        <v>5</v>
      </c>
      <c r="H410">
        <v>3301.35</v>
      </c>
      <c r="I410">
        <v>0.21</v>
      </c>
      <c r="J410">
        <v>13040.33</v>
      </c>
      <c r="K410" t="s">
        <v>41</v>
      </c>
      <c r="L410" t="s">
        <v>34</v>
      </c>
      <c r="M410" t="s">
        <v>21</v>
      </c>
      <c r="N410" t="s">
        <v>22</v>
      </c>
      <c r="O410">
        <f>Table1[[#All],[Quantity]]*Table1[[#All],[Unit Price (?)]]</f>
        <v>16506.75</v>
      </c>
      <c r="P410" t="str">
        <f>TEXT(Table1[[#All],[Order Date]],"dddd")</f>
        <v>Sunday</v>
      </c>
      <c r="Q410" t="str">
        <f>TEXT(Table1[[#All],[Order Date]],"mmm")</f>
        <v>May</v>
      </c>
      <c r="R410" t="str">
        <f>IF(Table1[[#All],[Total Price (?)]]&gt;1000,"High Value","Normal")</f>
        <v>High Value</v>
      </c>
    </row>
    <row r="411" spans="1:18" x14ac:dyDescent="0.3">
      <c r="A411" t="s">
        <v>472</v>
      </c>
      <c r="B411" s="1">
        <v>45799</v>
      </c>
      <c r="C411" t="s">
        <v>15</v>
      </c>
      <c r="D411" t="s">
        <v>25</v>
      </c>
      <c r="E411" t="s">
        <v>61</v>
      </c>
      <c r="F411" t="s">
        <v>92</v>
      </c>
      <c r="G411">
        <v>4</v>
      </c>
      <c r="H411">
        <v>4447.1400000000003</v>
      </c>
      <c r="I411">
        <v>0</v>
      </c>
      <c r="J411">
        <v>17788.560000000001</v>
      </c>
      <c r="K411" t="s">
        <v>46</v>
      </c>
      <c r="L411" t="s">
        <v>34</v>
      </c>
      <c r="M411" t="s">
        <v>54</v>
      </c>
      <c r="N411" t="s">
        <v>22</v>
      </c>
      <c r="O411">
        <f>Table1[[#All],[Quantity]]*Table1[[#All],[Unit Price (?)]]</f>
        <v>17788.560000000001</v>
      </c>
      <c r="P411" t="str">
        <f>TEXT(Table1[[#All],[Order Date]],"dddd")</f>
        <v>Thursday</v>
      </c>
      <c r="Q411" t="str">
        <f>TEXT(Table1[[#All],[Order Date]],"mmm")</f>
        <v>May</v>
      </c>
      <c r="R411" t="str">
        <f>IF(Table1[[#All],[Total Price (?)]]&gt;1000,"High Value","Normal")</f>
        <v>High Value</v>
      </c>
    </row>
    <row r="412" spans="1:18" x14ac:dyDescent="0.3">
      <c r="A412" t="s">
        <v>473</v>
      </c>
      <c r="B412" s="1">
        <v>45754</v>
      </c>
      <c r="C412" t="s">
        <v>52</v>
      </c>
      <c r="D412" t="s">
        <v>43</v>
      </c>
      <c r="E412" t="s">
        <v>17</v>
      </c>
      <c r="F412" t="s">
        <v>32</v>
      </c>
      <c r="G412">
        <v>2</v>
      </c>
      <c r="H412">
        <v>1874.89</v>
      </c>
      <c r="I412">
        <v>0.18</v>
      </c>
      <c r="J412">
        <v>3074.82</v>
      </c>
      <c r="K412" t="s">
        <v>19</v>
      </c>
      <c r="L412" t="s">
        <v>20</v>
      </c>
      <c r="M412" t="s">
        <v>54</v>
      </c>
      <c r="N412" t="s">
        <v>22</v>
      </c>
      <c r="O412">
        <f>Table1[[#All],[Quantity]]*Table1[[#All],[Unit Price (?)]]</f>
        <v>3749.78</v>
      </c>
      <c r="P412" t="str">
        <f>TEXT(Table1[[#All],[Order Date]],"dddd")</f>
        <v>Monday</v>
      </c>
      <c r="Q412" t="str">
        <f>TEXT(Table1[[#All],[Order Date]],"mmm")</f>
        <v>Apr</v>
      </c>
      <c r="R412" t="str">
        <f>IF(Table1[[#All],[Total Price (?)]]&gt;1000,"High Value","Normal")</f>
        <v>High Value</v>
      </c>
    </row>
    <row r="413" spans="1:18" x14ac:dyDescent="0.3">
      <c r="A413" t="s">
        <v>474</v>
      </c>
      <c r="B413" s="1">
        <v>45690</v>
      </c>
      <c r="C413" t="s">
        <v>48</v>
      </c>
      <c r="D413" t="s">
        <v>16</v>
      </c>
      <c r="E413" t="s">
        <v>99</v>
      </c>
      <c r="F413" t="s">
        <v>120</v>
      </c>
      <c r="G413">
        <v>2</v>
      </c>
      <c r="H413">
        <v>2994.88</v>
      </c>
      <c r="I413">
        <v>0.16</v>
      </c>
      <c r="J413">
        <v>5031.3999999999996</v>
      </c>
      <c r="K413" t="s">
        <v>41</v>
      </c>
      <c r="L413" t="s">
        <v>34</v>
      </c>
      <c r="M413" t="s">
        <v>30</v>
      </c>
      <c r="N413" t="s">
        <v>22</v>
      </c>
      <c r="O413">
        <f>Table1[[#All],[Quantity]]*Table1[[#All],[Unit Price (?)]]</f>
        <v>5989.76</v>
      </c>
      <c r="P413" t="str">
        <f>TEXT(Table1[[#All],[Order Date]],"dddd")</f>
        <v>Sunday</v>
      </c>
      <c r="Q413" t="str">
        <f>TEXT(Table1[[#All],[Order Date]],"mmm")</f>
        <v>Feb</v>
      </c>
      <c r="R413" t="str">
        <f>IF(Table1[[#All],[Total Price (?)]]&gt;1000,"High Value","Normal")</f>
        <v>High Value</v>
      </c>
    </row>
    <row r="414" spans="1:18" x14ac:dyDescent="0.3">
      <c r="A414" t="s">
        <v>475</v>
      </c>
      <c r="B414" s="1">
        <v>45696</v>
      </c>
      <c r="C414" t="s">
        <v>52</v>
      </c>
      <c r="D414" t="s">
        <v>25</v>
      </c>
      <c r="E414" t="s">
        <v>61</v>
      </c>
      <c r="F414" t="s">
        <v>75</v>
      </c>
      <c r="G414">
        <v>5</v>
      </c>
      <c r="H414">
        <v>819.64</v>
      </c>
      <c r="I414">
        <v>0.04</v>
      </c>
      <c r="J414">
        <v>3934.27</v>
      </c>
      <c r="K414" t="s">
        <v>33</v>
      </c>
      <c r="L414" t="s">
        <v>20</v>
      </c>
      <c r="M414" t="s">
        <v>54</v>
      </c>
      <c r="N414" t="s">
        <v>22</v>
      </c>
      <c r="O414">
        <f>Table1[[#All],[Quantity]]*Table1[[#All],[Unit Price (?)]]</f>
        <v>4098.2</v>
      </c>
      <c r="P414" t="str">
        <f>TEXT(Table1[[#All],[Order Date]],"dddd")</f>
        <v>Saturday</v>
      </c>
      <c r="Q414" t="str">
        <f>TEXT(Table1[[#All],[Order Date]],"mmm")</f>
        <v>Feb</v>
      </c>
      <c r="R414" t="str">
        <f>IF(Table1[[#All],[Total Price (?)]]&gt;1000,"High Value","Normal")</f>
        <v>High Value</v>
      </c>
    </row>
    <row r="415" spans="1:18" x14ac:dyDescent="0.3">
      <c r="A415" t="s">
        <v>476</v>
      </c>
      <c r="B415" s="1">
        <v>45717</v>
      </c>
      <c r="C415" t="s">
        <v>15</v>
      </c>
      <c r="D415" t="s">
        <v>43</v>
      </c>
      <c r="E415" t="s">
        <v>27</v>
      </c>
      <c r="F415" t="s">
        <v>79</v>
      </c>
      <c r="G415">
        <v>4</v>
      </c>
      <c r="H415">
        <v>3071.98</v>
      </c>
      <c r="I415">
        <v>0.12</v>
      </c>
      <c r="J415">
        <v>10813.37</v>
      </c>
      <c r="K415" t="s">
        <v>58</v>
      </c>
      <c r="L415" t="s">
        <v>20</v>
      </c>
      <c r="M415" t="s">
        <v>30</v>
      </c>
      <c r="N415" t="s">
        <v>22</v>
      </c>
      <c r="O415">
        <f>Table1[[#All],[Quantity]]*Table1[[#All],[Unit Price (?)]]</f>
        <v>12287.92</v>
      </c>
      <c r="P415" t="str">
        <f>TEXT(Table1[[#All],[Order Date]],"dddd")</f>
        <v>Saturday</v>
      </c>
      <c r="Q415" t="str">
        <f>TEXT(Table1[[#All],[Order Date]],"mmm")</f>
        <v>Mar</v>
      </c>
      <c r="R415" t="str">
        <f>IF(Table1[[#All],[Total Price (?)]]&gt;1000,"High Value","Normal")</f>
        <v>High Value</v>
      </c>
    </row>
    <row r="416" spans="1:18" x14ac:dyDescent="0.3">
      <c r="A416" t="s">
        <v>477</v>
      </c>
      <c r="B416" s="1">
        <v>45702</v>
      </c>
      <c r="C416" t="s">
        <v>36</v>
      </c>
      <c r="D416" t="s">
        <v>25</v>
      </c>
      <c r="E416" t="s">
        <v>49</v>
      </c>
      <c r="F416" t="s">
        <v>73</v>
      </c>
      <c r="G416">
        <v>5</v>
      </c>
      <c r="H416">
        <v>1396.15</v>
      </c>
      <c r="I416">
        <v>0.18</v>
      </c>
      <c r="J416">
        <v>5724.22</v>
      </c>
      <c r="K416" t="s">
        <v>19</v>
      </c>
      <c r="L416" t="s">
        <v>29</v>
      </c>
      <c r="M416" t="s">
        <v>30</v>
      </c>
      <c r="N416" t="s">
        <v>22</v>
      </c>
      <c r="O416">
        <f>Table1[[#All],[Quantity]]*Table1[[#All],[Unit Price (?)]]</f>
        <v>6980.75</v>
      </c>
      <c r="P416" t="str">
        <f>TEXT(Table1[[#All],[Order Date]],"dddd")</f>
        <v>Friday</v>
      </c>
      <c r="Q416" t="str">
        <f>TEXT(Table1[[#All],[Order Date]],"mmm")</f>
        <v>Feb</v>
      </c>
      <c r="R416" t="str">
        <f>IF(Table1[[#All],[Total Price (?)]]&gt;1000,"High Value","Normal")</f>
        <v>High Value</v>
      </c>
    </row>
    <row r="417" spans="1:18" x14ac:dyDescent="0.3">
      <c r="A417" t="s">
        <v>478</v>
      </c>
      <c r="B417" s="1">
        <v>45671</v>
      </c>
      <c r="C417" t="s">
        <v>48</v>
      </c>
      <c r="D417" t="s">
        <v>25</v>
      </c>
      <c r="E417" t="s">
        <v>17</v>
      </c>
      <c r="F417" t="s">
        <v>44</v>
      </c>
      <c r="G417">
        <v>1</v>
      </c>
      <c r="H417">
        <v>181.16</v>
      </c>
      <c r="I417">
        <v>0.13</v>
      </c>
      <c r="J417">
        <v>157.61000000000001</v>
      </c>
      <c r="K417" t="s">
        <v>41</v>
      </c>
      <c r="L417" t="s">
        <v>20</v>
      </c>
      <c r="M417" t="s">
        <v>21</v>
      </c>
      <c r="N417" t="s">
        <v>88</v>
      </c>
      <c r="O417">
        <f>Table1[[#All],[Quantity]]*Table1[[#All],[Unit Price (?)]]</f>
        <v>181.16</v>
      </c>
      <c r="P417" t="str">
        <f>TEXT(Table1[[#All],[Order Date]],"dddd")</f>
        <v>Tuesday</v>
      </c>
      <c r="Q417" t="str">
        <f>TEXT(Table1[[#All],[Order Date]],"mmm")</f>
        <v>Jan</v>
      </c>
      <c r="R417" t="str">
        <f>IF(Table1[[#All],[Total Price (?)]]&gt;1000,"High Value","Normal")</f>
        <v>Normal</v>
      </c>
    </row>
    <row r="418" spans="1:18" x14ac:dyDescent="0.3">
      <c r="A418" t="s">
        <v>479</v>
      </c>
      <c r="B418" s="1">
        <v>45772</v>
      </c>
      <c r="C418" t="s">
        <v>52</v>
      </c>
      <c r="D418" t="s">
        <v>16</v>
      </c>
      <c r="E418" t="s">
        <v>27</v>
      </c>
      <c r="F418" t="s">
        <v>79</v>
      </c>
      <c r="G418">
        <v>5</v>
      </c>
      <c r="H418">
        <v>291.27999999999997</v>
      </c>
      <c r="I418">
        <v>0.2</v>
      </c>
      <c r="J418">
        <v>1165.1199999999999</v>
      </c>
      <c r="K418" t="s">
        <v>41</v>
      </c>
      <c r="L418" t="s">
        <v>29</v>
      </c>
      <c r="M418" t="s">
        <v>21</v>
      </c>
      <c r="N418" t="s">
        <v>22</v>
      </c>
      <c r="O418">
        <f>Table1[[#All],[Quantity]]*Table1[[#All],[Unit Price (?)]]</f>
        <v>1456.3999999999999</v>
      </c>
      <c r="P418" t="str">
        <f>TEXT(Table1[[#All],[Order Date]],"dddd")</f>
        <v>Friday</v>
      </c>
      <c r="Q418" t="str">
        <f>TEXT(Table1[[#All],[Order Date]],"mmm")</f>
        <v>Apr</v>
      </c>
      <c r="R418" t="str">
        <f>IF(Table1[[#All],[Total Price (?)]]&gt;1000,"High Value","Normal")</f>
        <v>High Value</v>
      </c>
    </row>
    <row r="419" spans="1:18" x14ac:dyDescent="0.3">
      <c r="A419" t="s">
        <v>480</v>
      </c>
      <c r="B419" s="1">
        <v>45802</v>
      </c>
      <c r="C419" t="s">
        <v>48</v>
      </c>
      <c r="D419" t="s">
        <v>43</v>
      </c>
      <c r="E419" t="s">
        <v>61</v>
      </c>
      <c r="F419" t="s">
        <v>62</v>
      </c>
      <c r="G419">
        <v>3</v>
      </c>
      <c r="H419">
        <v>4386.6400000000003</v>
      </c>
      <c r="I419">
        <v>0.17</v>
      </c>
      <c r="J419">
        <v>10922.73</v>
      </c>
      <c r="K419" t="s">
        <v>33</v>
      </c>
      <c r="L419" t="s">
        <v>34</v>
      </c>
      <c r="M419" t="s">
        <v>30</v>
      </c>
      <c r="N419" t="s">
        <v>37</v>
      </c>
      <c r="O419">
        <f>Table1[[#All],[Quantity]]*Table1[[#All],[Unit Price (?)]]</f>
        <v>13159.920000000002</v>
      </c>
      <c r="P419" t="str">
        <f>TEXT(Table1[[#All],[Order Date]],"dddd")</f>
        <v>Sunday</v>
      </c>
      <c r="Q419" t="str">
        <f>TEXT(Table1[[#All],[Order Date]],"mmm")</f>
        <v>May</v>
      </c>
      <c r="R419" t="str">
        <f>IF(Table1[[#All],[Total Price (?)]]&gt;1000,"High Value","Normal")</f>
        <v>High Value</v>
      </c>
    </row>
    <row r="420" spans="1:18" x14ac:dyDescent="0.3">
      <c r="A420" t="s">
        <v>481</v>
      </c>
      <c r="B420" s="1">
        <v>45765</v>
      </c>
      <c r="C420" t="s">
        <v>15</v>
      </c>
      <c r="D420" t="s">
        <v>43</v>
      </c>
      <c r="E420" t="s">
        <v>49</v>
      </c>
      <c r="F420" t="s">
        <v>50</v>
      </c>
      <c r="G420">
        <v>5</v>
      </c>
      <c r="H420">
        <v>578.80999999999995</v>
      </c>
      <c r="I420">
        <v>0.03</v>
      </c>
      <c r="J420">
        <v>2807.23</v>
      </c>
      <c r="K420" t="s">
        <v>33</v>
      </c>
      <c r="L420" t="s">
        <v>29</v>
      </c>
      <c r="M420" t="s">
        <v>30</v>
      </c>
      <c r="N420" t="s">
        <v>37</v>
      </c>
      <c r="O420">
        <f>Table1[[#All],[Quantity]]*Table1[[#All],[Unit Price (?)]]</f>
        <v>2894.0499999999997</v>
      </c>
      <c r="P420" t="str">
        <f>TEXT(Table1[[#All],[Order Date]],"dddd")</f>
        <v>Friday</v>
      </c>
      <c r="Q420" t="str">
        <f>TEXT(Table1[[#All],[Order Date]],"mmm")</f>
        <v>Apr</v>
      </c>
      <c r="R420" t="str">
        <f>IF(Table1[[#All],[Total Price (?)]]&gt;1000,"High Value","Normal")</f>
        <v>High Value</v>
      </c>
    </row>
    <row r="421" spans="1:18" x14ac:dyDescent="0.3">
      <c r="A421" t="s">
        <v>482</v>
      </c>
      <c r="B421" s="1">
        <v>45671</v>
      </c>
      <c r="C421" t="s">
        <v>36</v>
      </c>
      <c r="D421" t="s">
        <v>16</v>
      </c>
      <c r="E421" t="s">
        <v>17</v>
      </c>
      <c r="F421" t="s">
        <v>32</v>
      </c>
      <c r="G421">
        <v>3</v>
      </c>
      <c r="H421">
        <v>1026.2</v>
      </c>
      <c r="I421">
        <v>0.18</v>
      </c>
      <c r="J421">
        <v>2524.4499999999998</v>
      </c>
      <c r="K421" t="s">
        <v>33</v>
      </c>
      <c r="L421" t="s">
        <v>34</v>
      </c>
      <c r="M421" t="s">
        <v>54</v>
      </c>
      <c r="N421" t="s">
        <v>22</v>
      </c>
      <c r="O421">
        <f>Table1[[#All],[Quantity]]*Table1[[#All],[Unit Price (?)]]</f>
        <v>3078.6000000000004</v>
      </c>
      <c r="P421" t="str">
        <f>TEXT(Table1[[#All],[Order Date]],"dddd")</f>
        <v>Tuesday</v>
      </c>
      <c r="Q421" t="str">
        <f>TEXT(Table1[[#All],[Order Date]],"mmm")</f>
        <v>Jan</v>
      </c>
      <c r="R421" t="str">
        <f>IF(Table1[[#All],[Total Price (?)]]&gt;1000,"High Value","Normal")</f>
        <v>High Value</v>
      </c>
    </row>
    <row r="422" spans="1:18" x14ac:dyDescent="0.3">
      <c r="A422" t="s">
        <v>483</v>
      </c>
      <c r="B422" s="1">
        <v>45805</v>
      </c>
      <c r="C422" t="s">
        <v>15</v>
      </c>
      <c r="D422" t="s">
        <v>39</v>
      </c>
      <c r="E422" t="s">
        <v>49</v>
      </c>
      <c r="F422" t="s">
        <v>73</v>
      </c>
      <c r="G422">
        <v>1</v>
      </c>
      <c r="H422">
        <v>858.42</v>
      </c>
      <c r="I422">
        <v>0.16</v>
      </c>
      <c r="J422">
        <v>721.07</v>
      </c>
      <c r="K422" t="s">
        <v>41</v>
      </c>
      <c r="L422" t="s">
        <v>34</v>
      </c>
      <c r="M422" t="s">
        <v>30</v>
      </c>
      <c r="N422" t="s">
        <v>37</v>
      </c>
      <c r="O422">
        <f>Table1[[#All],[Quantity]]*Table1[[#All],[Unit Price (?)]]</f>
        <v>858.42</v>
      </c>
      <c r="P422" t="str">
        <f>TEXT(Table1[[#All],[Order Date]],"dddd")</f>
        <v>Wednesday</v>
      </c>
      <c r="Q422" t="str">
        <f>TEXT(Table1[[#All],[Order Date]],"mmm")</f>
        <v>May</v>
      </c>
      <c r="R422" t="str">
        <f>IF(Table1[[#All],[Total Price (?)]]&gt;1000,"High Value","Normal")</f>
        <v>Normal</v>
      </c>
    </row>
    <row r="423" spans="1:18" x14ac:dyDescent="0.3">
      <c r="A423" t="s">
        <v>484</v>
      </c>
      <c r="B423" s="1">
        <v>45720</v>
      </c>
      <c r="C423" t="s">
        <v>36</v>
      </c>
      <c r="D423" t="s">
        <v>25</v>
      </c>
      <c r="E423" t="s">
        <v>49</v>
      </c>
      <c r="F423" t="s">
        <v>53</v>
      </c>
      <c r="G423">
        <v>4</v>
      </c>
      <c r="H423">
        <v>3799.36</v>
      </c>
      <c r="I423">
        <v>0.1</v>
      </c>
      <c r="J423">
        <v>13677.7</v>
      </c>
      <c r="K423" t="s">
        <v>46</v>
      </c>
      <c r="L423" t="s">
        <v>29</v>
      </c>
      <c r="M423" t="s">
        <v>21</v>
      </c>
      <c r="N423" t="s">
        <v>22</v>
      </c>
      <c r="O423">
        <f>Table1[[#All],[Quantity]]*Table1[[#All],[Unit Price (?)]]</f>
        <v>15197.44</v>
      </c>
      <c r="P423" t="str">
        <f>TEXT(Table1[[#All],[Order Date]],"dddd")</f>
        <v>Tuesday</v>
      </c>
      <c r="Q423" t="str">
        <f>TEXT(Table1[[#All],[Order Date]],"mmm")</f>
        <v>Mar</v>
      </c>
      <c r="R423" t="str">
        <f>IF(Table1[[#All],[Total Price (?)]]&gt;1000,"High Value","Normal")</f>
        <v>High Value</v>
      </c>
    </row>
    <row r="424" spans="1:18" x14ac:dyDescent="0.3">
      <c r="A424" t="s">
        <v>485</v>
      </c>
      <c r="B424" s="1">
        <v>45671</v>
      </c>
      <c r="C424" t="s">
        <v>15</v>
      </c>
      <c r="D424" t="s">
        <v>16</v>
      </c>
      <c r="E424" t="s">
        <v>27</v>
      </c>
      <c r="F424" t="s">
        <v>87</v>
      </c>
      <c r="G424">
        <v>3</v>
      </c>
      <c r="H424">
        <v>3893.55</v>
      </c>
      <c r="I424">
        <v>0.1</v>
      </c>
      <c r="J424">
        <v>10512.59</v>
      </c>
      <c r="K424" t="s">
        <v>46</v>
      </c>
      <c r="L424" t="s">
        <v>29</v>
      </c>
      <c r="M424" t="s">
        <v>54</v>
      </c>
      <c r="N424" t="s">
        <v>22</v>
      </c>
      <c r="O424">
        <f>Table1[[#All],[Quantity]]*Table1[[#All],[Unit Price (?)]]</f>
        <v>11680.650000000001</v>
      </c>
      <c r="P424" t="str">
        <f>TEXT(Table1[[#All],[Order Date]],"dddd")</f>
        <v>Tuesday</v>
      </c>
      <c r="Q424" t="str">
        <f>TEXT(Table1[[#All],[Order Date]],"mmm")</f>
        <v>Jan</v>
      </c>
      <c r="R424" t="str">
        <f>IF(Table1[[#All],[Total Price (?)]]&gt;1000,"High Value","Normal")</f>
        <v>High Value</v>
      </c>
    </row>
    <row r="425" spans="1:18" x14ac:dyDescent="0.3">
      <c r="A425" t="s">
        <v>486</v>
      </c>
      <c r="B425" s="1">
        <v>45669</v>
      </c>
      <c r="C425" t="s">
        <v>24</v>
      </c>
      <c r="D425" t="s">
        <v>16</v>
      </c>
      <c r="E425" t="s">
        <v>49</v>
      </c>
      <c r="F425" t="s">
        <v>73</v>
      </c>
      <c r="G425">
        <v>4</v>
      </c>
      <c r="H425">
        <v>3951.8</v>
      </c>
      <c r="I425">
        <v>0.2</v>
      </c>
      <c r="J425">
        <v>12645.76</v>
      </c>
      <c r="K425" t="s">
        <v>19</v>
      </c>
      <c r="L425" t="s">
        <v>29</v>
      </c>
      <c r="M425" t="s">
        <v>21</v>
      </c>
      <c r="N425" t="s">
        <v>22</v>
      </c>
      <c r="O425">
        <f>Table1[[#All],[Quantity]]*Table1[[#All],[Unit Price (?)]]</f>
        <v>15807.2</v>
      </c>
      <c r="P425" t="str">
        <f>TEXT(Table1[[#All],[Order Date]],"dddd")</f>
        <v>Sunday</v>
      </c>
      <c r="Q425" t="str">
        <f>TEXT(Table1[[#All],[Order Date]],"mmm")</f>
        <v>Jan</v>
      </c>
      <c r="R425" t="str">
        <f>IF(Table1[[#All],[Total Price (?)]]&gt;1000,"High Value","Normal")</f>
        <v>High Value</v>
      </c>
    </row>
    <row r="426" spans="1:18" x14ac:dyDescent="0.3">
      <c r="A426" t="s">
        <v>487</v>
      </c>
      <c r="B426" s="1">
        <v>45773</v>
      </c>
      <c r="C426" t="s">
        <v>52</v>
      </c>
      <c r="D426" t="s">
        <v>16</v>
      </c>
      <c r="E426" t="s">
        <v>17</v>
      </c>
      <c r="F426" t="s">
        <v>18</v>
      </c>
      <c r="G426">
        <v>4</v>
      </c>
      <c r="H426">
        <v>531.89</v>
      </c>
      <c r="I426">
        <v>7.0000000000000007E-2</v>
      </c>
      <c r="J426">
        <v>1978.63</v>
      </c>
      <c r="K426" t="s">
        <v>41</v>
      </c>
      <c r="L426" t="s">
        <v>29</v>
      </c>
      <c r="M426" t="s">
        <v>30</v>
      </c>
      <c r="N426" t="s">
        <v>22</v>
      </c>
      <c r="O426">
        <f>Table1[[#All],[Quantity]]*Table1[[#All],[Unit Price (?)]]</f>
        <v>2127.56</v>
      </c>
      <c r="P426" t="str">
        <f>TEXT(Table1[[#All],[Order Date]],"dddd")</f>
        <v>Saturday</v>
      </c>
      <c r="Q426" t="str">
        <f>TEXT(Table1[[#All],[Order Date]],"mmm")</f>
        <v>Apr</v>
      </c>
      <c r="R426" t="str">
        <f>IF(Table1[[#All],[Total Price (?)]]&gt;1000,"High Value","Normal")</f>
        <v>High Value</v>
      </c>
    </row>
    <row r="427" spans="1:18" x14ac:dyDescent="0.3">
      <c r="A427" t="s">
        <v>488</v>
      </c>
      <c r="B427" s="1">
        <v>45752</v>
      </c>
      <c r="C427" t="s">
        <v>36</v>
      </c>
      <c r="D427" t="s">
        <v>25</v>
      </c>
      <c r="E427" t="s">
        <v>49</v>
      </c>
      <c r="F427" t="s">
        <v>50</v>
      </c>
      <c r="G427">
        <v>5</v>
      </c>
      <c r="H427">
        <v>381.57</v>
      </c>
      <c r="I427">
        <v>0.19</v>
      </c>
      <c r="J427">
        <v>1545.36</v>
      </c>
      <c r="K427" t="s">
        <v>33</v>
      </c>
      <c r="L427" t="s">
        <v>34</v>
      </c>
      <c r="M427" t="s">
        <v>54</v>
      </c>
      <c r="N427" t="s">
        <v>22</v>
      </c>
      <c r="O427">
        <f>Table1[[#All],[Quantity]]*Table1[[#All],[Unit Price (?)]]</f>
        <v>1907.85</v>
      </c>
      <c r="P427" t="str">
        <f>TEXT(Table1[[#All],[Order Date]],"dddd")</f>
        <v>Saturday</v>
      </c>
      <c r="Q427" t="str">
        <f>TEXT(Table1[[#All],[Order Date]],"mmm")</f>
        <v>Apr</v>
      </c>
      <c r="R427" t="str">
        <f>IF(Table1[[#All],[Total Price (?)]]&gt;1000,"High Value","Normal")</f>
        <v>High Value</v>
      </c>
    </row>
    <row r="428" spans="1:18" x14ac:dyDescent="0.3">
      <c r="A428" t="s">
        <v>489</v>
      </c>
      <c r="B428" s="1">
        <v>45757</v>
      </c>
      <c r="C428" t="s">
        <v>52</v>
      </c>
      <c r="D428" t="s">
        <v>16</v>
      </c>
      <c r="E428" t="s">
        <v>61</v>
      </c>
      <c r="F428" t="s">
        <v>66</v>
      </c>
      <c r="G428">
        <v>5</v>
      </c>
      <c r="H428">
        <v>2627.49</v>
      </c>
      <c r="I428">
        <v>0.06</v>
      </c>
      <c r="J428">
        <v>12349.2</v>
      </c>
      <c r="K428" t="s">
        <v>58</v>
      </c>
      <c r="L428" t="s">
        <v>29</v>
      </c>
      <c r="M428" t="s">
        <v>54</v>
      </c>
      <c r="N428" t="s">
        <v>22</v>
      </c>
      <c r="O428">
        <f>Table1[[#All],[Quantity]]*Table1[[#All],[Unit Price (?)]]</f>
        <v>13137.449999999999</v>
      </c>
      <c r="P428" t="str">
        <f>TEXT(Table1[[#All],[Order Date]],"dddd")</f>
        <v>Thursday</v>
      </c>
      <c r="Q428" t="str">
        <f>TEXT(Table1[[#All],[Order Date]],"mmm")</f>
        <v>Apr</v>
      </c>
      <c r="R428" t="str">
        <f>IF(Table1[[#All],[Total Price (?)]]&gt;1000,"High Value","Normal")</f>
        <v>High Value</v>
      </c>
    </row>
    <row r="429" spans="1:18" x14ac:dyDescent="0.3">
      <c r="A429" t="s">
        <v>490</v>
      </c>
      <c r="B429" s="1">
        <v>45838</v>
      </c>
      <c r="C429" t="s">
        <v>24</v>
      </c>
      <c r="D429" t="s">
        <v>16</v>
      </c>
      <c r="E429" t="s">
        <v>17</v>
      </c>
      <c r="F429" t="s">
        <v>44</v>
      </c>
      <c r="G429">
        <v>3</v>
      </c>
      <c r="H429">
        <v>3381.34</v>
      </c>
      <c r="I429">
        <v>0.1</v>
      </c>
      <c r="J429">
        <v>9129.6200000000008</v>
      </c>
      <c r="K429" t="s">
        <v>46</v>
      </c>
      <c r="L429" t="s">
        <v>34</v>
      </c>
      <c r="M429" t="s">
        <v>54</v>
      </c>
      <c r="N429" t="s">
        <v>22</v>
      </c>
      <c r="O429">
        <f>Table1[[#All],[Quantity]]*Table1[[#All],[Unit Price (?)]]</f>
        <v>10144.02</v>
      </c>
      <c r="P429" t="str">
        <f>TEXT(Table1[[#All],[Order Date]],"dddd")</f>
        <v>Monday</v>
      </c>
      <c r="Q429" t="str">
        <f>TEXT(Table1[[#All],[Order Date]],"mmm")</f>
        <v>Jun</v>
      </c>
      <c r="R429" t="str">
        <f>IF(Table1[[#All],[Total Price (?)]]&gt;1000,"High Value","Normal")</f>
        <v>High Value</v>
      </c>
    </row>
    <row r="430" spans="1:18" x14ac:dyDescent="0.3">
      <c r="A430" t="s">
        <v>491</v>
      </c>
      <c r="B430" s="1">
        <v>45825</v>
      </c>
      <c r="C430" t="s">
        <v>36</v>
      </c>
      <c r="D430" t="s">
        <v>43</v>
      </c>
      <c r="E430" t="s">
        <v>17</v>
      </c>
      <c r="F430" t="s">
        <v>18</v>
      </c>
      <c r="G430">
        <v>5</v>
      </c>
      <c r="H430">
        <v>4583.54</v>
      </c>
      <c r="I430">
        <v>0.09</v>
      </c>
      <c r="J430">
        <v>20855.11</v>
      </c>
      <c r="K430" t="s">
        <v>46</v>
      </c>
      <c r="L430" t="s">
        <v>29</v>
      </c>
      <c r="M430" t="s">
        <v>30</v>
      </c>
      <c r="N430" t="s">
        <v>22</v>
      </c>
      <c r="O430">
        <f>Table1[[#All],[Quantity]]*Table1[[#All],[Unit Price (?)]]</f>
        <v>22917.7</v>
      </c>
      <c r="P430" t="str">
        <f>TEXT(Table1[[#All],[Order Date]],"dddd")</f>
        <v>Tuesday</v>
      </c>
      <c r="Q430" t="str">
        <f>TEXT(Table1[[#All],[Order Date]],"mmm")</f>
        <v>Jun</v>
      </c>
      <c r="R430" t="str">
        <f>IF(Table1[[#All],[Total Price (?)]]&gt;1000,"High Value","Normal")</f>
        <v>High Value</v>
      </c>
    </row>
    <row r="431" spans="1:18" x14ac:dyDescent="0.3">
      <c r="A431" t="s">
        <v>492</v>
      </c>
      <c r="B431" s="1">
        <v>45763</v>
      </c>
      <c r="C431" t="s">
        <v>48</v>
      </c>
      <c r="D431" t="s">
        <v>16</v>
      </c>
      <c r="E431" t="s">
        <v>61</v>
      </c>
      <c r="F431" t="s">
        <v>92</v>
      </c>
      <c r="G431">
        <v>3</v>
      </c>
      <c r="H431">
        <v>957.67</v>
      </c>
      <c r="I431">
        <v>0.13</v>
      </c>
      <c r="J431">
        <v>2499.52</v>
      </c>
      <c r="K431" t="s">
        <v>33</v>
      </c>
      <c r="L431" t="s">
        <v>20</v>
      </c>
      <c r="M431" t="s">
        <v>21</v>
      </c>
      <c r="N431" t="s">
        <v>22</v>
      </c>
      <c r="O431">
        <f>Table1[[#All],[Quantity]]*Table1[[#All],[Unit Price (?)]]</f>
        <v>2873.0099999999998</v>
      </c>
      <c r="P431" t="str">
        <f>TEXT(Table1[[#All],[Order Date]],"dddd")</f>
        <v>Wednesday</v>
      </c>
      <c r="Q431" t="str">
        <f>TEXT(Table1[[#All],[Order Date]],"mmm")</f>
        <v>Apr</v>
      </c>
      <c r="R431" t="str">
        <f>IF(Table1[[#All],[Total Price (?)]]&gt;1000,"High Value","Normal")</f>
        <v>High Value</v>
      </c>
    </row>
    <row r="432" spans="1:18" x14ac:dyDescent="0.3">
      <c r="A432" t="s">
        <v>493</v>
      </c>
      <c r="B432" s="1">
        <v>45690</v>
      </c>
      <c r="C432" t="s">
        <v>36</v>
      </c>
      <c r="D432" t="s">
        <v>25</v>
      </c>
      <c r="E432" t="s">
        <v>99</v>
      </c>
      <c r="F432" t="s">
        <v>120</v>
      </c>
      <c r="G432">
        <v>5</v>
      </c>
      <c r="H432">
        <v>1325.69</v>
      </c>
      <c r="I432">
        <v>0.11</v>
      </c>
      <c r="J432">
        <v>5899.32</v>
      </c>
      <c r="K432" t="s">
        <v>46</v>
      </c>
      <c r="L432" t="s">
        <v>29</v>
      </c>
      <c r="M432" t="s">
        <v>30</v>
      </c>
      <c r="N432" t="s">
        <v>88</v>
      </c>
      <c r="O432">
        <f>Table1[[#All],[Quantity]]*Table1[[#All],[Unit Price (?)]]</f>
        <v>6628.4500000000007</v>
      </c>
      <c r="P432" t="str">
        <f>TEXT(Table1[[#All],[Order Date]],"dddd")</f>
        <v>Sunday</v>
      </c>
      <c r="Q432" t="str">
        <f>TEXT(Table1[[#All],[Order Date]],"mmm")</f>
        <v>Feb</v>
      </c>
      <c r="R432" t="str">
        <f>IF(Table1[[#All],[Total Price (?)]]&gt;1000,"High Value","Normal")</f>
        <v>High Value</v>
      </c>
    </row>
    <row r="433" spans="1:18" x14ac:dyDescent="0.3">
      <c r="A433" t="s">
        <v>494</v>
      </c>
      <c r="B433" s="1">
        <v>45671</v>
      </c>
      <c r="C433" t="s">
        <v>48</v>
      </c>
      <c r="D433" t="s">
        <v>43</v>
      </c>
      <c r="E433" t="s">
        <v>99</v>
      </c>
      <c r="F433" t="s">
        <v>115</v>
      </c>
      <c r="G433">
        <v>4</v>
      </c>
      <c r="H433">
        <v>669.71</v>
      </c>
      <c r="I433">
        <v>0.02</v>
      </c>
      <c r="J433">
        <v>2625.26</v>
      </c>
      <c r="K433" t="s">
        <v>33</v>
      </c>
      <c r="L433" t="s">
        <v>20</v>
      </c>
      <c r="M433" t="s">
        <v>21</v>
      </c>
      <c r="N433" t="s">
        <v>22</v>
      </c>
      <c r="O433">
        <f>Table1[[#All],[Quantity]]*Table1[[#All],[Unit Price (?)]]</f>
        <v>2678.84</v>
      </c>
      <c r="P433" t="str">
        <f>TEXT(Table1[[#All],[Order Date]],"dddd")</f>
        <v>Tuesday</v>
      </c>
      <c r="Q433" t="str">
        <f>TEXT(Table1[[#All],[Order Date]],"mmm")</f>
        <v>Jan</v>
      </c>
      <c r="R433" t="str">
        <f>IF(Table1[[#All],[Total Price (?)]]&gt;1000,"High Value","Normal")</f>
        <v>High Value</v>
      </c>
    </row>
    <row r="434" spans="1:18" x14ac:dyDescent="0.3">
      <c r="A434" t="s">
        <v>495</v>
      </c>
      <c r="B434" s="1">
        <v>45758</v>
      </c>
      <c r="C434" t="s">
        <v>48</v>
      </c>
      <c r="D434" t="s">
        <v>39</v>
      </c>
      <c r="E434" t="s">
        <v>61</v>
      </c>
      <c r="F434" t="s">
        <v>66</v>
      </c>
      <c r="G434">
        <v>5</v>
      </c>
      <c r="H434">
        <v>147.63999999999999</v>
      </c>
      <c r="I434">
        <v>0.21</v>
      </c>
      <c r="J434">
        <v>583.17999999999995</v>
      </c>
      <c r="K434" t="s">
        <v>46</v>
      </c>
      <c r="L434" t="s">
        <v>29</v>
      </c>
      <c r="M434" t="s">
        <v>54</v>
      </c>
      <c r="N434" t="s">
        <v>22</v>
      </c>
      <c r="O434">
        <f>Table1[[#All],[Quantity]]*Table1[[#All],[Unit Price (?)]]</f>
        <v>738.19999999999993</v>
      </c>
      <c r="P434" t="str">
        <f>TEXT(Table1[[#All],[Order Date]],"dddd")</f>
        <v>Friday</v>
      </c>
      <c r="Q434" t="str">
        <f>TEXT(Table1[[#All],[Order Date]],"mmm")</f>
        <v>Apr</v>
      </c>
      <c r="R434" t="str">
        <f>IF(Table1[[#All],[Total Price (?)]]&gt;1000,"High Value","Normal")</f>
        <v>Normal</v>
      </c>
    </row>
    <row r="435" spans="1:18" x14ac:dyDescent="0.3">
      <c r="A435" t="s">
        <v>496</v>
      </c>
      <c r="B435" s="1">
        <v>45675</v>
      </c>
      <c r="C435" t="s">
        <v>36</v>
      </c>
      <c r="D435" t="s">
        <v>43</v>
      </c>
      <c r="E435" t="s">
        <v>99</v>
      </c>
      <c r="F435" t="s">
        <v>120</v>
      </c>
      <c r="G435">
        <v>3</v>
      </c>
      <c r="H435">
        <v>1832.34</v>
      </c>
      <c r="I435">
        <v>0.22</v>
      </c>
      <c r="J435">
        <v>4287.68</v>
      </c>
      <c r="K435" t="s">
        <v>19</v>
      </c>
      <c r="L435" t="s">
        <v>34</v>
      </c>
      <c r="M435" t="s">
        <v>30</v>
      </c>
      <c r="N435" t="s">
        <v>37</v>
      </c>
      <c r="O435">
        <f>Table1[[#All],[Quantity]]*Table1[[#All],[Unit Price (?)]]</f>
        <v>5497.0199999999995</v>
      </c>
      <c r="P435" t="str">
        <f>TEXT(Table1[[#All],[Order Date]],"dddd")</f>
        <v>Saturday</v>
      </c>
      <c r="Q435" t="str">
        <f>TEXT(Table1[[#All],[Order Date]],"mmm")</f>
        <v>Jan</v>
      </c>
      <c r="R435" t="str">
        <f>IF(Table1[[#All],[Total Price (?)]]&gt;1000,"High Value","Normal")</f>
        <v>High Value</v>
      </c>
    </row>
    <row r="436" spans="1:18" x14ac:dyDescent="0.3">
      <c r="A436" t="s">
        <v>497</v>
      </c>
      <c r="B436" s="1">
        <v>45825</v>
      </c>
      <c r="C436" t="s">
        <v>52</v>
      </c>
      <c r="D436" t="s">
        <v>43</v>
      </c>
      <c r="E436" t="s">
        <v>61</v>
      </c>
      <c r="F436" t="s">
        <v>92</v>
      </c>
      <c r="G436">
        <v>2</v>
      </c>
      <c r="H436">
        <v>4376.4399999999996</v>
      </c>
      <c r="I436">
        <v>0.05</v>
      </c>
      <c r="J436">
        <v>8315.24</v>
      </c>
      <c r="K436" t="s">
        <v>19</v>
      </c>
      <c r="L436" t="s">
        <v>29</v>
      </c>
      <c r="M436" t="s">
        <v>54</v>
      </c>
      <c r="N436" t="s">
        <v>88</v>
      </c>
      <c r="O436">
        <f>Table1[[#All],[Quantity]]*Table1[[#All],[Unit Price (?)]]</f>
        <v>8752.8799999999992</v>
      </c>
      <c r="P436" t="str">
        <f>TEXT(Table1[[#All],[Order Date]],"dddd")</f>
        <v>Tuesday</v>
      </c>
      <c r="Q436" t="str">
        <f>TEXT(Table1[[#All],[Order Date]],"mmm")</f>
        <v>Jun</v>
      </c>
      <c r="R436" t="str">
        <f>IF(Table1[[#All],[Total Price (?)]]&gt;1000,"High Value","Normal")</f>
        <v>High Value</v>
      </c>
    </row>
    <row r="437" spans="1:18" x14ac:dyDescent="0.3">
      <c r="A437" t="s">
        <v>498</v>
      </c>
      <c r="B437" s="1">
        <v>45696</v>
      </c>
      <c r="C437" t="s">
        <v>24</v>
      </c>
      <c r="D437" t="s">
        <v>16</v>
      </c>
      <c r="E437" t="s">
        <v>99</v>
      </c>
      <c r="F437" t="s">
        <v>100</v>
      </c>
      <c r="G437">
        <v>4</v>
      </c>
      <c r="H437">
        <v>3107.75</v>
      </c>
      <c r="I437">
        <v>0.19</v>
      </c>
      <c r="J437">
        <v>10069.11</v>
      </c>
      <c r="K437" t="s">
        <v>58</v>
      </c>
      <c r="L437" t="s">
        <v>20</v>
      </c>
      <c r="M437" t="s">
        <v>21</v>
      </c>
      <c r="N437" t="s">
        <v>88</v>
      </c>
      <c r="O437">
        <f>Table1[[#All],[Quantity]]*Table1[[#All],[Unit Price (?)]]</f>
        <v>12431</v>
      </c>
      <c r="P437" t="str">
        <f>TEXT(Table1[[#All],[Order Date]],"dddd")</f>
        <v>Saturday</v>
      </c>
      <c r="Q437" t="str">
        <f>TEXT(Table1[[#All],[Order Date]],"mmm")</f>
        <v>Feb</v>
      </c>
      <c r="R437" t="str">
        <f>IF(Table1[[#All],[Total Price (?)]]&gt;1000,"High Value","Normal")</f>
        <v>High Value</v>
      </c>
    </row>
    <row r="438" spans="1:18" x14ac:dyDescent="0.3">
      <c r="A438" t="s">
        <v>499</v>
      </c>
      <c r="B438" s="1">
        <v>45673</v>
      </c>
      <c r="C438" t="s">
        <v>48</v>
      </c>
      <c r="D438" t="s">
        <v>39</v>
      </c>
      <c r="E438" t="s">
        <v>99</v>
      </c>
      <c r="F438" t="s">
        <v>111</v>
      </c>
      <c r="G438">
        <v>4</v>
      </c>
      <c r="H438">
        <v>996.07</v>
      </c>
      <c r="I438">
        <v>0.19</v>
      </c>
      <c r="J438">
        <v>3227.27</v>
      </c>
      <c r="K438" t="s">
        <v>33</v>
      </c>
      <c r="L438" t="s">
        <v>34</v>
      </c>
      <c r="M438" t="s">
        <v>21</v>
      </c>
      <c r="N438" t="s">
        <v>22</v>
      </c>
      <c r="O438">
        <f>Table1[[#All],[Quantity]]*Table1[[#All],[Unit Price (?)]]</f>
        <v>3984.28</v>
      </c>
      <c r="P438" t="str">
        <f>TEXT(Table1[[#All],[Order Date]],"dddd")</f>
        <v>Thursday</v>
      </c>
      <c r="Q438" t="str">
        <f>TEXT(Table1[[#All],[Order Date]],"mmm")</f>
        <v>Jan</v>
      </c>
      <c r="R438" t="str">
        <f>IF(Table1[[#All],[Total Price (?)]]&gt;1000,"High Value","Normal")</f>
        <v>High Value</v>
      </c>
    </row>
    <row r="439" spans="1:18" x14ac:dyDescent="0.3">
      <c r="A439" t="s">
        <v>500</v>
      </c>
      <c r="B439" s="1">
        <v>45775</v>
      </c>
      <c r="C439" t="s">
        <v>24</v>
      </c>
      <c r="D439" t="s">
        <v>25</v>
      </c>
      <c r="E439" t="s">
        <v>27</v>
      </c>
      <c r="F439" t="s">
        <v>68</v>
      </c>
      <c r="G439">
        <v>4</v>
      </c>
      <c r="H439">
        <v>4704.3100000000004</v>
      </c>
      <c r="I439">
        <v>0.01</v>
      </c>
      <c r="J439">
        <v>18629.07</v>
      </c>
      <c r="K439" t="s">
        <v>33</v>
      </c>
      <c r="L439" t="s">
        <v>34</v>
      </c>
      <c r="M439" t="s">
        <v>30</v>
      </c>
      <c r="N439" t="s">
        <v>37</v>
      </c>
      <c r="O439">
        <f>Table1[[#All],[Quantity]]*Table1[[#All],[Unit Price (?)]]</f>
        <v>18817.240000000002</v>
      </c>
      <c r="P439" t="str">
        <f>TEXT(Table1[[#All],[Order Date]],"dddd")</f>
        <v>Monday</v>
      </c>
      <c r="Q439" t="str">
        <f>TEXT(Table1[[#All],[Order Date]],"mmm")</f>
        <v>Apr</v>
      </c>
      <c r="R439" t="str">
        <f>IF(Table1[[#All],[Total Price (?)]]&gt;1000,"High Value","Normal")</f>
        <v>High Value</v>
      </c>
    </row>
    <row r="440" spans="1:18" x14ac:dyDescent="0.3">
      <c r="A440" t="s">
        <v>501</v>
      </c>
      <c r="B440" s="1">
        <v>45673</v>
      </c>
      <c r="C440" t="s">
        <v>24</v>
      </c>
      <c r="D440" t="s">
        <v>25</v>
      </c>
      <c r="E440" t="s">
        <v>61</v>
      </c>
      <c r="F440" t="s">
        <v>92</v>
      </c>
      <c r="G440">
        <v>3</v>
      </c>
      <c r="H440">
        <v>3477.13</v>
      </c>
      <c r="I440">
        <v>0</v>
      </c>
      <c r="J440">
        <v>10431.39</v>
      </c>
      <c r="K440" t="s">
        <v>33</v>
      </c>
      <c r="L440" t="s">
        <v>34</v>
      </c>
      <c r="M440" t="s">
        <v>54</v>
      </c>
      <c r="N440" t="s">
        <v>22</v>
      </c>
      <c r="O440">
        <f>Table1[[#All],[Quantity]]*Table1[[#All],[Unit Price (?)]]</f>
        <v>10431.39</v>
      </c>
      <c r="P440" t="str">
        <f>TEXT(Table1[[#All],[Order Date]],"dddd")</f>
        <v>Thursday</v>
      </c>
      <c r="Q440" t="str">
        <f>TEXT(Table1[[#All],[Order Date]],"mmm")</f>
        <v>Jan</v>
      </c>
      <c r="R440" t="str">
        <f>IF(Table1[[#All],[Total Price (?)]]&gt;1000,"High Value","Normal")</f>
        <v>High Value</v>
      </c>
    </row>
    <row r="441" spans="1:18" x14ac:dyDescent="0.3">
      <c r="A441" t="s">
        <v>502</v>
      </c>
      <c r="B441" s="1">
        <v>45791</v>
      </c>
      <c r="C441" t="s">
        <v>36</v>
      </c>
      <c r="D441" t="s">
        <v>39</v>
      </c>
      <c r="E441" t="s">
        <v>99</v>
      </c>
      <c r="F441" t="s">
        <v>111</v>
      </c>
      <c r="G441">
        <v>5</v>
      </c>
      <c r="H441">
        <v>1387.96</v>
      </c>
      <c r="I441">
        <v>7.0000000000000007E-2</v>
      </c>
      <c r="J441">
        <v>6454.01</v>
      </c>
      <c r="K441" t="s">
        <v>46</v>
      </c>
      <c r="L441" t="s">
        <v>20</v>
      </c>
      <c r="M441" t="s">
        <v>21</v>
      </c>
      <c r="N441" t="s">
        <v>22</v>
      </c>
      <c r="O441">
        <f>Table1[[#All],[Quantity]]*Table1[[#All],[Unit Price (?)]]</f>
        <v>6939.8</v>
      </c>
      <c r="P441" t="str">
        <f>TEXT(Table1[[#All],[Order Date]],"dddd")</f>
        <v>Wednesday</v>
      </c>
      <c r="Q441" t="str">
        <f>TEXT(Table1[[#All],[Order Date]],"mmm")</f>
        <v>May</v>
      </c>
      <c r="R441" t="str">
        <f>IF(Table1[[#All],[Total Price (?)]]&gt;1000,"High Value","Normal")</f>
        <v>High Value</v>
      </c>
    </row>
    <row r="442" spans="1:18" x14ac:dyDescent="0.3">
      <c r="A442" t="s">
        <v>503</v>
      </c>
      <c r="B442" s="1">
        <v>45827</v>
      </c>
      <c r="C442" t="s">
        <v>52</v>
      </c>
      <c r="D442" t="s">
        <v>43</v>
      </c>
      <c r="E442" t="s">
        <v>49</v>
      </c>
      <c r="F442" t="s">
        <v>50</v>
      </c>
      <c r="G442">
        <v>3</v>
      </c>
      <c r="H442">
        <v>1888.88</v>
      </c>
      <c r="I442">
        <v>0.1</v>
      </c>
      <c r="J442">
        <v>5099.9799999999996</v>
      </c>
      <c r="K442" t="s">
        <v>41</v>
      </c>
      <c r="L442" t="s">
        <v>29</v>
      </c>
      <c r="M442" t="s">
        <v>30</v>
      </c>
      <c r="N442" t="s">
        <v>22</v>
      </c>
      <c r="O442">
        <f>Table1[[#All],[Quantity]]*Table1[[#All],[Unit Price (?)]]</f>
        <v>5666.64</v>
      </c>
      <c r="P442" t="str">
        <f>TEXT(Table1[[#All],[Order Date]],"dddd")</f>
        <v>Thursday</v>
      </c>
      <c r="Q442" t="str">
        <f>TEXT(Table1[[#All],[Order Date]],"mmm")</f>
        <v>Jun</v>
      </c>
      <c r="R442" t="str">
        <f>IF(Table1[[#All],[Total Price (?)]]&gt;1000,"High Value","Normal")</f>
        <v>High Value</v>
      </c>
    </row>
    <row r="443" spans="1:18" x14ac:dyDescent="0.3">
      <c r="A443" t="s">
        <v>504</v>
      </c>
      <c r="B443" s="1">
        <v>45705</v>
      </c>
      <c r="C443" t="s">
        <v>24</v>
      </c>
      <c r="D443" t="s">
        <v>43</v>
      </c>
      <c r="E443" t="s">
        <v>27</v>
      </c>
      <c r="F443" t="s">
        <v>68</v>
      </c>
      <c r="G443">
        <v>5</v>
      </c>
      <c r="H443">
        <v>2217.87</v>
      </c>
      <c r="I443">
        <v>0.1</v>
      </c>
      <c r="J443">
        <v>9980.41</v>
      </c>
      <c r="K443" t="s">
        <v>46</v>
      </c>
      <c r="L443" t="s">
        <v>20</v>
      </c>
      <c r="M443" t="s">
        <v>54</v>
      </c>
      <c r="N443" t="s">
        <v>22</v>
      </c>
      <c r="O443">
        <f>Table1[[#All],[Quantity]]*Table1[[#All],[Unit Price (?)]]</f>
        <v>11089.349999999999</v>
      </c>
      <c r="P443" t="str">
        <f>TEXT(Table1[[#All],[Order Date]],"dddd")</f>
        <v>Monday</v>
      </c>
      <c r="Q443" t="str">
        <f>TEXT(Table1[[#All],[Order Date]],"mmm")</f>
        <v>Feb</v>
      </c>
      <c r="R443" t="str">
        <f>IF(Table1[[#All],[Total Price (?)]]&gt;1000,"High Value","Normal")</f>
        <v>High Value</v>
      </c>
    </row>
    <row r="444" spans="1:18" x14ac:dyDescent="0.3">
      <c r="A444" t="s">
        <v>505</v>
      </c>
      <c r="B444" s="1">
        <v>45738</v>
      </c>
      <c r="C444" t="s">
        <v>48</v>
      </c>
      <c r="D444" t="s">
        <v>39</v>
      </c>
      <c r="E444" t="s">
        <v>17</v>
      </c>
      <c r="F444" t="s">
        <v>44</v>
      </c>
      <c r="G444">
        <v>5</v>
      </c>
      <c r="H444">
        <v>2716.51</v>
      </c>
      <c r="I444">
        <v>0.08</v>
      </c>
      <c r="J444">
        <v>12495.95</v>
      </c>
      <c r="K444" t="s">
        <v>41</v>
      </c>
      <c r="L444" t="s">
        <v>20</v>
      </c>
      <c r="M444" t="s">
        <v>30</v>
      </c>
      <c r="N444" t="s">
        <v>22</v>
      </c>
      <c r="O444">
        <f>Table1[[#All],[Quantity]]*Table1[[#All],[Unit Price (?)]]</f>
        <v>13582.550000000001</v>
      </c>
      <c r="P444" t="str">
        <f>TEXT(Table1[[#All],[Order Date]],"dddd")</f>
        <v>Saturday</v>
      </c>
      <c r="Q444" t="str">
        <f>TEXT(Table1[[#All],[Order Date]],"mmm")</f>
        <v>Mar</v>
      </c>
      <c r="R444" t="str">
        <f>IF(Table1[[#All],[Total Price (?)]]&gt;1000,"High Value","Normal")</f>
        <v>High Value</v>
      </c>
    </row>
    <row r="445" spans="1:18" x14ac:dyDescent="0.3">
      <c r="A445" t="s">
        <v>506</v>
      </c>
      <c r="B445" s="1">
        <v>45683</v>
      </c>
      <c r="C445" t="s">
        <v>48</v>
      </c>
      <c r="D445" t="s">
        <v>16</v>
      </c>
      <c r="E445" t="s">
        <v>27</v>
      </c>
      <c r="F445" t="s">
        <v>79</v>
      </c>
      <c r="G445">
        <v>2</v>
      </c>
      <c r="H445">
        <v>394.18</v>
      </c>
      <c r="I445">
        <v>0.2</v>
      </c>
      <c r="J445">
        <v>630.69000000000005</v>
      </c>
      <c r="K445" t="s">
        <v>58</v>
      </c>
      <c r="L445" t="s">
        <v>29</v>
      </c>
      <c r="M445" t="s">
        <v>30</v>
      </c>
      <c r="N445" t="s">
        <v>22</v>
      </c>
      <c r="O445">
        <f>Table1[[#All],[Quantity]]*Table1[[#All],[Unit Price (?)]]</f>
        <v>788.36</v>
      </c>
      <c r="P445" t="str">
        <f>TEXT(Table1[[#All],[Order Date]],"dddd")</f>
        <v>Sunday</v>
      </c>
      <c r="Q445" t="str">
        <f>TEXT(Table1[[#All],[Order Date]],"mmm")</f>
        <v>Jan</v>
      </c>
      <c r="R445" t="str">
        <f>IF(Table1[[#All],[Total Price (?)]]&gt;1000,"High Value","Normal")</f>
        <v>Normal</v>
      </c>
    </row>
    <row r="446" spans="1:18" x14ac:dyDescent="0.3">
      <c r="A446" t="s">
        <v>507</v>
      </c>
      <c r="B446" s="1">
        <v>45842</v>
      </c>
      <c r="C446" t="s">
        <v>15</v>
      </c>
      <c r="D446" t="s">
        <v>25</v>
      </c>
      <c r="E446" t="s">
        <v>99</v>
      </c>
      <c r="F446" t="s">
        <v>111</v>
      </c>
      <c r="G446">
        <v>5</v>
      </c>
      <c r="H446">
        <v>4666.04</v>
      </c>
      <c r="I446">
        <v>0.06</v>
      </c>
      <c r="J446">
        <v>21930.39</v>
      </c>
      <c r="K446" t="s">
        <v>46</v>
      </c>
      <c r="L446" t="s">
        <v>29</v>
      </c>
      <c r="M446" t="s">
        <v>54</v>
      </c>
      <c r="N446" t="s">
        <v>22</v>
      </c>
      <c r="O446">
        <f>Table1[[#All],[Quantity]]*Table1[[#All],[Unit Price (?)]]</f>
        <v>23330.2</v>
      </c>
      <c r="P446" t="str">
        <f>TEXT(Table1[[#All],[Order Date]],"dddd")</f>
        <v>Friday</v>
      </c>
      <c r="Q446" t="str">
        <f>TEXT(Table1[[#All],[Order Date]],"mmm")</f>
        <v>Jul</v>
      </c>
      <c r="R446" t="str">
        <f>IF(Table1[[#All],[Total Price (?)]]&gt;1000,"High Value","Normal")</f>
        <v>High Value</v>
      </c>
    </row>
    <row r="447" spans="1:18" x14ac:dyDescent="0.3">
      <c r="A447" t="s">
        <v>508</v>
      </c>
      <c r="B447" s="1">
        <v>45832</v>
      </c>
      <c r="C447" t="s">
        <v>36</v>
      </c>
      <c r="D447" t="s">
        <v>39</v>
      </c>
      <c r="E447" t="s">
        <v>27</v>
      </c>
      <c r="F447" t="s">
        <v>68</v>
      </c>
      <c r="G447">
        <v>5</v>
      </c>
      <c r="H447">
        <v>955.24</v>
      </c>
      <c r="I447">
        <v>0.2</v>
      </c>
      <c r="J447">
        <v>3820.96</v>
      </c>
      <c r="K447" t="s">
        <v>33</v>
      </c>
      <c r="L447" t="s">
        <v>29</v>
      </c>
      <c r="M447" t="s">
        <v>30</v>
      </c>
      <c r="N447" t="s">
        <v>22</v>
      </c>
      <c r="O447">
        <f>Table1[[#All],[Quantity]]*Table1[[#All],[Unit Price (?)]]</f>
        <v>4776.2</v>
      </c>
      <c r="P447" t="str">
        <f>TEXT(Table1[[#All],[Order Date]],"dddd")</f>
        <v>Tuesday</v>
      </c>
      <c r="Q447" t="str">
        <f>TEXT(Table1[[#All],[Order Date]],"mmm")</f>
        <v>Jun</v>
      </c>
      <c r="R447" t="str">
        <f>IF(Table1[[#All],[Total Price (?)]]&gt;1000,"High Value","Normal")</f>
        <v>High Value</v>
      </c>
    </row>
    <row r="448" spans="1:18" x14ac:dyDescent="0.3">
      <c r="A448" t="s">
        <v>509</v>
      </c>
      <c r="B448" s="1">
        <v>45770</v>
      </c>
      <c r="C448" t="s">
        <v>24</v>
      </c>
      <c r="D448" t="s">
        <v>39</v>
      </c>
      <c r="E448" t="s">
        <v>49</v>
      </c>
      <c r="F448" t="s">
        <v>50</v>
      </c>
      <c r="G448">
        <v>3</v>
      </c>
      <c r="H448">
        <v>2372.39</v>
      </c>
      <c r="I448">
        <v>0.24</v>
      </c>
      <c r="J448">
        <v>5409.05</v>
      </c>
      <c r="K448" t="s">
        <v>41</v>
      </c>
      <c r="L448" t="s">
        <v>29</v>
      </c>
      <c r="M448" t="s">
        <v>54</v>
      </c>
      <c r="N448" t="s">
        <v>22</v>
      </c>
      <c r="O448">
        <f>Table1[[#All],[Quantity]]*Table1[[#All],[Unit Price (?)]]</f>
        <v>7117.17</v>
      </c>
      <c r="P448" t="str">
        <f>TEXT(Table1[[#All],[Order Date]],"dddd")</f>
        <v>Wednesday</v>
      </c>
      <c r="Q448" t="str">
        <f>TEXT(Table1[[#All],[Order Date]],"mmm")</f>
        <v>Apr</v>
      </c>
      <c r="R448" t="str">
        <f>IF(Table1[[#All],[Total Price (?)]]&gt;1000,"High Value","Normal")</f>
        <v>High Value</v>
      </c>
    </row>
    <row r="449" spans="1:18" x14ac:dyDescent="0.3">
      <c r="A449" t="s">
        <v>510</v>
      </c>
      <c r="B449" s="1">
        <v>45707</v>
      </c>
      <c r="C449" t="s">
        <v>24</v>
      </c>
      <c r="D449" t="s">
        <v>39</v>
      </c>
      <c r="E449" t="s">
        <v>27</v>
      </c>
      <c r="F449" t="s">
        <v>87</v>
      </c>
      <c r="G449">
        <v>3</v>
      </c>
      <c r="H449">
        <v>1218.27</v>
      </c>
      <c r="I449">
        <v>0.08</v>
      </c>
      <c r="J449">
        <v>3362.43</v>
      </c>
      <c r="K449" t="s">
        <v>58</v>
      </c>
      <c r="L449" t="s">
        <v>20</v>
      </c>
      <c r="M449" t="s">
        <v>30</v>
      </c>
      <c r="N449" t="s">
        <v>22</v>
      </c>
      <c r="O449">
        <f>Table1[[#All],[Quantity]]*Table1[[#All],[Unit Price (?)]]</f>
        <v>3654.81</v>
      </c>
      <c r="P449" t="str">
        <f>TEXT(Table1[[#All],[Order Date]],"dddd")</f>
        <v>Wednesday</v>
      </c>
      <c r="Q449" t="str">
        <f>TEXT(Table1[[#All],[Order Date]],"mmm")</f>
        <v>Feb</v>
      </c>
      <c r="R449" t="str">
        <f>IF(Table1[[#All],[Total Price (?)]]&gt;1000,"High Value","Normal")</f>
        <v>High Value</v>
      </c>
    </row>
    <row r="450" spans="1:18" x14ac:dyDescent="0.3">
      <c r="A450" t="s">
        <v>511</v>
      </c>
      <c r="B450" s="1">
        <v>45772</v>
      </c>
      <c r="C450" t="s">
        <v>48</v>
      </c>
      <c r="D450" t="s">
        <v>43</v>
      </c>
      <c r="E450" t="s">
        <v>49</v>
      </c>
      <c r="F450" t="s">
        <v>53</v>
      </c>
      <c r="G450">
        <v>5</v>
      </c>
      <c r="H450">
        <v>2652.58</v>
      </c>
      <c r="I450">
        <v>0.11</v>
      </c>
      <c r="J450">
        <v>11803.98</v>
      </c>
      <c r="K450" t="s">
        <v>46</v>
      </c>
      <c r="L450" t="s">
        <v>29</v>
      </c>
      <c r="M450" t="s">
        <v>54</v>
      </c>
      <c r="N450" t="s">
        <v>37</v>
      </c>
      <c r="O450">
        <f>Table1[[#All],[Quantity]]*Table1[[#All],[Unit Price (?)]]</f>
        <v>13262.9</v>
      </c>
      <c r="P450" t="str">
        <f>TEXT(Table1[[#All],[Order Date]],"dddd")</f>
        <v>Friday</v>
      </c>
      <c r="Q450" t="str">
        <f>TEXT(Table1[[#All],[Order Date]],"mmm")</f>
        <v>Apr</v>
      </c>
      <c r="R450" t="str">
        <f>IF(Table1[[#All],[Total Price (?)]]&gt;1000,"High Value","Normal")</f>
        <v>High Value</v>
      </c>
    </row>
    <row r="451" spans="1:18" x14ac:dyDescent="0.3">
      <c r="A451" t="s">
        <v>512</v>
      </c>
      <c r="B451" s="1">
        <v>45775</v>
      </c>
      <c r="C451" t="s">
        <v>15</v>
      </c>
      <c r="D451" t="s">
        <v>16</v>
      </c>
      <c r="E451" t="s">
        <v>61</v>
      </c>
      <c r="F451" t="s">
        <v>75</v>
      </c>
      <c r="G451">
        <v>2</v>
      </c>
      <c r="H451">
        <v>2045.52</v>
      </c>
      <c r="I451">
        <v>0.02</v>
      </c>
      <c r="J451">
        <v>4009.22</v>
      </c>
      <c r="K451" t="s">
        <v>58</v>
      </c>
      <c r="L451" t="s">
        <v>20</v>
      </c>
      <c r="M451" t="s">
        <v>30</v>
      </c>
      <c r="N451" t="s">
        <v>22</v>
      </c>
      <c r="O451">
        <f>Table1[[#All],[Quantity]]*Table1[[#All],[Unit Price (?)]]</f>
        <v>4091.04</v>
      </c>
      <c r="P451" t="str">
        <f>TEXT(Table1[[#All],[Order Date]],"dddd")</f>
        <v>Monday</v>
      </c>
      <c r="Q451" t="str">
        <f>TEXT(Table1[[#All],[Order Date]],"mmm")</f>
        <v>Apr</v>
      </c>
      <c r="R451" t="str">
        <f>IF(Table1[[#All],[Total Price (?)]]&gt;1000,"High Value","Normal")</f>
        <v>High Value</v>
      </c>
    </row>
    <row r="452" spans="1:18" x14ac:dyDescent="0.3">
      <c r="A452" t="s">
        <v>513</v>
      </c>
      <c r="B452" s="1">
        <v>45667</v>
      </c>
      <c r="C452" t="s">
        <v>24</v>
      </c>
      <c r="D452" t="s">
        <v>39</v>
      </c>
      <c r="E452" t="s">
        <v>49</v>
      </c>
      <c r="F452" t="s">
        <v>56</v>
      </c>
      <c r="G452">
        <v>2</v>
      </c>
      <c r="H452">
        <v>513.13</v>
      </c>
      <c r="I452">
        <v>0.23</v>
      </c>
      <c r="J452">
        <v>790.22</v>
      </c>
      <c r="K452" t="s">
        <v>46</v>
      </c>
      <c r="L452" t="s">
        <v>29</v>
      </c>
      <c r="M452" t="s">
        <v>30</v>
      </c>
      <c r="N452" t="s">
        <v>22</v>
      </c>
      <c r="O452">
        <f>Table1[[#All],[Quantity]]*Table1[[#All],[Unit Price (?)]]</f>
        <v>1026.26</v>
      </c>
      <c r="P452" t="str">
        <f>TEXT(Table1[[#All],[Order Date]],"dddd")</f>
        <v>Friday</v>
      </c>
      <c r="Q452" t="str">
        <f>TEXT(Table1[[#All],[Order Date]],"mmm")</f>
        <v>Jan</v>
      </c>
      <c r="R452" t="str">
        <f>IF(Table1[[#All],[Total Price (?)]]&gt;1000,"High Value","Normal")</f>
        <v>Normal</v>
      </c>
    </row>
    <row r="453" spans="1:18" x14ac:dyDescent="0.3">
      <c r="A453" t="s">
        <v>514</v>
      </c>
      <c r="B453" s="1">
        <v>45780</v>
      </c>
      <c r="C453" t="s">
        <v>52</v>
      </c>
      <c r="D453" t="s">
        <v>25</v>
      </c>
      <c r="E453" t="s">
        <v>99</v>
      </c>
      <c r="F453" t="s">
        <v>115</v>
      </c>
      <c r="G453">
        <v>2</v>
      </c>
      <c r="H453">
        <v>240</v>
      </c>
      <c r="I453">
        <v>0.17</v>
      </c>
      <c r="J453">
        <v>398.4</v>
      </c>
      <c r="K453" t="s">
        <v>19</v>
      </c>
      <c r="L453" t="s">
        <v>29</v>
      </c>
      <c r="M453" t="s">
        <v>30</v>
      </c>
      <c r="N453" t="s">
        <v>22</v>
      </c>
      <c r="O453">
        <f>Table1[[#All],[Quantity]]*Table1[[#All],[Unit Price (?)]]</f>
        <v>480</v>
      </c>
      <c r="P453" t="str">
        <f>TEXT(Table1[[#All],[Order Date]],"dddd")</f>
        <v>Saturday</v>
      </c>
      <c r="Q453" t="str">
        <f>TEXT(Table1[[#All],[Order Date]],"mmm")</f>
        <v>May</v>
      </c>
      <c r="R453" t="str">
        <f>IF(Table1[[#All],[Total Price (?)]]&gt;1000,"High Value","Normal")</f>
        <v>Normal</v>
      </c>
    </row>
    <row r="454" spans="1:18" x14ac:dyDescent="0.3">
      <c r="A454" t="s">
        <v>515</v>
      </c>
      <c r="B454" s="1">
        <v>45675</v>
      </c>
      <c r="C454" t="s">
        <v>36</v>
      </c>
      <c r="D454" t="s">
        <v>25</v>
      </c>
      <c r="E454" t="s">
        <v>27</v>
      </c>
      <c r="F454" t="s">
        <v>28</v>
      </c>
      <c r="G454">
        <v>5</v>
      </c>
      <c r="H454">
        <v>967.48</v>
      </c>
      <c r="I454">
        <v>0.15</v>
      </c>
      <c r="J454">
        <v>4111.79</v>
      </c>
      <c r="K454" t="s">
        <v>41</v>
      </c>
      <c r="L454" t="s">
        <v>20</v>
      </c>
      <c r="M454" t="s">
        <v>21</v>
      </c>
      <c r="N454" t="s">
        <v>22</v>
      </c>
      <c r="O454">
        <f>Table1[[#All],[Quantity]]*Table1[[#All],[Unit Price (?)]]</f>
        <v>4837.3999999999996</v>
      </c>
      <c r="P454" t="str">
        <f>TEXT(Table1[[#All],[Order Date]],"dddd")</f>
        <v>Saturday</v>
      </c>
      <c r="Q454" t="str">
        <f>TEXT(Table1[[#All],[Order Date]],"mmm")</f>
        <v>Jan</v>
      </c>
      <c r="R454" t="str">
        <f>IF(Table1[[#All],[Total Price (?)]]&gt;1000,"High Value","Normal")</f>
        <v>High Value</v>
      </c>
    </row>
    <row r="455" spans="1:18" x14ac:dyDescent="0.3">
      <c r="A455" t="s">
        <v>516</v>
      </c>
      <c r="B455" s="1">
        <v>45741</v>
      </c>
      <c r="C455" t="s">
        <v>15</v>
      </c>
      <c r="D455" t="s">
        <v>25</v>
      </c>
      <c r="E455" t="s">
        <v>27</v>
      </c>
      <c r="F455" t="s">
        <v>28</v>
      </c>
      <c r="G455">
        <v>2</v>
      </c>
      <c r="H455">
        <v>4043.07</v>
      </c>
      <c r="I455">
        <v>0.11</v>
      </c>
      <c r="J455">
        <v>7196.66</v>
      </c>
      <c r="K455" t="s">
        <v>41</v>
      </c>
      <c r="L455" t="s">
        <v>29</v>
      </c>
      <c r="M455" t="s">
        <v>30</v>
      </c>
      <c r="N455" t="s">
        <v>22</v>
      </c>
      <c r="O455">
        <f>Table1[[#All],[Quantity]]*Table1[[#All],[Unit Price (?)]]</f>
        <v>8086.14</v>
      </c>
      <c r="P455" t="str">
        <f>TEXT(Table1[[#All],[Order Date]],"dddd")</f>
        <v>Tuesday</v>
      </c>
      <c r="Q455" t="str">
        <f>TEXT(Table1[[#All],[Order Date]],"mmm")</f>
        <v>Mar</v>
      </c>
      <c r="R455" t="str">
        <f>IF(Table1[[#All],[Total Price (?)]]&gt;1000,"High Value","Normal")</f>
        <v>High Value</v>
      </c>
    </row>
    <row r="456" spans="1:18" x14ac:dyDescent="0.3">
      <c r="A456" t="s">
        <v>517</v>
      </c>
      <c r="B456" s="1">
        <v>45787</v>
      </c>
      <c r="C456" t="s">
        <v>24</v>
      </c>
      <c r="D456" t="s">
        <v>25</v>
      </c>
      <c r="E456" t="s">
        <v>99</v>
      </c>
      <c r="F456" t="s">
        <v>120</v>
      </c>
      <c r="G456">
        <v>3</v>
      </c>
      <c r="H456">
        <v>1505.14</v>
      </c>
      <c r="I456">
        <v>0.13</v>
      </c>
      <c r="J456">
        <v>3928.42</v>
      </c>
      <c r="K456" t="s">
        <v>33</v>
      </c>
      <c r="L456" t="s">
        <v>20</v>
      </c>
      <c r="M456" t="s">
        <v>21</v>
      </c>
      <c r="N456" t="s">
        <v>37</v>
      </c>
      <c r="O456">
        <f>Table1[[#All],[Quantity]]*Table1[[#All],[Unit Price (?)]]</f>
        <v>4515.42</v>
      </c>
      <c r="P456" t="str">
        <f>TEXT(Table1[[#All],[Order Date]],"dddd")</f>
        <v>Saturday</v>
      </c>
      <c r="Q456" t="str">
        <f>TEXT(Table1[[#All],[Order Date]],"mmm")</f>
        <v>May</v>
      </c>
      <c r="R456" t="str">
        <f>IF(Table1[[#All],[Total Price (?)]]&gt;1000,"High Value","Normal")</f>
        <v>High Value</v>
      </c>
    </row>
    <row r="457" spans="1:18" x14ac:dyDescent="0.3">
      <c r="A457" t="s">
        <v>518</v>
      </c>
      <c r="B457" s="1">
        <v>45773</v>
      </c>
      <c r="C457" t="s">
        <v>24</v>
      </c>
      <c r="D457" t="s">
        <v>43</v>
      </c>
      <c r="E457" t="s">
        <v>49</v>
      </c>
      <c r="F457" t="s">
        <v>53</v>
      </c>
      <c r="G457">
        <v>5</v>
      </c>
      <c r="H457">
        <v>1232.96</v>
      </c>
      <c r="I457">
        <v>0</v>
      </c>
      <c r="J457">
        <v>6164.8</v>
      </c>
      <c r="K457" t="s">
        <v>41</v>
      </c>
      <c r="L457" t="s">
        <v>34</v>
      </c>
      <c r="M457" t="s">
        <v>30</v>
      </c>
      <c r="N457" t="s">
        <v>22</v>
      </c>
      <c r="O457">
        <f>Table1[[#All],[Quantity]]*Table1[[#All],[Unit Price (?)]]</f>
        <v>6164.8</v>
      </c>
      <c r="P457" t="str">
        <f>TEXT(Table1[[#All],[Order Date]],"dddd")</f>
        <v>Saturday</v>
      </c>
      <c r="Q457" t="str">
        <f>TEXT(Table1[[#All],[Order Date]],"mmm")</f>
        <v>Apr</v>
      </c>
      <c r="R457" t="str">
        <f>IF(Table1[[#All],[Total Price (?)]]&gt;1000,"High Value","Normal")</f>
        <v>High Value</v>
      </c>
    </row>
    <row r="458" spans="1:18" x14ac:dyDescent="0.3">
      <c r="A458" t="s">
        <v>519</v>
      </c>
      <c r="B458" s="1">
        <v>45769</v>
      </c>
      <c r="C458" t="s">
        <v>48</v>
      </c>
      <c r="D458" t="s">
        <v>25</v>
      </c>
      <c r="E458" t="s">
        <v>27</v>
      </c>
      <c r="F458" t="s">
        <v>87</v>
      </c>
      <c r="G458">
        <v>4</v>
      </c>
      <c r="H458">
        <v>4159.29</v>
      </c>
      <c r="I458">
        <v>0.06</v>
      </c>
      <c r="J458">
        <v>15638.93</v>
      </c>
      <c r="K458" t="s">
        <v>19</v>
      </c>
      <c r="L458" t="s">
        <v>20</v>
      </c>
      <c r="M458" t="s">
        <v>54</v>
      </c>
      <c r="N458" t="s">
        <v>22</v>
      </c>
      <c r="O458">
        <f>Table1[[#All],[Quantity]]*Table1[[#All],[Unit Price (?)]]</f>
        <v>16637.16</v>
      </c>
      <c r="P458" t="str">
        <f>TEXT(Table1[[#All],[Order Date]],"dddd")</f>
        <v>Tuesday</v>
      </c>
      <c r="Q458" t="str">
        <f>TEXT(Table1[[#All],[Order Date]],"mmm")</f>
        <v>Apr</v>
      </c>
      <c r="R458" t="str">
        <f>IF(Table1[[#All],[Total Price (?)]]&gt;1000,"High Value","Normal")</f>
        <v>High Value</v>
      </c>
    </row>
    <row r="459" spans="1:18" x14ac:dyDescent="0.3">
      <c r="A459" t="s">
        <v>520</v>
      </c>
      <c r="B459" s="1">
        <v>45761</v>
      </c>
      <c r="C459" t="s">
        <v>15</v>
      </c>
      <c r="D459" t="s">
        <v>39</v>
      </c>
      <c r="E459" t="s">
        <v>27</v>
      </c>
      <c r="F459" t="s">
        <v>28</v>
      </c>
      <c r="G459">
        <v>4</v>
      </c>
      <c r="H459">
        <v>1021.2</v>
      </c>
      <c r="I459">
        <v>0.02</v>
      </c>
      <c r="J459">
        <v>4003.1</v>
      </c>
      <c r="K459" t="s">
        <v>33</v>
      </c>
      <c r="L459" t="s">
        <v>34</v>
      </c>
      <c r="M459" t="s">
        <v>54</v>
      </c>
      <c r="N459" t="s">
        <v>22</v>
      </c>
      <c r="O459">
        <f>Table1[[#All],[Quantity]]*Table1[[#All],[Unit Price (?)]]</f>
        <v>4084.8</v>
      </c>
      <c r="P459" t="str">
        <f>TEXT(Table1[[#All],[Order Date]],"dddd")</f>
        <v>Monday</v>
      </c>
      <c r="Q459" t="str">
        <f>TEXT(Table1[[#All],[Order Date]],"mmm")</f>
        <v>Apr</v>
      </c>
      <c r="R459" t="str">
        <f>IF(Table1[[#All],[Total Price (?)]]&gt;1000,"High Value","Normal")</f>
        <v>High Value</v>
      </c>
    </row>
    <row r="460" spans="1:18" x14ac:dyDescent="0.3">
      <c r="A460" t="s">
        <v>521</v>
      </c>
      <c r="B460" s="1">
        <v>45721</v>
      </c>
      <c r="C460" t="s">
        <v>15</v>
      </c>
      <c r="D460" t="s">
        <v>16</v>
      </c>
      <c r="E460" t="s">
        <v>49</v>
      </c>
      <c r="F460" t="s">
        <v>50</v>
      </c>
      <c r="G460">
        <v>2</v>
      </c>
      <c r="H460">
        <v>1671.15</v>
      </c>
      <c r="I460">
        <v>0.04</v>
      </c>
      <c r="J460">
        <v>3208.61</v>
      </c>
      <c r="K460" t="s">
        <v>33</v>
      </c>
      <c r="L460" t="s">
        <v>34</v>
      </c>
      <c r="M460" t="s">
        <v>21</v>
      </c>
      <c r="N460" t="s">
        <v>22</v>
      </c>
      <c r="O460">
        <f>Table1[[#All],[Quantity]]*Table1[[#All],[Unit Price (?)]]</f>
        <v>3342.3</v>
      </c>
      <c r="P460" t="str">
        <f>TEXT(Table1[[#All],[Order Date]],"dddd")</f>
        <v>Wednesday</v>
      </c>
      <c r="Q460" t="str">
        <f>TEXT(Table1[[#All],[Order Date]],"mmm")</f>
        <v>Mar</v>
      </c>
      <c r="R460" t="str">
        <f>IF(Table1[[#All],[Total Price (?)]]&gt;1000,"High Value","Normal")</f>
        <v>High Value</v>
      </c>
    </row>
    <row r="461" spans="1:18" x14ac:dyDescent="0.3">
      <c r="A461" t="s">
        <v>522</v>
      </c>
      <c r="B461" s="1">
        <v>45841</v>
      </c>
      <c r="C461" t="s">
        <v>15</v>
      </c>
      <c r="D461" t="s">
        <v>16</v>
      </c>
      <c r="E461" t="s">
        <v>17</v>
      </c>
      <c r="F461" t="s">
        <v>32</v>
      </c>
      <c r="G461">
        <v>4</v>
      </c>
      <c r="H461">
        <v>3662.82</v>
      </c>
      <c r="I461">
        <v>0.06</v>
      </c>
      <c r="J461">
        <v>13772.2</v>
      </c>
      <c r="K461" t="s">
        <v>19</v>
      </c>
      <c r="L461" t="s">
        <v>29</v>
      </c>
      <c r="M461" t="s">
        <v>54</v>
      </c>
      <c r="N461" t="s">
        <v>22</v>
      </c>
      <c r="O461">
        <f>Table1[[#All],[Quantity]]*Table1[[#All],[Unit Price (?)]]</f>
        <v>14651.28</v>
      </c>
      <c r="P461" t="str">
        <f>TEXT(Table1[[#All],[Order Date]],"dddd")</f>
        <v>Thursday</v>
      </c>
      <c r="Q461" t="str">
        <f>TEXT(Table1[[#All],[Order Date]],"mmm")</f>
        <v>Jul</v>
      </c>
      <c r="R461" t="str">
        <f>IF(Table1[[#All],[Total Price (?)]]&gt;1000,"High Value","Normal")</f>
        <v>High Value</v>
      </c>
    </row>
    <row r="462" spans="1:18" x14ac:dyDescent="0.3">
      <c r="A462" t="s">
        <v>523</v>
      </c>
      <c r="B462" s="1">
        <v>45710</v>
      </c>
      <c r="C462" t="s">
        <v>15</v>
      </c>
      <c r="D462" t="s">
        <v>43</v>
      </c>
      <c r="E462" t="s">
        <v>99</v>
      </c>
      <c r="F462" t="s">
        <v>115</v>
      </c>
      <c r="G462">
        <v>4</v>
      </c>
      <c r="H462">
        <v>3514.98</v>
      </c>
      <c r="I462">
        <v>0.01</v>
      </c>
      <c r="J462">
        <v>13919.32</v>
      </c>
      <c r="K462" t="s">
        <v>41</v>
      </c>
      <c r="L462" t="s">
        <v>34</v>
      </c>
      <c r="M462" t="s">
        <v>54</v>
      </c>
      <c r="N462" t="s">
        <v>22</v>
      </c>
      <c r="O462">
        <f>Table1[[#All],[Quantity]]*Table1[[#All],[Unit Price (?)]]</f>
        <v>14059.92</v>
      </c>
      <c r="P462" t="str">
        <f>TEXT(Table1[[#All],[Order Date]],"dddd")</f>
        <v>Saturday</v>
      </c>
      <c r="Q462" t="str">
        <f>TEXT(Table1[[#All],[Order Date]],"mmm")</f>
        <v>Feb</v>
      </c>
      <c r="R462" t="str">
        <f>IF(Table1[[#All],[Total Price (?)]]&gt;1000,"High Value","Normal")</f>
        <v>High Value</v>
      </c>
    </row>
    <row r="463" spans="1:18" x14ac:dyDescent="0.3">
      <c r="A463" t="s">
        <v>524</v>
      </c>
      <c r="B463" s="1">
        <v>45699</v>
      </c>
      <c r="C463" t="s">
        <v>36</v>
      </c>
      <c r="D463" t="s">
        <v>16</v>
      </c>
      <c r="E463" t="s">
        <v>49</v>
      </c>
      <c r="F463" t="s">
        <v>56</v>
      </c>
      <c r="G463">
        <v>2</v>
      </c>
      <c r="H463">
        <v>4488.92</v>
      </c>
      <c r="I463">
        <v>0.06</v>
      </c>
      <c r="J463">
        <v>8439.17</v>
      </c>
      <c r="K463" t="s">
        <v>41</v>
      </c>
      <c r="L463" t="s">
        <v>20</v>
      </c>
      <c r="M463" t="s">
        <v>30</v>
      </c>
      <c r="N463" t="s">
        <v>22</v>
      </c>
      <c r="O463">
        <f>Table1[[#All],[Quantity]]*Table1[[#All],[Unit Price (?)]]</f>
        <v>8977.84</v>
      </c>
      <c r="P463" t="str">
        <f>TEXT(Table1[[#All],[Order Date]],"dddd")</f>
        <v>Tuesday</v>
      </c>
      <c r="Q463" t="str">
        <f>TEXT(Table1[[#All],[Order Date]],"mmm")</f>
        <v>Feb</v>
      </c>
      <c r="R463" t="str">
        <f>IF(Table1[[#All],[Total Price (?)]]&gt;1000,"High Value","Normal")</f>
        <v>High Value</v>
      </c>
    </row>
    <row r="464" spans="1:18" x14ac:dyDescent="0.3">
      <c r="A464" t="s">
        <v>525</v>
      </c>
      <c r="B464" s="1">
        <v>45790</v>
      </c>
      <c r="C464" t="s">
        <v>48</v>
      </c>
      <c r="D464" t="s">
        <v>43</v>
      </c>
      <c r="E464" t="s">
        <v>61</v>
      </c>
      <c r="F464" t="s">
        <v>92</v>
      </c>
      <c r="G464">
        <v>1</v>
      </c>
      <c r="H464">
        <v>1075.98</v>
      </c>
      <c r="I464">
        <v>0.18</v>
      </c>
      <c r="J464">
        <v>882.3</v>
      </c>
      <c r="K464" t="s">
        <v>19</v>
      </c>
      <c r="L464" t="s">
        <v>29</v>
      </c>
      <c r="M464" t="s">
        <v>54</v>
      </c>
      <c r="N464" t="s">
        <v>22</v>
      </c>
      <c r="O464">
        <f>Table1[[#All],[Quantity]]*Table1[[#All],[Unit Price (?)]]</f>
        <v>1075.98</v>
      </c>
      <c r="P464" t="str">
        <f>TEXT(Table1[[#All],[Order Date]],"dddd")</f>
        <v>Tuesday</v>
      </c>
      <c r="Q464" t="str">
        <f>TEXT(Table1[[#All],[Order Date]],"mmm")</f>
        <v>May</v>
      </c>
      <c r="R464" t="str">
        <f>IF(Table1[[#All],[Total Price (?)]]&gt;1000,"High Value","Normal")</f>
        <v>Normal</v>
      </c>
    </row>
    <row r="465" spans="1:18" x14ac:dyDescent="0.3">
      <c r="A465" t="s">
        <v>526</v>
      </c>
      <c r="B465" s="1">
        <v>45799</v>
      </c>
      <c r="C465" t="s">
        <v>52</v>
      </c>
      <c r="D465" t="s">
        <v>39</v>
      </c>
      <c r="E465" t="s">
        <v>99</v>
      </c>
      <c r="F465" t="s">
        <v>111</v>
      </c>
      <c r="G465">
        <v>5</v>
      </c>
      <c r="H465">
        <v>2652.54</v>
      </c>
      <c r="I465">
        <v>0.06</v>
      </c>
      <c r="J465">
        <v>12466.94</v>
      </c>
      <c r="K465" t="s">
        <v>58</v>
      </c>
      <c r="L465" t="s">
        <v>29</v>
      </c>
      <c r="M465" t="s">
        <v>21</v>
      </c>
      <c r="N465" t="s">
        <v>22</v>
      </c>
      <c r="O465">
        <f>Table1[[#All],[Quantity]]*Table1[[#All],[Unit Price (?)]]</f>
        <v>13262.7</v>
      </c>
      <c r="P465" t="str">
        <f>TEXT(Table1[[#All],[Order Date]],"dddd")</f>
        <v>Thursday</v>
      </c>
      <c r="Q465" t="str">
        <f>TEXT(Table1[[#All],[Order Date]],"mmm")</f>
        <v>May</v>
      </c>
      <c r="R465" t="str">
        <f>IF(Table1[[#All],[Total Price (?)]]&gt;1000,"High Value","Normal")</f>
        <v>High Value</v>
      </c>
    </row>
    <row r="466" spans="1:18" x14ac:dyDescent="0.3">
      <c r="A466" t="s">
        <v>527</v>
      </c>
      <c r="B466" s="1">
        <v>45721</v>
      </c>
      <c r="C466" t="s">
        <v>24</v>
      </c>
      <c r="D466" t="s">
        <v>16</v>
      </c>
      <c r="E466" t="s">
        <v>17</v>
      </c>
      <c r="F466" t="s">
        <v>44</v>
      </c>
      <c r="G466">
        <v>4</v>
      </c>
      <c r="H466">
        <v>1690.12</v>
      </c>
      <c r="I466">
        <v>0.04</v>
      </c>
      <c r="J466">
        <v>6490.06</v>
      </c>
      <c r="K466" t="s">
        <v>19</v>
      </c>
      <c r="L466" t="s">
        <v>29</v>
      </c>
      <c r="M466" t="s">
        <v>30</v>
      </c>
      <c r="N466" t="s">
        <v>22</v>
      </c>
      <c r="O466">
        <f>Table1[[#All],[Quantity]]*Table1[[#All],[Unit Price (?)]]</f>
        <v>6760.48</v>
      </c>
      <c r="P466" t="str">
        <f>TEXT(Table1[[#All],[Order Date]],"dddd")</f>
        <v>Wednesday</v>
      </c>
      <c r="Q466" t="str">
        <f>TEXT(Table1[[#All],[Order Date]],"mmm")</f>
        <v>Mar</v>
      </c>
      <c r="R466" t="str">
        <f>IF(Table1[[#All],[Total Price (?)]]&gt;1000,"High Value","Normal")</f>
        <v>High Value</v>
      </c>
    </row>
    <row r="467" spans="1:18" x14ac:dyDescent="0.3">
      <c r="A467" t="s">
        <v>528</v>
      </c>
      <c r="B467" s="1">
        <v>45706</v>
      </c>
      <c r="C467" t="s">
        <v>24</v>
      </c>
      <c r="D467" t="s">
        <v>43</v>
      </c>
      <c r="E467" t="s">
        <v>61</v>
      </c>
      <c r="F467" t="s">
        <v>62</v>
      </c>
      <c r="G467">
        <v>4</v>
      </c>
      <c r="H467">
        <v>3473.19</v>
      </c>
      <c r="I467">
        <v>0.04</v>
      </c>
      <c r="J467">
        <v>13337.05</v>
      </c>
      <c r="K467" t="s">
        <v>33</v>
      </c>
      <c r="L467" t="s">
        <v>29</v>
      </c>
      <c r="M467" t="s">
        <v>54</v>
      </c>
      <c r="N467" t="s">
        <v>22</v>
      </c>
      <c r="O467">
        <f>Table1[[#All],[Quantity]]*Table1[[#All],[Unit Price (?)]]</f>
        <v>13892.76</v>
      </c>
      <c r="P467" t="str">
        <f>TEXT(Table1[[#All],[Order Date]],"dddd")</f>
        <v>Tuesday</v>
      </c>
      <c r="Q467" t="str">
        <f>TEXT(Table1[[#All],[Order Date]],"mmm")</f>
        <v>Feb</v>
      </c>
      <c r="R467" t="str">
        <f>IF(Table1[[#All],[Total Price (?)]]&gt;1000,"High Value","Normal")</f>
        <v>High Value</v>
      </c>
    </row>
    <row r="468" spans="1:18" x14ac:dyDescent="0.3">
      <c r="A468" t="s">
        <v>529</v>
      </c>
      <c r="B468" s="1">
        <v>45711</v>
      </c>
      <c r="C468" t="s">
        <v>24</v>
      </c>
      <c r="D468" t="s">
        <v>25</v>
      </c>
      <c r="E468" t="s">
        <v>17</v>
      </c>
      <c r="F468" t="s">
        <v>32</v>
      </c>
      <c r="G468">
        <v>2</v>
      </c>
      <c r="H468">
        <v>3536.51</v>
      </c>
      <c r="I468">
        <v>0.2</v>
      </c>
      <c r="J468">
        <v>5658.42</v>
      </c>
      <c r="K468" t="s">
        <v>58</v>
      </c>
      <c r="L468" t="s">
        <v>34</v>
      </c>
      <c r="M468" t="s">
        <v>54</v>
      </c>
      <c r="N468" t="s">
        <v>22</v>
      </c>
      <c r="O468">
        <f>Table1[[#All],[Quantity]]*Table1[[#All],[Unit Price (?)]]</f>
        <v>7073.02</v>
      </c>
      <c r="P468" t="str">
        <f>TEXT(Table1[[#All],[Order Date]],"dddd")</f>
        <v>Sunday</v>
      </c>
      <c r="Q468" t="str">
        <f>TEXT(Table1[[#All],[Order Date]],"mmm")</f>
        <v>Feb</v>
      </c>
      <c r="R468" t="str">
        <f>IF(Table1[[#All],[Total Price (?)]]&gt;1000,"High Value","Normal")</f>
        <v>High Value</v>
      </c>
    </row>
    <row r="469" spans="1:18" x14ac:dyDescent="0.3">
      <c r="A469" t="s">
        <v>530</v>
      </c>
      <c r="B469" s="1">
        <v>45736</v>
      </c>
      <c r="C469" t="s">
        <v>48</v>
      </c>
      <c r="D469" t="s">
        <v>25</v>
      </c>
      <c r="E469" t="s">
        <v>27</v>
      </c>
      <c r="F469" t="s">
        <v>28</v>
      </c>
      <c r="G469">
        <v>4</v>
      </c>
      <c r="H469">
        <v>1855.02</v>
      </c>
      <c r="I469">
        <v>0.03</v>
      </c>
      <c r="J469">
        <v>7197.48</v>
      </c>
      <c r="K469" t="s">
        <v>19</v>
      </c>
      <c r="L469" t="s">
        <v>20</v>
      </c>
      <c r="M469" t="s">
        <v>54</v>
      </c>
      <c r="N469" t="s">
        <v>22</v>
      </c>
      <c r="O469">
        <f>Table1[[#All],[Quantity]]*Table1[[#All],[Unit Price (?)]]</f>
        <v>7420.08</v>
      </c>
      <c r="P469" t="str">
        <f>TEXT(Table1[[#All],[Order Date]],"dddd")</f>
        <v>Thursday</v>
      </c>
      <c r="Q469" t="str">
        <f>TEXT(Table1[[#All],[Order Date]],"mmm")</f>
        <v>Mar</v>
      </c>
      <c r="R469" t="str">
        <f>IF(Table1[[#All],[Total Price (?)]]&gt;1000,"High Value","Normal")</f>
        <v>High Value</v>
      </c>
    </row>
    <row r="470" spans="1:18" x14ac:dyDescent="0.3">
      <c r="A470" t="s">
        <v>531</v>
      </c>
      <c r="B470" s="1">
        <v>45685</v>
      </c>
      <c r="C470" t="s">
        <v>36</v>
      </c>
      <c r="D470" t="s">
        <v>25</v>
      </c>
      <c r="E470" t="s">
        <v>27</v>
      </c>
      <c r="F470" t="s">
        <v>28</v>
      </c>
      <c r="G470">
        <v>5</v>
      </c>
      <c r="H470">
        <v>1014.47</v>
      </c>
      <c r="I470">
        <v>0.09</v>
      </c>
      <c r="J470">
        <v>4615.84</v>
      </c>
      <c r="K470" t="s">
        <v>41</v>
      </c>
      <c r="L470" t="s">
        <v>20</v>
      </c>
      <c r="M470" t="s">
        <v>21</v>
      </c>
      <c r="N470" t="s">
        <v>22</v>
      </c>
      <c r="O470">
        <f>Table1[[#All],[Quantity]]*Table1[[#All],[Unit Price (?)]]</f>
        <v>5072.3500000000004</v>
      </c>
      <c r="P470" t="str">
        <f>TEXT(Table1[[#All],[Order Date]],"dddd")</f>
        <v>Tuesday</v>
      </c>
      <c r="Q470" t="str">
        <f>TEXT(Table1[[#All],[Order Date]],"mmm")</f>
        <v>Jan</v>
      </c>
      <c r="R470" t="str">
        <f>IF(Table1[[#All],[Total Price (?)]]&gt;1000,"High Value","Normal")</f>
        <v>High Value</v>
      </c>
    </row>
    <row r="471" spans="1:18" x14ac:dyDescent="0.3">
      <c r="A471" t="s">
        <v>532</v>
      </c>
      <c r="B471" s="1">
        <v>45790</v>
      </c>
      <c r="C471" t="s">
        <v>24</v>
      </c>
      <c r="D471" t="s">
        <v>25</v>
      </c>
      <c r="E471" t="s">
        <v>27</v>
      </c>
      <c r="F471" t="s">
        <v>68</v>
      </c>
      <c r="G471">
        <v>4</v>
      </c>
      <c r="H471">
        <v>1548.8</v>
      </c>
      <c r="I471">
        <v>7.0000000000000007E-2</v>
      </c>
      <c r="J471">
        <v>5761.54</v>
      </c>
      <c r="K471" t="s">
        <v>33</v>
      </c>
      <c r="L471" t="s">
        <v>20</v>
      </c>
      <c r="M471" t="s">
        <v>30</v>
      </c>
      <c r="N471" t="s">
        <v>22</v>
      </c>
      <c r="O471">
        <f>Table1[[#All],[Quantity]]*Table1[[#All],[Unit Price (?)]]</f>
        <v>6195.2</v>
      </c>
      <c r="P471" t="str">
        <f>TEXT(Table1[[#All],[Order Date]],"dddd")</f>
        <v>Tuesday</v>
      </c>
      <c r="Q471" t="str">
        <f>TEXT(Table1[[#All],[Order Date]],"mmm")</f>
        <v>May</v>
      </c>
      <c r="R471" t="str">
        <f>IF(Table1[[#All],[Total Price (?)]]&gt;1000,"High Value","Normal")</f>
        <v>High Value</v>
      </c>
    </row>
    <row r="472" spans="1:18" x14ac:dyDescent="0.3">
      <c r="A472" t="s">
        <v>533</v>
      </c>
      <c r="B472" s="1">
        <v>45785</v>
      </c>
      <c r="C472" t="s">
        <v>52</v>
      </c>
      <c r="D472" t="s">
        <v>16</v>
      </c>
      <c r="E472" t="s">
        <v>27</v>
      </c>
      <c r="F472" t="s">
        <v>87</v>
      </c>
      <c r="G472">
        <v>3</v>
      </c>
      <c r="H472">
        <v>3902.48</v>
      </c>
      <c r="I472">
        <v>0.06</v>
      </c>
      <c r="J472">
        <v>11004.99</v>
      </c>
      <c r="K472" t="s">
        <v>58</v>
      </c>
      <c r="L472" t="s">
        <v>29</v>
      </c>
      <c r="M472" t="s">
        <v>21</v>
      </c>
      <c r="N472" t="s">
        <v>22</v>
      </c>
      <c r="O472">
        <f>Table1[[#All],[Quantity]]*Table1[[#All],[Unit Price (?)]]</f>
        <v>11707.44</v>
      </c>
      <c r="P472" t="str">
        <f>TEXT(Table1[[#All],[Order Date]],"dddd")</f>
        <v>Thursday</v>
      </c>
      <c r="Q472" t="str">
        <f>TEXT(Table1[[#All],[Order Date]],"mmm")</f>
        <v>May</v>
      </c>
      <c r="R472" t="str">
        <f>IF(Table1[[#All],[Total Price (?)]]&gt;1000,"High Value","Normal")</f>
        <v>High Value</v>
      </c>
    </row>
    <row r="473" spans="1:18" x14ac:dyDescent="0.3">
      <c r="A473" t="s">
        <v>534</v>
      </c>
      <c r="B473" s="1">
        <v>45718</v>
      </c>
      <c r="C473" t="s">
        <v>52</v>
      </c>
      <c r="D473" t="s">
        <v>39</v>
      </c>
      <c r="E473" t="s">
        <v>27</v>
      </c>
      <c r="F473" t="s">
        <v>87</v>
      </c>
      <c r="G473">
        <v>4</v>
      </c>
      <c r="H473">
        <v>3852.1</v>
      </c>
      <c r="I473">
        <v>0.04</v>
      </c>
      <c r="J473">
        <v>14792.06</v>
      </c>
      <c r="K473" t="s">
        <v>33</v>
      </c>
      <c r="L473" t="s">
        <v>29</v>
      </c>
      <c r="M473" t="s">
        <v>30</v>
      </c>
      <c r="N473" t="s">
        <v>22</v>
      </c>
      <c r="O473">
        <f>Table1[[#All],[Quantity]]*Table1[[#All],[Unit Price (?)]]</f>
        <v>15408.4</v>
      </c>
      <c r="P473" t="str">
        <f>TEXT(Table1[[#All],[Order Date]],"dddd")</f>
        <v>Sunday</v>
      </c>
      <c r="Q473" t="str">
        <f>TEXT(Table1[[#All],[Order Date]],"mmm")</f>
        <v>Mar</v>
      </c>
      <c r="R473" t="str">
        <f>IF(Table1[[#All],[Total Price (?)]]&gt;1000,"High Value","Normal")</f>
        <v>High Value</v>
      </c>
    </row>
    <row r="474" spans="1:18" x14ac:dyDescent="0.3">
      <c r="A474" t="s">
        <v>535</v>
      </c>
      <c r="B474" s="1">
        <v>45748</v>
      </c>
      <c r="C474" t="s">
        <v>24</v>
      </c>
      <c r="D474" t="s">
        <v>16</v>
      </c>
      <c r="E474" t="s">
        <v>99</v>
      </c>
      <c r="F474" t="s">
        <v>120</v>
      </c>
      <c r="G474">
        <v>1</v>
      </c>
      <c r="H474">
        <v>314.51</v>
      </c>
      <c r="I474">
        <v>0.23</v>
      </c>
      <c r="J474">
        <v>242.17</v>
      </c>
      <c r="K474" t="s">
        <v>33</v>
      </c>
      <c r="L474" t="s">
        <v>29</v>
      </c>
      <c r="M474" t="s">
        <v>54</v>
      </c>
      <c r="N474" t="s">
        <v>22</v>
      </c>
      <c r="O474">
        <f>Table1[[#All],[Quantity]]*Table1[[#All],[Unit Price (?)]]</f>
        <v>314.51</v>
      </c>
      <c r="P474" t="str">
        <f>TEXT(Table1[[#All],[Order Date]],"dddd")</f>
        <v>Tuesday</v>
      </c>
      <c r="Q474" t="str">
        <f>TEXT(Table1[[#All],[Order Date]],"mmm")</f>
        <v>Apr</v>
      </c>
      <c r="R474" t="str">
        <f>IF(Table1[[#All],[Total Price (?)]]&gt;1000,"High Value","Normal")</f>
        <v>Normal</v>
      </c>
    </row>
    <row r="475" spans="1:18" x14ac:dyDescent="0.3">
      <c r="A475" t="s">
        <v>536</v>
      </c>
      <c r="B475" s="1">
        <v>45721</v>
      </c>
      <c r="C475" t="s">
        <v>24</v>
      </c>
      <c r="D475" t="s">
        <v>39</v>
      </c>
      <c r="E475" t="s">
        <v>49</v>
      </c>
      <c r="F475" t="s">
        <v>73</v>
      </c>
      <c r="G475">
        <v>4</v>
      </c>
      <c r="H475">
        <v>3323.81</v>
      </c>
      <c r="I475">
        <v>0.13</v>
      </c>
      <c r="J475">
        <v>11566.86</v>
      </c>
      <c r="K475" t="s">
        <v>58</v>
      </c>
      <c r="L475" t="s">
        <v>29</v>
      </c>
      <c r="M475" t="s">
        <v>21</v>
      </c>
      <c r="N475" t="s">
        <v>22</v>
      </c>
      <c r="O475">
        <f>Table1[[#All],[Quantity]]*Table1[[#All],[Unit Price (?)]]</f>
        <v>13295.24</v>
      </c>
      <c r="P475" t="str">
        <f>TEXT(Table1[[#All],[Order Date]],"dddd")</f>
        <v>Wednesday</v>
      </c>
      <c r="Q475" t="str">
        <f>TEXT(Table1[[#All],[Order Date]],"mmm")</f>
        <v>Mar</v>
      </c>
      <c r="R475" t="str">
        <f>IF(Table1[[#All],[Total Price (?)]]&gt;1000,"High Value","Normal")</f>
        <v>High Value</v>
      </c>
    </row>
    <row r="476" spans="1:18" x14ac:dyDescent="0.3">
      <c r="A476" t="s">
        <v>537</v>
      </c>
      <c r="B476" s="1">
        <v>45840</v>
      </c>
      <c r="C476" t="s">
        <v>24</v>
      </c>
      <c r="D476" t="s">
        <v>16</v>
      </c>
      <c r="E476" t="s">
        <v>61</v>
      </c>
      <c r="F476" t="s">
        <v>62</v>
      </c>
      <c r="G476">
        <v>4</v>
      </c>
      <c r="H476">
        <v>4649.18</v>
      </c>
      <c r="I476">
        <v>0.21</v>
      </c>
      <c r="J476">
        <v>14691.41</v>
      </c>
      <c r="K476" t="s">
        <v>19</v>
      </c>
      <c r="L476" t="s">
        <v>29</v>
      </c>
      <c r="M476" t="s">
        <v>30</v>
      </c>
      <c r="N476" t="s">
        <v>22</v>
      </c>
      <c r="O476">
        <f>Table1[[#All],[Quantity]]*Table1[[#All],[Unit Price (?)]]</f>
        <v>18596.72</v>
      </c>
      <c r="P476" t="str">
        <f>TEXT(Table1[[#All],[Order Date]],"dddd")</f>
        <v>Wednesday</v>
      </c>
      <c r="Q476" t="str">
        <f>TEXT(Table1[[#All],[Order Date]],"mmm")</f>
        <v>Jul</v>
      </c>
      <c r="R476" t="str">
        <f>IF(Table1[[#All],[Total Price (?)]]&gt;1000,"High Value","Normal")</f>
        <v>High Value</v>
      </c>
    </row>
    <row r="477" spans="1:18" x14ac:dyDescent="0.3">
      <c r="A477" t="s">
        <v>538</v>
      </c>
      <c r="B477" s="1">
        <v>45805</v>
      </c>
      <c r="C477" t="s">
        <v>24</v>
      </c>
      <c r="D477" t="s">
        <v>16</v>
      </c>
      <c r="E477" t="s">
        <v>49</v>
      </c>
      <c r="F477" t="s">
        <v>53</v>
      </c>
      <c r="G477">
        <v>5</v>
      </c>
      <c r="H477">
        <v>299.2</v>
      </c>
      <c r="I477">
        <v>0.02</v>
      </c>
      <c r="J477">
        <v>1466.08</v>
      </c>
      <c r="K477" t="s">
        <v>33</v>
      </c>
      <c r="L477" t="s">
        <v>34</v>
      </c>
      <c r="M477" t="s">
        <v>30</v>
      </c>
      <c r="N477" t="s">
        <v>37</v>
      </c>
      <c r="O477">
        <f>Table1[[#All],[Quantity]]*Table1[[#All],[Unit Price (?)]]</f>
        <v>1496</v>
      </c>
      <c r="P477" t="str">
        <f>TEXT(Table1[[#All],[Order Date]],"dddd")</f>
        <v>Wednesday</v>
      </c>
      <c r="Q477" t="str">
        <f>TEXT(Table1[[#All],[Order Date]],"mmm")</f>
        <v>May</v>
      </c>
      <c r="R477" t="str">
        <f>IF(Table1[[#All],[Total Price (?)]]&gt;1000,"High Value","Normal")</f>
        <v>High Value</v>
      </c>
    </row>
    <row r="478" spans="1:18" x14ac:dyDescent="0.3">
      <c r="A478" t="s">
        <v>539</v>
      </c>
      <c r="B478" s="1">
        <v>45841</v>
      </c>
      <c r="C478" t="s">
        <v>24</v>
      </c>
      <c r="D478" t="s">
        <v>43</v>
      </c>
      <c r="E478" t="s">
        <v>27</v>
      </c>
      <c r="F478" t="s">
        <v>79</v>
      </c>
      <c r="G478">
        <v>4</v>
      </c>
      <c r="H478">
        <v>1028.3599999999999</v>
      </c>
      <c r="I478">
        <v>0.13</v>
      </c>
      <c r="J478">
        <v>3578.69</v>
      </c>
      <c r="K478" t="s">
        <v>19</v>
      </c>
      <c r="L478" t="s">
        <v>29</v>
      </c>
      <c r="M478" t="s">
        <v>54</v>
      </c>
      <c r="N478" t="s">
        <v>22</v>
      </c>
      <c r="O478">
        <f>Table1[[#All],[Quantity]]*Table1[[#All],[Unit Price (?)]]</f>
        <v>4113.4399999999996</v>
      </c>
      <c r="P478" t="str">
        <f>TEXT(Table1[[#All],[Order Date]],"dddd")</f>
        <v>Thursday</v>
      </c>
      <c r="Q478" t="str">
        <f>TEXT(Table1[[#All],[Order Date]],"mmm")</f>
        <v>Jul</v>
      </c>
      <c r="R478" t="str">
        <f>IF(Table1[[#All],[Total Price (?)]]&gt;1000,"High Value","Normal")</f>
        <v>High Value</v>
      </c>
    </row>
    <row r="479" spans="1:18" x14ac:dyDescent="0.3">
      <c r="A479" t="s">
        <v>540</v>
      </c>
      <c r="B479" s="1">
        <v>45674</v>
      </c>
      <c r="C479" t="s">
        <v>24</v>
      </c>
      <c r="D479" t="s">
        <v>43</v>
      </c>
      <c r="E479" t="s">
        <v>27</v>
      </c>
      <c r="F479" t="s">
        <v>87</v>
      </c>
      <c r="G479">
        <v>4</v>
      </c>
      <c r="H479">
        <v>3542.5</v>
      </c>
      <c r="I479">
        <v>0.11</v>
      </c>
      <c r="J479">
        <v>12611.3</v>
      </c>
      <c r="K479" t="s">
        <v>33</v>
      </c>
      <c r="L479" t="s">
        <v>34</v>
      </c>
      <c r="M479" t="s">
        <v>54</v>
      </c>
      <c r="N479" t="s">
        <v>88</v>
      </c>
      <c r="O479">
        <f>Table1[[#All],[Quantity]]*Table1[[#All],[Unit Price (?)]]</f>
        <v>14170</v>
      </c>
      <c r="P479" t="str">
        <f>TEXT(Table1[[#All],[Order Date]],"dddd")</f>
        <v>Friday</v>
      </c>
      <c r="Q479" t="str">
        <f>TEXT(Table1[[#All],[Order Date]],"mmm")</f>
        <v>Jan</v>
      </c>
      <c r="R479" t="str">
        <f>IF(Table1[[#All],[Total Price (?)]]&gt;1000,"High Value","Normal")</f>
        <v>High Value</v>
      </c>
    </row>
    <row r="480" spans="1:18" x14ac:dyDescent="0.3">
      <c r="A480" t="s">
        <v>541</v>
      </c>
      <c r="B480" s="1">
        <v>45661</v>
      </c>
      <c r="C480" t="s">
        <v>36</v>
      </c>
      <c r="D480" t="s">
        <v>39</v>
      </c>
      <c r="E480" t="s">
        <v>27</v>
      </c>
      <c r="F480" t="s">
        <v>87</v>
      </c>
      <c r="G480">
        <v>2</v>
      </c>
      <c r="H480">
        <v>2716.11</v>
      </c>
      <c r="I480">
        <v>0.15</v>
      </c>
      <c r="J480">
        <v>4617.3900000000003</v>
      </c>
      <c r="K480" t="s">
        <v>46</v>
      </c>
      <c r="L480" t="s">
        <v>29</v>
      </c>
      <c r="M480" t="s">
        <v>30</v>
      </c>
      <c r="N480" t="s">
        <v>22</v>
      </c>
      <c r="O480">
        <f>Table1[[#All],[Quantity]]*Table1[[#All],[Unit Price (?)]]</f>
        <v>5432.22</v>
      </c>
      <c r="P480" t="str">
        <f>TEXT(Table1[[#All],[Order Date]],"dddd")</f>
        <v>Saturday</v>
      </c>
      <c r="Q480" t="str">
        <f>TEXT(Table1[[#All],[Order Date]],"mmm")</f>
        <v>Jan</v>
      </c>
      <c r="R480" t="str">
        <f>IF(Table1[[#All],[Total Price (?)]]&gt;1000,"High Value","Normal")</f>
        <v>High Value</v>
      </c>
    </row>
    <row r="481" spans="1:18" x14ac:dyDescent="0.3">
      <c r="A481" t="s">
        <v>542</v>
      </c>
      <c r="B481" s="1">
        <v>45748</v>
      </c>
      <c r="C481" t="s">
        <v>48</v>
      </c>
      <c r="D481" t="s">
        <v>25</v>
      </c>
      <c r="E481" t="s">
        <v>99</v>
      </c>
      <c r="F481" t="s">
        <v>111</v>
      </c>
      <c r="G481">
        <v>3</v>
      </c>
      <c r="H481">
        <v>3081.23</v>
      </c>
      <c r="I481">
        <v>0.14000000000000001</v>
      </c>
      <c r="J481">
        <v>7949.57</v>
      </c>
      <c r="K481" t="s">
        <v>41</v>
      </c>
      <c r="L481" t="s">
        <v>29</v>
      </c>
      <c r="M481" t="s">
        <v>54</v>
      </c>
      <c r="N481" t="s">
        <v>88</v>
      </c>
      <c r="O481">
        <f>Table1[[#All],[Quantity]]*Table1[[#All],[Unit Price (?)]]</f>
        <v>9243.69</v>
      </c>
      <c r="P481" t="str">
        <f>TEXT(Table1[[#All],[Order Date]],"dddd")</f>
        <v>Tuesday</v>
      </c>
      <c r="Q481" t="str">
        <f>TEXT(Table1[[#All],[Order Date]],"mmm")</f>
        <v>Apr</v>
      </c>
      <c r="R481" t="str">
        <f>IF(Table1[[#All],[Total Price (?)]]&gt;1000,"High Value","Normal")</f>
        <v>High Value</v>
      </c>
    </row>
    <row r="482" spans="1:18" x14ac:dyDescent="0.3">
      <c r="A482" t="s">
        <v>543</v>
      </c>
      <c r="B482" s="1">
        <v>45780</v>
      </c>
      <c r="C482" t="s">
        <v>48</v>
      </c>
      <c r="D482" t="s">
        <v>16</v>
      </c>
      <c r="E482" t="s">
        <v>99</v>
      </c>
      <c r="F482" t="s">
        <v>111</v>
      </c>
      <c r="G482">
        <v>1</v>
      </c>
      <c r="H482">
        <v>3658.94</v>
      </c>
      <c r="I482">
        <v>0.25</v>
      </c>
      <c r="J482">
        <v>2744.2</v>
      </c>
      <c r="K482" t="s">
        <v>41</v>
      </c>
      <c r="L482" t="s">
        <v>34</v>
      </c>
      <c r="M482" t="s">
        <v>21</v>
      </c>
      <c r="N482" t="s">
        <v>22</v>
      </c>
      <c r="O482">
        <f>Table1[[#All],[Quantity]]*Table1[[#All],[Unit Price (?)]]</f>
        <v>3658.94</v>
      </c>
      <c r="P482" t="str">
        <f>TEXT(Table1[[#All],[Order Date]],"dddd")</f>
        <v>Saturday</v>
      </c>
      <c r="Q482" t="str">
        <f>TEXT(Table1[[#All],[Order Date]],"mmm")</f>
        <v>May</v>
      </c>
      <c r="R482" t="str">
        <f>IF(Table1[[#All],[Total Price (?)]]&gt;1000,"High Value","Normal")</f>
        <v>High Value</v>
      </c>
    </row>
    <row r="483" spans="1:18" x14ac:dyDescent="0.3">
      <c r="A483" t="s">
        <v>544</v>
      </c>
      <c r="B483" s="1">
        <v>45769</v>
      </c>
      <c r="C483" t="s">
        <v>15</v>
      </c>
      <c r="D483" t="s">
        <v>39</v>
      </c>
      <c r="E483" t="s">
        <v>99</v>
      </c>
      <c r="F483" t="s">
        <v>120</v>
      </c>
      <c r="G483">
        <v>3</v>
      </c>
      <c r="H483">
        <v>206.34</v>
      </c>
      <c r="I483">
        <v>0.21</v>
      </c>
      <c r="J483">
        <v>489.03</v>
      </c>
      <c r="K483" t="s">
        <v>19</v>
      </c>
      <c r="L483" t="s">
        <v>20</v>
      </c>
      <c r="M483" t="s">
        <v>21</v>
      </c>
      <c r="N483" t="s">
        <v>37</v>
      </c>
      <c r="O483">
        <f>Table1[[#All],[Quantity]]*Table1[[#All],[Unit Price (?)]]</f>
        <v>619.02</v>
      </c>
      <c r="P483" t="str">
        <f>TEXT(Table1[[#All],[Order Date]],"dddd")</f>
        <v>Tuesday</v>
      </c>
      <c r="Q483" t="str">
        <f>TEXT(Table1[[#All],[Order Date]],"mmm")</f>
        <v>Apr</v>
      </c>
      <c r="R483" t="str">
        <f>IF(Table1[[#All],[Total Price (?)]]&gt;1000,"High Value","Normal")</f>
        <v>Normal</v>
      </c>
    </row>
    <row r="484" spans="1:18" x14ac:dyDescent="0.3">
      <c r="A484" t="s">
        <v>545</v>
      </c>
      <c r="B484" s="1">
        <v>45679</v>
      </c>
      <c r="C484" t="s">
        <v>24</v>
      </c>
      <c r="D484" t="s">
        <v>43</v>
      </c>
      <c r="E484" t="s">
        <v>27</v>
      </c>
      <c r="F484" t="s">
        <v>68</v>
      </c>
      <c r="G484">
        <v>3</v>
      </c>
      <c r="H484">
        <v>864.92</v>
      </c>
      <c r="I484">
        <v>7.0000000000000007E-2</v>
      </c>
      <c r="J484">
        <v>2413.13</v>
      </c>
      <c r="K484" t="s">
        <v>58</v>
      </c>
      <c r="L484" t="s">
        <v>34</v>
      </c>
      <c r="M484" t="s">
        <v>21</v>
      </c>
      <c r="N484" t="s">
        <v>22</v>
      </c>
      <c r="O484">
        <f>Table1[[#All],[Quantity]]*Table1[[#All],[Unit Price (?)]]</f>
        <v>2594.7599999999998</v>
      </c>
      <c r="P484" t="str">
        <f>TEXT(Table1[[#All],[Order Date]],"dddd")</f>
        <v>Wednesday</v>
      </c>
      <c r="Q484" t="str">
        <f>TEXT(Table1[[#All],[Order Date]],"mmm")</f>
        <v>Jan</v>
      </c>
      <c r="R484" t="str">
        <f>IF(Table1[[#All],[Total Price (?)]]&gt;1000,"High Value","Normal")</f>
        <v>High Value</v>
      </c>
    </row>
    <row r="485" spans="1:18" x14ac:dyDescent="0.3">
      <c r="A485" t="s">
        <v>546</v>
      </c>
      <c r="B485" s="1">
        <v>45674</v>
      </c>
      <c r="C485" t="s">
        <v>36</v>
      </c>
      <c r="D485" t="s">
        <v>43</v>
      </c>
      <c r="E485" t="s">
        <v>99</v>
      </c>
      <c r="F485" t="s">
        <v>120</v>
      </c>
      <c r="G485">
        <v>2</v>
      </c>
      <c r="H485">
        <v>3697.9</v>
      </c>
      <c r="I485">
        <v>0.18</v>
      </c>
      <c r="J485">
        <v>6064.56</v>
      </c>
      <c r="K485" t="s">
        <v>41</v>
      </c>
      <c r="L485" t="s">
        <v>29</v>
      </c>
      <c r="M485" t="s">
        <v>30</v>
      </c>
      <c r="N485" t="s">
        <v>22</v>
      </c>
      <c r="O485">
        <f>Table1[[#All],[Quantity]]*Table1[[#All],[Unit Price (?)]]</f>
        <v>7395.8</v>
      </c>
      <c r="P485" t="str">
        <f>TEXT(Table1[[#All],[Order Date]],"dddd")</f>
        <v>Friday</v>
      </c>
      <c r="Q485" t="str">
        <f>TEXT(Table1[[#All],[Order Date]],"mmm")</f>
        <v>Jan</v>
      </c>
      <c r="R485" t="str">
        <f>IF(Table1[[#All],[Total Price (?)]]&gt;1000,"High Value","Normal")</f>
        <v>High Value</v>
      </c>
    </row>
    <row r="486" spans="1:18" x14ac:dyDescent="0.3">
      <c r="A486" t="s">
        <v>547</v>
      </c>
      <c r="B486" s="1">
        <v>45764</v>
      </c>
      <c r="C486" t="s">
        <v>36</v>
      </c>
      <c r="D486" t="s">
        <v>39</v>
      </c>
      <c r="E486" t="s">
        <v>27</v>
      </c>
      <c r="F486" t="s">
        <v>79</v>
      </c>
      <c r="G486">
        <v>5</v>
      </c>
      <c r="H486">
        <v>1969.58</v>
      </c>
      <c r="I486">
        <v>0.2</v>
      </c>
      <c r="J486">
        <v>7878.32</v>
      </c>
      <c r="K486" t="s">
        <v>46</v>
      </c>
      <c r="L486" t="s">
        <v>20</v>
      </c>
      <c r="M486" t="s">
        <v>30</v>
      </c>
      <c r="N486" t="s">
        <v>37</v>
      </c>
      <c r="O486">
        <f>Table1[[#All],[Quantity]]*Table1[[#All],[Unit Price (?)]]</f>
        <v>9847.9</v>
      </c>
      <c r="P486" t="str">
        <f>TEXT(Table1[[#All],[Order Date]],"dddd")</f>
        <v>Thursday</v>
      </c>
      <c r="Q486" t="str">
        <f>TEXT(Table1[[#All],[Order Date]],"mmm")</f>
        <v>Apr</v>
      </c>
      <c r="R486" t="str">
        <f>IF(Table1[[#All],[Total Price (?)]]&gt;1000,"High Value","Normal")</f>
        <v>High Value</v>
      </c>
    </row>
    <row r="487" spans="1:18" x14ac:dyDescent="0.3">
      <c r="A487" t="s">
        <v>548</v>
      </c>
      <c r="B487" s="1">
        <v>45701</v>
      </c>
      <c r="C487" t="s">
        <v>24</v>
      </c>
      <c r="D487" t="s">
        <v>25</v>
      </c>
      <c r="E487" t="s">
        <v>49</v>
      </c>
      <c r="F487" t="s">
        <v>50</v>
      </c>
      <c r="G487">
        <v>5</v>
      </c>
      <c r="H487">
        <v>4650.3999999999996</v>
      </c>
      <c r="I487">
        <v>0.16</v>
      </c>
      <c r="J487">
        <v>19531.68</v>
      </c>
      <c r="K487" t="s">
        <v>19</v>
      </c>
      <c r="L487" t="s">
        <v>29</v>
      </c>
      <c r="M487" t="s">
        <v>21</v>
      </c>
      <c r="N487" t="s">
        <v>22</v>
      </c>
      <c r="O487">
        <f>Table1[[#All],[Quantity]]*Table1[[#All],[Unit Price (?)]]</f>
        <v>23252</v>
      </c>
      <c r="P487" t="str">
        <f>TEXT(Table1[[#All],[Order Date]],"dddd")</f>
        <v>Thursday</v>
      </c>
      <c r="Q487" t="str">
        <f>TEXT(Table1[[#All],[Order Date]],"mmm")</f>
        <v>Feb</v>
      </c>
      <c r="R487" t="str">
        <f>IF(Table1[[#All],[Total Price (?)]]&gt;1000,"High Value","Normal")</f>
        <v>High Value</v>
      </c>
    </row>
    <row r="488" spans="1:18" x14ac:dyDescent="0.3">
      <c r="A488" t="s">
        <v>549</v>
      </c>
      <c r="B488" s="1">
        <v>45758</v>
      </c>
      <c r="C488" t="s">
        <v>15</v>
      </c>
      <c r="D488" t="s">
        <v>16</v>
      </c>
      <c r="E488" t="s">
        <v>27</v>
      </c>
      <c r="F488" t="s">
        <v>79</v>
      </c>
      <c r="G488">
        <v>2</v>
      </c>
      <c r="H488">
        <v>1701.47</v>
      </c>
      <c r="I488">
        <v>0.17</v>
      </c>
      <c r="J488">
        <v>2824.44</v>
      </c>
      <c r="K488" t="s">
        <v>33</v>
      </c>
      <c r="L488" t="s">
        <v>29</v>
      </c>
      <c r="M488" t="s">
        <v>54</v>
      </c>
      <c r="N488" t="s">
        <v>22</v>
      </c>
      <c r="O488">
        <f>Table1[[#All],[Quantity]]*Table1[[#All],[Unit Price (?)]]</f>
        <v>3402.94</v>
      </c>
      <c r="P488" t="str">
        <f>TEXT(Table1[[#All],[Order Date]],"dddd")</f>
        <v>Friday</v>
      </c>
      <c r="Q488" t="str">
        <f>TEXT(Table1[[#All],[Order Date]],"mmm")</f>
        <v>Apr</v>
      </c>
      <c r="R488" t="str">
        <f>IF(Table1[[#All],[Total Price (?)]]&gt;1000,"High Value","Normal")</f>
        <v>High Value</v>
      </c>
    </row>
    <row r="489" spans="1:18" x14ac:dyDescent="0.3">
      <c r="A489" t="s">
        <v>550</v>
      </c>
      <c r="B489" s="1">
        <v>45711</v>
      </c>
      <c r="C489" t="s">
        <v>36</v>
      </c>
      <c r="D489" t="s">
        <v>43</v>
      </c>
      <c r="E489" t="s">
        <v>49</v>
      </c>
      <c r="F489" t="s">
        <v>50</v>
      </c>
      <c r="G489">
        <v>1</v>
      </c>
      <c r="H489">
        <v>1188.22</v>
      </c>
      <c r="I489">
        <v>7.0000000000000007E-2</v>
      </c>
      <c r="J489">
        <v>1105.04</v>
      </c>
      <c r="K489" t="s">
        <v>33</v>
      </c>
      <c r="L489" t="s">
        <v>29</v>
      </c>
      <c r="M489" t="s">
        <v>30</v>
      </c>
      <c r="N489" t="s">
        <v>22</v>
      </c>
      <c r="O489">
        <f>Table1[[#All],[Quantity]]*Table1[[#All],[Unit Price (?)]]</f>
        <v>1188.22</v>
      </c>
      <c r="P489" t="str">
        <f>TEXT(Table1[[#All],[Order Date]],"dddd")</f>
        <v>Sunday</v>
      </c>
      <c r="Q489" t="str">
        <f>TEXT(Table1[[#All],[Order Date]],"mmm")</f>
        <v>Feb</v>
      </c>
      <c r="R489" t="str">
        <f>IF(Table1[[#All],[Total Price (?)]]&gt;1000,"High Value","Normal")</f>
        <v>High Value</v>
      </c>
    </row>
    <row r="490" spans="1:18" x14ac:dyDescent="0.3">
      <c r="A490" t="s">
        <v>551</v>
      </c>
      <c r="B490" s="1">
        <v>45685</v>
      </c>
      <c r="C490" t="s">
        <v>36</v>
      </c>
      <c r="D490" t="s">
        <v>43</v>
      </c>
      <c r="E490" t="s">
        <v>17</v>
      </c>
      <c r="F490" t="s">
        <v>40</v>
      </c>
      <c r="G490">
        <v>4</v>
      </c>
      <c r="H490">
        <v>1386.53</v>
      </c>
      <c r="I490">
        <v>0.1</v>
      </c>
      <c r="J490">
        <v>4991.51</v>
      </c>
      <c r="K490" t="s">
        <v>58</v>
      </c>
      <c r="L490" t="s">
        <v>29</v>
      </c>
      <c r="M490" t="s">
        <v>30</v>
      </c>
      <c r="N490" t="s">
        <v>88</v>
      </c>
      <c r="O490">
        <f>Table1[[#All],[Quantity]]*Table1[[#All],[Unit Price (?)]]</f>
        <v>5546.12</v>
      </c>
      <c r="P490" t="str">
        <f>TEXT(Table1[[#All],[Order Date]],"dddd")</f>
        <v>Tuesday</v>
      </c>
      <c r="Q490" t="str">
        <f>TEXT(Table1[[#All],[Order Date]],"mmm")</f>
        <v>Jan</v>
      </c>
      <c r="R490" t="str">
        <f>IF(Table1[[#All],[Total Price (?)]]&gt;1000,"High Value","Normal")</f>
        <v>High Value</v>
      </c>
    </row>
    <row r="491" spans="1:18" x14ac:dyDescent="0.3">
      <c r="A491" t="s">
        <v>552</v>
      </c>
      <c r="B491" s="1">
        <v>45841</v>
      </c>
      <c r="C491" t="s">
        <v>48</v>
      </c>
      <c r="D491" t="s">
        <v>43</v>
      </c>
      <c r="E491" t="s">
        <v>49</v>
      </c>
      <c r="F491" t="s">
        <v>73</v>
      </c>
      <c r="G491">
        <v>5</v>
      </c>
      <c r="H491">
        <v>1060.8900000000001</v>
      </c>
      <c r="I491">
        <v>0.15</v>
      </c>
      <c r="J491">
        <v>4508.78</v>
      </c>
      <c r="K491" t="s">
        <v>41</v>
      </c>
      <c r="L491" t="s">
        <v>29</v>
      </c>
      <c r="M491" t="s">
        <v>21</v>
      </c>
      <c r="N491" t="s">
        <v>22</v>
      </c>
      <c r="O491">
        <f>Table1[[#All],[Quantity]]*Table1[[#All],[Unit Price (?)]]</f>
        <v>5304.4500000000007</v>
      </c>
      <c r="P491" t="str">
        <f>TEXT(Table1[[#All],[Order Date]],"dddd")</f>
        <v>Thursday</v>
      </c>
      <c r="Q491" t="str">
        <f>TEXT(Table1[[#All],[Order Date]],"mmm")</f>
        <v>Jul</v>
      </c>
      <c r="R491" t="str">
        <f>IF(Table1[[#All],[Total Price (?)]]&gt;1000,"High Value","Normal")</f>
        <v>High Value</v>
      </c>
    </row>
    <row r="492" spans="1:18" x14ac:dyDescent="0.3">
      <c r="A492" t="s">
        <v>553</v>
      </c>
      <c r="B492" s="1">
        <v>45727</v>
      </c>
      <c r="C492" t="s">
        <v>15</v>
      </c>
      <c r="D492" t="s">
        <v>43</v>
      </c>
      <c r="E492" t="s">
        <v>99</v>
      </c>
      <c r="F492" t="s">
        <v>115</v>
      </c>
      <c r="G492">
        <v>1</v>
      </c>
      <c r="H492">
        <v>3391.56</v>
      </c>
      <c r="I492">
        <v>0.11</v>
      </c>
      <c r="J492">
        <v>3018.49</v>
      </c>
      <c r="K492" t="s">
        <v>33</v>
      </c>
      <c r="L492" t="s">
        <v>20</v>
      </c>
      <c r="M492" t="s">
        <v>30</v>
      </c>
      <c r="N492" t="s">
        <v>22</v>
      </c>
      <c r="O492">
        <f>Table1[[#All],[Quantity]]*Table1[[#All],[Unit Price (?)]]</f>
        <v>3391.56</v>
      </c>
      <c r="P492" t="str">
        <f>TEXT(Table1[[#All],[Order Date]],"dddd")</f>
        <v>Tuesday</v>
      </c>
      <c r="Q492" t="str">
        <f>TEXT(Table1[[#All],[Order Date]],"mmm")</f>
        <v>Mar</v>
      </c>
      <c r="R492" t="str">
        <f>IF(Table1[[#All],[Total Price (?)]]&gt;1000,"High Value","Normal")</f>
        <v>High Value</v>
      </c>
    </row>
    <row r="493" spans="1:18" x14ac:dyDescent="0.3">
      <c r="A493" t="s">
        <v>554</v>
      </c>
      <c r="B493" s="1">
        <v>45831</v>
      </c>
      <c r="C493" t="s">
        <v>15</v>
      </c>
      <c r="D493" t="s">
        <v>43</v>
      </c>
      <c r="E493" t="s">
        <v>27</v>
      </c>
      <c r="F493" t="s">
        <v>79</v>
      </c>
      <c r="G493">
        <v>5</v>
      </c>
      <c r="H493">
        <v>4125.76</v>
      </c>
      <c r="I493">
        <v>0.2</v>
      </c>
      <c r="J493">
        <v>16503.04</v>
      </c>
      <c r="K493" t="s">
        <v>19</v>
      </c>
      <c r="L493" t="s">
        <v>34</v>
      </c>
      <c r="M493" t="s">
        <v>21</v>
      </c>
      <c r="N493" t="s">
        <v>22</v>
      </c>
      <c r="O493">
        <f>Table1[[#All],[Quantity]]*Table1[[#All],[Unit Price (?)]]</f>
        <v>20628.800000000003</v>
      </c>
      <c r="P493" t="str">
        <f>TEXT(Table1[[#All],[Order Date]],"dddd")</f>
        <v>Monday</v>
      </c>
      <c r="Q493" t="str">
        <f>TEXT(Table1[[#All],[Order Date]],"mmm")</f>
        <v>Jun</v>
      </c>
      <c r="R493" t="str">
        <f>IF(Table1[[#All],[Total Price (?)]]&gt;1000,"High Value","Normal")</f>
        <v>High Value</v>
      </c>
    </row>
    <row r="494" spans="1:18" x14ac:dyDescent="0.3">
      <c r="A494" t="s">
        <v>555</v>
      </c>
      <c r="B494" s="1">
        <v>45673</v>
      </c>
      <c r="C494" t="s">
        <v>15</v>
      </c>
      <c r="D494" t="s">
        <v>43</v>
      </c>
      <c r="E494" t="s">
        <v>61</v>
      </c>
      <c r="F494" t="s">
        <v>75</v>
      </c>
      <c r="G494">
        <v>1</v>
      </c>
      <c r="H494">
        <v>650.62</v>
      </c>
      <c r="I494">
        <v>0.01</v>
      </c>
      <c r="J494">
        <v>644.11</v>
      </c>
      <c r="K494" t="s">
        <v>19</v>
      </c>
      <c r="L494" t="s">
        <v>29</v>
      </c>
      <c r="M494" t="s">
        <v>21</v>
      </c>
      <c r="N494" t="s">
        <v>37</v>
      </c>
      <c r="O494">
        <f>Table1[[#All],[Quantity]]*Table1[[#All],[Unit Price (?)]]</f>
        <v>650.62</v>
      </c>
      <c r="P494" t="str">
        <f>TEXT(Table1[[#All],[Order Date]],"dddd")</f>
        <v>Thursday</v>
      </c>
      <c r="Q494" t="str">
        <f>TEXT(Table1[[#All],[Order Date]],"mmm")</f>
        <v>Jan</v>
      </c>
      <c r="R494" t="str">
        <f>IF(Table1[[#All],[Total Price (?)]]&gt;1000,"High Value","Normal")</f>
        <v>Normal</v>
      </c>
    </row>
    <row r="495" spans="1:18" x14ac:dyDescent="0.3">
      <c r="A495" t="s">
        <v>556</v>
      </c>
      <c r="B495" s="1">
        <v>45830</v>
      </c>
      <c r="C495" t="s">
        <v>15</v>
      </c>
      <c r="D495" t="s">
        <v>43</v>
      </c>
      <c r="E495" t="s">
        <v>99</v>
      </c>
      <c r="F495" t="s">
        <v>120</v>
      </c>
      <c r="G495">
        <v>4</v>
      </c>
      <c r="H495">
        <v>2408.83</v>
      </c>
      <c r="I495">
        <v>0.08</v>
      </c>
      <c r="J495">
        <v>8864.49</v>
      </c>
      <c r="K495" t="s">
        <v>58</v>
      </c>
      <c r="L495" t="s">
        <v>34</v>
      </c>
      <c r="M495" t="s">
        <v>21</v>
      </c>
      <c r="N495" t="s">
        <v>22</v>
      </c>
      <c r="O495">
        <f>Table1[[#All],[Quantity]]*Table1[[#All],[Unit Price (?)]]</f>
        <v>9635.32</v>
      </c>
      <c r="P495" t="str">
        <f>TEXT(Table1[[#All],[Order Date]],"dddd")</f>
        <v>Sunday</v>
      </c>
      <c r="Q495" t="str">
        <f>TEXT(Table1[[#All],[Order Date]],"mmm")</f>
        <v>Jun</v>
      </c>
      <c r="R495" t="str">
        <f>IF(Table1[[#All],[Total Price (?)]]&gt;1000,"High Value","Normal")</f>
        <v>High Value</v>
      </c>
    </row>
    <row r="496" spans="1:18" x14ac:dyDescent="0.3">
      <c r="A496" t="s">
        <v>557</v>
      </c>
      <c r="B496" s="1">
        <v>45707</v>
      </c>
      <c r="C496" t="s">
        <v>36</v>
      </c>
      <c r="D496" t="s">
        <v>16</v>
      </c>
      <c r="E496" t="s">
        <v>27</v>
      </c>
      <c r="F496" t="s">
        <v>28</v>
      </c>
      <c r="G496">
        <v>2</v>
      </c>
      <c r="H496">
        <v>3505.85</v>
      </c>
      <c r="I496">
        <v>0.17</v>
      </c>
      <c r="J496">
        <v>5819.71</v>
      </c>
      <c r="K496" t="s">
        <v>41</v>
      </c>
      <c r="L496" t="s">
        <v>29</v>
      </c>
      <c r="M496" t="s">
        <v>30</v>
      </c>
      <c r="N496" t="s">
        <v>22</v>
      </c>
      <c r="O496">
        <f>Table1[[#All],[Quantity]]*Table1[[#All],[Unit Price (?)]]</f>
        <v>7011.7</v>
      </c>
      <c r="P496" t="str">
        <f>TEXT(Table1[[#All],[Order Date]],"dddd")</f>
        <v>Wednesday</v>
      </c>
      <c r="Q496" t="str">
        <f>TEXT(Table1[[#All],[Order Date]],"mmm")</f>
        <v>Feb</v>
      </c>
      <c r="R496" t="str">
        <f>IF(Table1[[#All],[Total Price (?)]]&gt;1000,"High Value","Normal")</f>
        <v>High Value</v>
      </c>
    </row>
    <row r="497" spans="1:18" x14ac:dyDescent="0.3">
      <c r="A497" t="s">
        <v>558</v>
      </c>
      <c r="B497" s="1">
        <v>45731</v>
      </c>
      <c r="C497" t="s">
        <v>52</v>
      </c>
      <c r="D497" t="s">
        <v>25</v>
      </c>
      <c r="E497" t="s">
        <v>17</v>
      </c>
      <c r="F497" t="s">
        <v>32</v>
      </c>
      <c r="G497">
        <v>1</v>
      </c>
      <c r="H497">
        <v>2378.31</v>
      </c>
      <c r="I497">
        <v>0.24</v>
      </c>
      <c r="J497">
        <v>1807.52</v>
      </c>
      <c r="K497" t="s">
        <v>33</v>
      </c>
      <c r="L497" t="s">
        <v>34</v>
      </c>
      <c r="M497" t="s">
        <v>54</v>
      </c>
      <c r="N497" t="s">
        <v>22</v>
      </c>
      <c r="O497">
        <f>Table1[[#All],[Quantity]]*Table1[[#All],[Unit Price (?)]]</f>
        <v>2378.31</v>
      </c>
      <c r="P497" t="str">
        <f>TEXT(Table1[[#All],[Order Date]],"dddd")</f>
        <v>Saturday</v>
      </c>
      <c r="Q497" t="str">
        <f>TEXT(Table1[[#All],[Order Date]],"mmm")</f>
        <v>Mar</v>
      </c>
      <c r="R497" t="str">
        <f>IF(Table1[[#All],[Total Price (?)]]&gt;1000,"High Value","Normal")</f>
        <v>High Value</v>
      </c>
    </row>
    <row r="498" spans="1:18" x14ac:dyDescent="0.3">
      <c r="A498" t="s">
        <v>559</v>
      </c>
      <c r="B498" s="1">
        <v>45715</v>
      </c>
      <c r="C498" t="s">
        <v>24</v>
      </c>
      <c r="D498" t="s">
        <v>16</v>
      </c>
      <c r="E498" t="s">
        <v>99</v>
      </c>
      <c r="F498" t="s">
        <v>120</v>
      </c>
      <c r="G498">
        <v>4</v>
      </c>
      <c r="H498">
        <v>1232.73</v>
      </c>
      <c r="I498">
        <v>0.1</v>
      </c>
      <c r="J498">
        <v>4437.83</v>
      </c>
      <c r="K498" t="s">
        <v>46</v>
      </c>
      <c r="L498" t="s">
        <v>29</v>
      </c>
      <c r="M498" t="s">
        <v>21</v>
      </c>
      <c r="N498" t="s">
        <v>37</v>
      </c>
      <c r="O498">
        <f>Table1[[#All],[Quantity]]*Table1[[#All],[Unit Price (?)]]</f>
        <v>4930.92</v>
      </c>
      <c r="P498" t="str">
        <f>TEXT(Table1[[#All],[Order Date]],"dddd")</f>
        <v>Thursday</v>
      </c>
      <c r="Q498" t="str">
        <f>TEXT(Table1[[#All],[Order Date]],"mmm")</f>
        <v>Feb</v>
      </c>
      <c r="R498" t="str">
        <f>IF(Table1[[#All],[Total Price (?)]]&gt;1000,"High Value","Normal")</f>
        <v>High Value</v>
      </c>
    </row>
    <row r="499" spans="1:18" x14ac:dyDescent="0.3">
      <c r="A499" t="s">
        <v>560</v>
      </c>
      <c r="B499" s="1">
        <v>45690</v>
      </c>
      <c r="C499" t="s">
        <v>52</v>
      </c>
      <c r="D499" t="s">
        <v>43</v>
      </c>
      <c r="E499" t="s">
        <v>49</v>
      </c>
      <c r="F499" t="s">
        <v>56</v>
      </c>
      <c r="G499">
        <v>4</v>
      </c>
      <c r="H499">
        <v>2847.37</v>
      </c>
      <c r="I499">
        <v>0.18</v>
      </c>
      <c r="J499">
        <v>9339.3700000000008</v>
      </c>
      <c r="K499" t="s">
        <v>19</v>
      </c>
      <c r="L499" t="s">
        <v>29</v>
      </c>
      <c r="M499" t="s">
        <v>54</v>
      </c>
      <c r="N499" t="s">
        <v>37</v>
      </c>
      <c r="O499">
        <f>Table1[[#All],[Quantity]]*Table1[[#All],[Unit Price (?)]]</f>
        <v>11389.48</v>
      </c>
      <c r="P499" t="str">
        <f>TEXT(Table1[[#All],[Order Date]],"dddd")</f>
        <v>Sunday</v>
      </c>
      <c r="Q499" t="str">
        <f>TEXT(Table1[[#All],[Order Date]],"mmm")</f>
        <v>Feb</v>
      </c>
      <c r="R499" t="str">
        <f>IF(Table1[[#All],[Total Price (?)]]&gt;1000,"High Value","Normal")</f>
        <v>High Value</v>
      </c>
    </row>
    <row r="500" spans="1:18" x14ac:dyDescent="0.3">
      <c r="A500" t="s">
        <v>561</v>
      </c>
      <c r="B500" s="1">
        <v>45745</v>
      </c>
      <c r="C500" t="s">
        <v>48</v>
      </c>
      <c r="D500" t="s">
        <v>39</v>
      </c>
      <c r="E500" t="s">
        <v>99</v>
      </c>
      <c r="F500" t="s">
        <v>111</v>
      </c>
      <c r="G500">
        <v>2</v>
      </c>
      <c r="H500">
        <v>190.02</v>
      </c>
      <c r="I500">
        <v>0.17</v>
      </c>
      <c r="J500">
        <v>315.43</v>
      </c>
      <c r="K500" t="s">
        <v>41</v>
      </c>
      <c r="L500" t="s">
        <v>29</v>
      </c>
      <c r="M500" t="s">
        <v>30</v>
      </c>
      <c r="N500" t="s">
        <v>22</v>
      </c>
      <c r="O500">
        <f>Table1[[#All],[Quantity]]*Table1[[#All],[Unit Price (?)]]</f>
        <v>380.04</v>
      </c>
      <c r="P500" t="str">
        <f>TEXT(Table1[[#All],[Order Date]],"dddd")</f>
        <v>Saturday</v>
      </c>
      <c r="Q500" t="str">
        <f>TEXT(Table1[[#All],[Order Date]],"mmm")</f>
        <v>Mar</v>
      </c>
      <c r="R500" t="str">
        <f>IF(Table1[[#All],[Total Price (?)]]&gt;1000,"High Value","Normal")</f>
        <v>Normal</v>
      </c>
    </row>
    <row r="501" spans="1:18" x14ac:dyDescent="0.3">
      <c r="A501" t="s">
        <v>562</v>
      </c>
      <c r="B501" s="1">
        <v>45821</v>
      </c>
      <c r="C501" t="s">
        <v>24</v>
      </c>
      <c r="D501" t="s">
        <v>43</v>
      </c>
      <c r="E501" t="s">
        <v>27</v>
      </c>
      <c r="F501" t="s">
        <v>28</v>
      </c>
      <c r="G501">
        <v>1</v>
      </c>
      <c r="H501">
        <v>4726.2700000000004</v>
      </c>
      <c r="I501">
        <v>0.24</v>
      </c>
      <c r="J501">
        <v>3591.97</v>
      </c>
      <c r="K501" t="s">
        <v>46</v>
      </c>
      <c r="L501" t="s">
        <v>34</v>
      </c>
      <c r="M501" t="s">
        <v>54</v>
      </c>
      <c r="N501" t="s">
        <v>22</v>
      </c>
      <c r="O501">
        <f>Table1[[#All],[Quantity]]*Table1[[#All],[Unit Price (?)]]</f>
        <v>4726.2700000000004</v>
      </c>
      <c r="P501" t="str">
        <f>TEXT(Table1[[#All],[Order Date]],"dddd")</f>
        <v>Friday</v>
      </c>
      <c r="Q501" t="str">
        <f>TEXT(Table1[[#All],[Order Date]],"mmm")</f>
        <v>Jun</v>
      </c>
      <c r="R501" t="str">
        <f>IF(Table1[[#All],[Total Price (?)]]&gt;1000,"High Value","Normal")</f>
        <v>High Value</v>
      </c>
    </row>
    <row r="502" spans="1:18" x14ac:dyDescent="0.3">
      <c r="A502" t="s">
        <v>563</v>
      </c>
      <c r="B502" s="1">
        <v>45765</v>
      </c>
      <c r="C502" t="s">
        <v>24</v>
      </c>
      <c r="D502" t="s">
        <v>43</v>
      </c>
      <c r="E502" t="s">
        <v>49</v>
      </c>
      <c r="F502" t="s">
        <v>73</v>
      </c>
      <c r="G502">
        <v>5</v>
      </c>
      <c r="H502">
        <v>4376.24</v>
      </c>
      <c r="I502">
        <v>0.17</v>
      </c>
      <c r="J502">
        <v>18161.400000000001</v>
      </c>
      <c r="K502" t="s">
        <v>41</v>
      </c>
      <c r="L502" t="s">
        <v>29</v>
      </c>
      <c r="M502" t="s">
        <v>30</v>
      </c>
      <c r="N502" t="s">
        <v>22</v>
      </c>
      <c r="O502">
        <f>Table1[[#All],[Quantity]]*Table1[[#All],[Unit Price (?)]]</f>
        <v>21881.199999999997</v>
      </c>
      <c r="P502" t="str">
        <f>TEXT(Table1[[#All],[Order Date]],"dddd")</f>
        <v>Friday</v>
      </c>
      <c r="Q502" t="str">
        <f>TEXT(Table1[[#All],[Order Date]],"mmm")</f>
        <v>Apr</v>
      </c>
      <c r="R502" t="str">
        <f>IF(Table1[[#All],[Total Price (?)]]&gt;1000,"High Value","Normal")</f>
        <v>High Value</v>
      </c>
    </row>
    <row r="503" spans="1:18" x14ac:dyDescent="0.3">
      <c r="A503" t="s">
        <v>564</v>
      </c>
      <c r="B503" s="1">
        <v>45796</v>
      </c>
      <c r="C503" t="s">
        <v>36</v>
      </c>
      <c r="D503" t="s">
        <v>43</v>
      </c>
      <c r="E503" t="s">
        <v>49</v>
      </c>
      <c r="F503" t="s">
        <v>53</v>
      </c>
      <c r="G503">
        <v>5</v>
      </c>
      <c r="H503">
        <v>745.68</v>
      </c>
      <c r="I503">
        <v>0.16</v>
      </c>
      <c r="J503">
        <v>3131.86</v>
      </c>
      <c r="K503" t="s">
        <v>46</v>
      </c>
      <c r="L503" t="s">
        <v>34</v>
      </c>
      <c r="M503" t="s">
        <v>21</v>
      </c>
      <c r="N503" t="s">
        <v>37</v>
      </c>
      <c r="O503">
        <f>Table1[[#All],[Quantity]]*Table1[[#All],[Unit Price (?)]]</f>
        <v>3728.3999999999996</v>
      </c>
      <c r="P503" t="str">
        <f>TEXT(Table1[[#All],[Order Date]],"dddd")</f>
        <v>Monday</v>
      </c>
      <c r="Q503" t="str">
        <f>TEXT(Table1[[#All],[Order Date]],"mmm")</f>
        <v>May</v>
      </c>
      <c r="R503" t="str">
        <f>IF(Table1[[#All],[Total Price (?)]]&gt;1000,"High Value","Normal")</f>
        <v>High Value</v>
      </c>
    </row>
    <row r="504" spans="1:18" x14ac:dyDescent="0.3">
      <c r="A504" t="s">
        <v>565</v>
      </c>
      <c r="B504" s="1">
        <v>45718</v>
      </c>
      <c r="C504" t="s">
        <v>48</v>
      </c>
      <c r="D504" t="s">
        <v>16</v>
      </c>
      <c r="E504" t="s">
        <v>99</v>
      </c>
      <c r="F504" t="s">
        <v>100</v>
      </c>
      <c r="G504">
        <v>5</v>
      </c>
      <c r="H504">
        <v>4593.8500000000004</v>
      </c>
      <c r="I504">
        <v>0.08</v>
      </c>
      <c r="J504">
        <v>21131.71</v>
      </c>
      <c r="K504" t="s">
        <v>19</v>
      </c>
      <c r="L504" t="s">
        <v>29</v>
      </c>
      <c r="M504" t="s">
        <v>21</v>
      </c>
      <c r="N504" t="s">
        <v>22</v>
      </c>
      <c r="O504">
        <f>Table1[[#All],[Quantity]]*Table1[[#All],[Unit Price (?)]]</f>
        <v>22969.25</v>
      </c>
      <c r="P504" t="str">
        <f>TEXT(Table1[[#All],[Order Date]],"dddd")</f>
        <v>Sunday</v>
      </c>
      <c r="Q504" t="str">
        <f>TEXT(Table1[[#All],[Order Date]],"mmm")</f>
        <v>Mar</v>
      </c>
      <c r="R504" t="str">
        <f>IF(Table1[[#All],[Total Price (?)]]&gt;1000,"High Value","Normal")</f>
        <v>High Value</v>
      </c>
    </row>
    <row r="505" spans="1:18" x14ac:dyDescent="0.3">
      <c r="A505" t="s">
        <v>566</v>
      </c>
      <c r="B505" s="1">
        <v>45778</v>
      </c>
      <c r="C505" t="s">
        <v>15</v>
      </c>
      <c r="D505" t="s">
        <v>39</v>
      </c>
      <c r="E505" t="s">
        <v>61</v>
      </c>
      <c r="F505" t="s">
        <v>62</v>
      </c>
      <c r="G505">
        <v>3</v>
      </c>
      <c r="H505">
        <v>2270.7199999999998</v>
      </c>
      <c r="I505">
        <v>0.23</v>
      </c>
      <c r="J505">
        <v>5245.36</v>
      </c>
      <c r="K505" t="s">
        <v>41</v>
      </c>
      <c r="L505" t="s">
        <v>34</v>
      </c>
      <c r="M505" t="s">
        <v>21</v>
      </c>
      <c r="N505" t="s">
        <v>22</v>
      </c>
      <c r="O505">
        <f>Table1[[#All],[Quantity]]*Table1[[#All],[Unit Price (?)]]</f>
        <v>6812.16</v>
      </c>
      <c r="P505" t="str">
        <f>TEXT(Table1[[#All],[Order Date]],"dddd")</f>
        <v>Thursday</v>
      </c>
      <c r="Q505" t="str">
        <f>TEXT(Table1[[#All],[Order Date]],"mmm")</f>
        <v>May</v>
      </c>
      <c r="R505" t="str">
        <f>IF(Table1[[#All],[Total Price (?)]]&gt;1000,"High Value","Normal")</f>
        <v>High Value</v>
      </c>
    </row>
    <row r="506" spans="1:18" x14ac:dyDescent="0.3">
      <c r="A506" t="s">
        <v>567</v>
      </c>
      <c r="B506" s="1">
        <v>45816</v>
      </c>
      <c r="C506" t="s">
        <v>52</v>
      </c>
      <c r="D506" t="s">
        <v>43</v>
      </c>
      <c r="E506" t="s">
        <v>61</v>
      </c>
      <c r="F506" t="s">
        <v>62</v>
      </c>
      <c r="G506">
        <v>5</v>
      </c>
      <c r="H506">
        <v>3123.04</v>
      </c>
      <c r="I506">
        <v>0.15</v>
      </c>
      <c r="J506">
        <v>13272.92</v>
      </c>
      <c r="K506" t="s">
        <v>19</v>
      </c>
      <c r="L506" t="s">
        <v>20</v>
      </c>
      <c r="M506" t="s">
        <v>21</v>
      </c>
      <c r="N506" t="s">
        <v>22</v>
      </c>
      <c r="O506">
        <f>Table1[[#All],[Quantity]]*Table1[[#All],[Unit Price (?)]]</f>
        <v>15615.2</v>
      </c>
      <c r="P506" t="str">
        <f>TEXT(Table1[[#All],[Order Date]],"dddd")</f>
        <v>Sunday</v>
      </c>
      <c r="Q506" t="str">
        <f>TEXT(Table1[[#All],[Order Date]],"mmm")</f>
        <v>Jun</v>
      </c>
      <c r="R506" t="str">
        <f>IF(Table1[[#All],[Total Price (?)]]&gt;1000,"High Value","Normal")</f>
        <v>High Value</v>
      </c>
    </row>
    <row r="507" spans="1:18" x14ac:dyDescent="0.3">
      <c r="A507" t="s">
        <v>568</v>
      </c>
      <c r="B507" s="1">
        <v>45786</v>
      </c>
      <c r="C507" t="s">
        <v>15</v>
      </c>
      <c r="D507" t="s">
        <v>39</v>
      </c>
      <c r="E507" t="s">
        <v>61</v>
      </c>
      <c r="F507" t="s">
        <v>62</v>
      </c>
      <c r="G507">
        <v>4</v>
      </c>
      <c r="H507">
        <v>757.02</v>
      </c>
      <c r="I507">
        <v>0.21</v>
      </c>
      <c r="J507">
        <v>2392.1799999999998</v>
      </c>
      <c r="K507" t="s">
        <v>58</v>
      </c>
      <c r="L507" t="s">
        <v>29</v>
      </c>
      <c r="M507" t="s">
        <v>30</v>
      </c>
      <c r="N507" t="s">
        <v>22</v>
      </c>
      <c r="O507">
        <f>Table1[[#All],[Quantity]]*Table1[[#All],[Unit Price (?)]]</f>
        <v>3028.08</v>
      </c>
      <c r="P507" t="str">
        <f>TEXT(Table1[[#All],[Order Date]],"dddd")</f>
        <v>Friday</v>
      </c>
      <c r="Q507" t="str">
        <f>TEXT(Table1[[#All],[Order Date]],"mmm")</f>
        <v>May</v>
      </c>
      <c r="R507" t="str">
        <f>IF(Table1[[#All],[Total Price (?)]]&gt;1000,"High Value","Normal")</f>
        <v>High Value</v>
      </c>
    </row>
    <row r="508" spans="1:18" x14ac:dyDescent="0.3">
      <c r="A508" t="s">
        <v>569</v>
      </c>
      <c r="B508" s="1">
        <v>45762</v>
      </c>
      <c r="C508" t="s">
        <v>48</v>
      </c>
      <c r="D508" t="s">
        <v>39</v>
      </c>
      <c r="E508" t="s">
        <v>49</v>
      </c>
      <c r="F508" t="s">
        <v>50</v>
      </c>
      <c r="G508">
        <v>2</v>
      </c>
      <c r="H508">
        <v>1208.74</v>
      </c>
      <c r="I508">
        <v>0.1</v>
      </c>
      <c r="J508">
        <v>2175.73</v>
      </c>
      <c r="K508" t="s">
        <v>19</v>
      </c>
      <c r="L508" t="s">
        <v>20</v>
      </c>
      <c r="M508" t="s">
        <v>54</v>
      </c>
      <c r="N508" t="s">
        <v>59</v>
      </c>
      <c r="O508">
        <f>Table1[[#All],[Quantity]]*Table1[[#All],[Unit Price (?)]]</f>
        <v>2417.48</v>
      </c>
      <c r="P508" t="str">
        <f>TEXT(Table1[[#All],[Order Date]],"dddd")</f>
        <v>Tuesday</v>
      </c>
      <c r="Q508" t="str">
        <f>TEXT(Table1[[#All],[Order Date]],"mmm")</f>
        <v>Apr</v>
      </c>
      <c r="R508" t="str">
        <f>IF(Table1[[#All],[Total Price (?)]]&gt;1000,"High Value","Normal")</f>
        <v>High Value</v>
      </c>
    </row>
    <row r="509" spans="1:18" x14ac:dyDescent="0.3">
      <c r="A509" t="s">
        <v>570</v>
      </c>
      <c r="B509" s="1">
        <v>45661</v>
      </c>
      <c r="C509" t="s">
        <v>52</v>
      </c>
      <c r="D509" t="s">
        <v>25</v>
      </c>
      <c r="E509" t="s">
        <v>61</v>
      </c>
      <c r="F509" t="s">
        <v>75</v>
      </c>
      <c r="G509">
        <v>4</v>
      </c>
      <c r="H509">
        <v>4348.93</v>
      </c>
      <c r="I509">
        <v>0.12</v>
      </c>
      <c r="J509">
        <v>15308.23</v>
      </c>
      <c r="K509" t="s">
        <v>58</v>
      </c>
      <c r="L509" t="s">
        <v>20</v>
      </c>
      <c r="M509" t="s">
        <v>30</v>
      </c>
      <c r="N509" t="s">
        <v>37</v>
      </c>
      <c r="O509">
        <f>Table1[[#All],[Quantity]]*Table1[[#All],[Unit Price (?)]]</f>
        <v>17395.72</v>
      </c>
      <c r="P509" t="str">
        <f>TEXT(Table1[[#All],[Order Date]],"dddd")</f>
        <v>Saturday</v>
      </c>
      <c r="Q509" t="str">
        <f>TEXT(Table1[[#All],[Order Date]],"mmm")</f>
        <v>Jan</v>
      </c>
      <c r="R509" t="str">
        <f>IF(Table1[[#All],[Total Price (?)]]&gt;1000,"High Value","Normal")</f>
        <v>High Value</v>
      </c>
    </row>
    <row r="510" spans="1:18" x14ac:dyDescent="0.3">
      <c r="A510" t="s">
        <v>571</v>
      </c>
      <c r="B510" s="1">
        <v>45789</v>
      </c>
      <c r="C510" t="s">
        <v>24</v>
      </c>
      <c r="D510" t="s">
        <v>16</v>
      </c>
      <c r="E510" t="s">
        <v>49</v>
      </c>
      <c r="F510" t="s">
        <v>50</v>
      </c>
      <c r="G510">
        <v>4</v>
      </c>
      <c r="H510">
        <v>3628.98</v>
      </c>
      <c r="I510">
        <v>0.1</v>
      </c>
      <c r="J510">
        <v>13064.33</v>
      </c>
      <c r="K510" t="s">
        <v>33</v>
      </c>
      <c r="L510" t="s">
        <v>29</v>
      </c>
      <c r="M510" t="s">
        <v>21</v>
      </c>
      <c r="N510" t="s">
        <v>22</v>
      </c>
      <c r="O510">
        <f>Table1[[#All],[Quantity]]*Table1[[#All],[Unit Price (?)]]</f>
        <v>14515.92</v>
      </c>
      <c r="P510" t="str">
        <f>TEXT(Table1[[#All],[Order Date]],"dddd")</f>
        <v>Monday</v>
      </c>
      <c r="Q510" t="str">
        <f>TEXT(Table1[[#All],[Order Date]],"mmm")</f>
        <v>May</v>
      </c>
      <c r="R510" t="str">
        <f>IF(Table1[[#All],[Total Price (?)]]&gt;1000,"High Value","Normal")</f>
        <v>High Value</v>
      </c>
    </row>
    <row r="511" spans="1:18" x14ac:dyDescent="0.3">
      <c r="A511" t="s">
        <v>572</v>
      </c>
      <c r="B511" s="1">
        <v>45818</v>
      </c>
      <c r="C511" t="s">
        <v>24</v>
      </c>
      <c r="D511" t="s">
        <v>25</v>
      </c>
      <c r="E511" t="s">
        <v>49</v>
      </c>
      <c r="F511" t="s">
        <v>50</v>
      </c>
      <c r="G511">
        <v>5</v>
      </c>
      <c r="H511">
        <v>2038.49</v>
      </c>
      <c r="I511">
        <v>0.18</v>
      </c>
      <c r="J511">
        <v>8357.81</v>
      </c>
      <c r="K511" t="s">
        <v>19</v>
      </c>
      <c r="L511" t="s">
        <v>29</v>
      </c>
      <c r="M511" t="s">
        <v>21</v>
      </c>
      <c r="N511" t="s">
        <v>22</v>
      </c>
      <c r="O511">
        <f>Table1[[#All],[Quantity]]*Table1[[#All],[Unit Price (?)]]</f>
        <v>10192.450000000001</v>
      </c>
      <c r="P511" t="str">
        <f>TEXT(Table1[[#All],[Order Date]],"dddd")</f>
        <v>Tuesday</v>
      </c>
      <c r="Q511" t="str">
        <f>TEXT(Table1[[#All],[Order Date]],"mmm")</f>
        <v>Jun</v>
      </c>
      <c r="R511" t="str">
        <f>IF(Table1[[#All],[Total Price (?)]]&gt;1000,"High Value","Normal")</f>
        <v>High Value</v>
      </c>
    </row>
    <row r="512" spans="1:18" x14ac:dyDescent="0.3">
      <c r="A512" t="s">
        <v>573</v>
      </c>
      <c r="B512" s="1">
        <v>45767</v>
      </c>
      <c r="C512" t="s">
        <v>15</v>
      </c>
      <c r="D512" t="s">
        <v>25</v>
      </c>
      <c r="E512" t="s">
        <v>17</v>
      </c>
      <c r="F512" t="s">
        <v>44</v>
      </c>
      <c r="G512">
        <v>3</v>
      </c>
      <c r="H512">
        <v>3891.02</v>
      </c>
      <c r="I512">
        <v>7.0000000000000007E-2</v>
      </c>
      <c r="J512">
        <v>10855.95</v>
      </c>
      <c r="K512" t="s">
        <v>41</v>
      </c>
      <c r="L512" t="s">
        <v>34</v>
      </c>
      <c r="M512" t="s">
        <v>54</v>
      </c>
      <c r="N512" t="s">
        <v>22</v>
      </c>
      <c r="O512">
        <f>Table1[[#All],[Quantity]]*Table1[[#All],[Unit Price (?)]]</f>
        <v>11673.06</v>
      </c>
      <c r="P512" t="str">
        <f>TEXT(Table1[[#All],[Order Date]],"dddd")</f>
        <v>Sunday</v>
      </c>
      <c r="Q512" t="str">
        <f>TEXT(Table1[[#All],[Order Date]],"mmm")</f>
        <v>Apr</v>
      </c>
      <c r="R512" t="str">
        <f>IF(Table1[[#All],[Total Price (?)]]&gt;1000,"High Value","Normal")</f>
        <v>High Value</v>
      </c>
    </row>
    <row r="513" spans="1:18" x14ac:dyDescent="0.3">
      <c r="A513" t="s">
        <v>574</v>
      </c>
      <c r="B513" s="1">
        <v>45718</v>
      </c>
      <c r="C513" t="s">
        <v>48</v>
      </c>
      <c r="D513" t="s">
        <v>43</v>
      </c>
      <c r="E513" t="s">
        <v>17</v>
      </c>
      <c r="F513" t="s">
        <v>44</v>
      </c>
      <c r="G513">
        <v>5</v>
      </c>
      <c r="H513">
        <v>654.54</v>
      </c>
      <c r="I513">
        <v>0.19</v>
      </c>
      <c r="J513">
        <v>2650.89</v>
      </c>
      <c r="K513" t="s">
        <v>41</v>
      </c>
      <c r="L513" t="s">
        <v>20</v>
      </c>
      <c r="M513" t="s">
        <v>21</v>
      </c>
      <c r="N513" t="s">
        <v>22</v>
      </c>
      <c r="O513">
        <f>Table1[[#All],[Quantity]]*Table1[[#All],[Unit Price (?)]]</f>
        <v>3272.7</v>
      </c>
      <c r="P513" t="str">
        <f>TEXT(Table1[[#All],[Order Date]],"dddd")</f>
        <v>Sunday</v>
      </c>
      <c r="Q513" t="str">
        <f>TEXT(Table1[[#All],[Order Date]],"mmm")</f>
        <v>Mar</v>
      </c>
      <c r="R513" t="str">
        <f>IF(Table1[[#All],[Total Price (?)]]&gt;1000,"High Value","Normal")</f>
        <v>High Value</v>
      </c>
    </row>
    <row r="514" spans="1:18" x14ac:dyDescent="0.3">
      <c r="A514" t="s">
        <v>575</v>
      </c>
      <c r="B514" s="1">
        <v>45840</v>
      </c>
      <c r="C514" t="s">
        <v>24</v>
      </c>
      <c r="D514" t="s">
        <v>16</v>
      </c>
      <c r="E514" t="s">
        <v>99</v>
      </c>
      <c r="F514" t="s">
        <v>115</v>
      </c>
      <c r="G514">
        <v>5</v>
      </c>
      <c r="H514">
        <v>4493.43</v>
      </c>
      <c r="I514">
        <v>0.22</v>
      </c>
      <c r="J514">
        <v>17524.38</v>
      </c>
      <c r="K514" t="s">
        <v>19</v>
      </c>
      <c r="L514" t="s">
        <v>34</v>
      </c>
      <c r="M514" t="s">
        <v>30</v>
      </c>
      <c r="N514" t="s">
        <v>22</v>
      </c>
      <c r="O514">
        <f>Table1[[#All],[Quantity]]*Table1[[#All],[Unit Price (?)]]</f>
        <v>22467.15</v>
      </c>
      <c r="P514" t="str">
        <f>TEXT(Table1[[#All],[Order Date]],"dddd")</f>
        <v>Wednesday</v>
      </c>
      <c r="Q514" t="str">
        <f>TEXT(Table1[[#All],[Order Date]],"mmm")</f>
        <v>Jul</v>
      </c>
      <c r="R514" t="str">
        <f>IF(Table1[[#All],[Total Price (?)]]&gt;1000,"High Value","Normal")</f>
        <v>High Value</v>
      </c>
    </row>
    <row r="515" spans="1:18" x14ac:dyDescent="0.3">
      <c r="A515" t="s">
        <v>576</v>
      </c>
      <c r="B515" s="1">
        <v>45788</v>
      </c>
      <c r="C515" t="s">
        <v>24</v>
      </c>
      <c r="D515" t="s">
        <v>25</v>
      </c>
      <c r="E515" t="s">
        <v>61</v>
      </c>
      <c r="F515" t="s">
        <v>62</v>
      </c>
      <c r="G515">
        <v>4</v>
      </c>
      <c r="H515">
        <v>3206.95</v>
      </c>
      <c r="I515">
        <v>0.02</v>
      </c>
      <c r="J515">
        <v>12571.24</v>
      </c>
      <c r="K515" t="s">
        <v>58</v>
      </c>
      <c r="L515" t="s">
        <v>29</v>
      </c>
      <c r="M515" t="s">
        <v>21</v>
      </c>
      <c r="N515" t="s">
        <v>22</v>
      </c>
      <c r="O515">
        <f>Table1[[#All],[Quantity]]*Table1[[#All],[Unit Price (?)]]</f>
        <v>12827.8</v>
      </c>
      <c r="P515" t="str">
        <f>TEXT(Table1[[#All],[Order Date]],"dddd")</f>
        <v>Sunday</v>
      </c>
      <c r="Q515" t="str">
        <f>TEXT(Table1[[#All],[Order Date]],"mmm")</f>
        <v>May</v>
      </c>
      <c r="R515" t="str">
        <f>IF(Table1[[#All],[Total Price (?)]]&gt;1000,"High Value","Normal")</f>
        <v>High Value</v>
      </c>
    </row>
    <row r="516" spans="1:18" x14ac:dyDescent="0.3">
      <c r="A516" t="s">
        <v>577</v>
      </c>
      <c r="B516" s="1">
        <v>45680</v>
      </c>
      <c r="C516" t="s">
        <v>48</v>
      </c>
      <c r="D516" t="s">
        <v>43</v>
      </c>
      <c r="E516" t="s">
        <v>27</v>
      </c>
      <c r="F516" t="s">
        <v>68</v>
      </c>
      <c r="G516">
        <v>1</v>
      </c>
      <c r="H516">
        <v>3864.48</v>
      </c>
      <c r="I516">
        <v>0.23</v>
      </c>
      <c r="J516">
        <v>2975.65</v>
      </c>
      <c r="K516" t="s">
        <v>33</v>
      </c>
      <c r="L516" t="s">
        <v>34</v>
      </c>
      <c r="M516" t="s">
        <v>21</v>
      </c>
      <c r="N516" t="s">
        <v>22</v>
      </c>
      <c r="O516">
        <f>Table1[[#All],[Quantity]]*Table1[[#All],[Unit Price (?)]]</f>
        <v>3864.48</v>
      </c>
      <c r="P516" t="str">
        <f>TEXT(Table1[[#All],[Order Date]],"dddd")</f>
        <v>Thursday</v>
      </c>
      <c r="Q516" t="str">
        <f>TEXT(Table1[[#All],[Order Date]],"mmm")</f>
        <v>Jan</v>
      </c>
      <c r="R516" t="str">
        <f>IF(Table1[[#All],[Total Price (?)]]&gt;1000,"High Value","Normal")</f>
        <v>High Value</v>
      </c>
    </row>
    <row r="517" spans="1:18" x14ac:dyDescent="0.3">
      <c r="A517" t="s">
        <v>578</v>
      </c>
      <c r="B517" s="1">
        <v>45842</v>
      </c>
      <c r="C517" t="s">
        <v>24</v>
      </c>
      <c r="D517" t="s">
        <v>43</v>
      </c>
      <c r="E517" t="s">
        <v>61</v>
      </c>
      <c r="F517" t="s">
        <v>75</v>
      </c>
      <c r="G517">
        <v>3</v>
      </c>
      <c r="H517">
        <v>3677.79</v>
      </c>
      <c r="I517">
        <v>0.24</v>
      </c>
      <c r="J517">
        <v>8385.36</v>
      </c>
      <c r="K517" t="s">
        <v>41</v>
      </c>
      <c r="L517" t="s">
        <v>34</v>
      </c>
      <c r="M517" t="s">
        <v>30</v>
      </c>
      <c r="N517" t="s">
        <v>22</v>
      </c>
      <c r="O517">
        <f>Table1[[#All],[Quantity]]*Table1[[#All],[Unit Price (?)]]</f>
        <v>11033.369999999999</v>
      </c>
      <c r="P517" t="str">
        <f>TEXT(Table1[[#All],[Order Date]],"dddd")</f>
        <v>Friday</v>
      </c>
      <c r="Q517" t="str">
        <f>TEXT(Table1[[#All],[Order Date]],"mmm")</f>
        <v>Jul</v>
      </c>
      <c r="R517" t="str">
        <f>IF(Table1[[#All],[Total Price (?)]]&gt;1000,"High Value","Normal")</f>
        <v>High Value</v>
      </c>
    </row>
    <row r="518" spans="1:18" x14ac:dyDescent="0.3">
      <c r="A518" t="s">
        <v>579</v>
      </c>
      <c r="B518" s="1">
        <v>45830</v>
      </c>
      <c r="C518" t="s">
        <v>24</v>
      </c>
      <c r="D518" t="s">
        <v>16</v>
      </c>
      <c r="E518" t="s">
        <v>61</v>
      </c>
      <c r="F518" t="s">
        <v>75</v>
      </c>
      <c r="G518">
        <v>1</v>
      </c>
      <c r="H518">
        <v>2347.35</v>
      </c>
      <c r="I518">
        <v>0.21</v>
      </c>
      <c r="J518">
        <v>1854.41</v>
      </c>
      <c r="K518" t="s">
        <v>33</v>
      </c>
      <c r="L518" t="s">
        <v>34</v>
      </c>
      <c r="M518" t="s">
        <v>21</v>
      </c>
      <c r="N518" t="s">
        <v>22</v>
      </c>
      <c r="O518">
        <f>Table1[[#All],[Quantity]]*Table1[[#All],[Unit Price (?)]]</f>
        <v>2347.35</v>
      </c>
      <c r="P518" t="str">
        <f>TEXT(Table1[[#All],[Order Date]],"dddd")</f>
        <v>Sunday</v>
      </c>
      <c r="Q518" t="str">
        <f>TEXT(Table1[[#All],[Order Date]],"mmm")</f>
        <v>Jun</v>
      </c>
      <c r="R518" t="str">
        <f>IF(Table1[[#All],[Total Price (?)]]&gt;1000,"High Value","Normal")</f>
        <v>High Value</v>
      </c>
    </row>
    <row r="519" spans="1:18" x14ac:dyDescent="0.3">
      <c r="A519" t="s">
        <v>580</v>
      </c>
      <c r="B519" s="1">
        <v>45686</v>
      </c>
      <c r="C519" t="s">
        <v>52</v>
      </c>
      <c r="D519" t="s">
        <v>16</v>
      </c>
      <c r="E519" t="s">
        <v>49</v>
      </c>
      <c r="F519" t="s">
        <v>73</v>
      </c>
      <c r="G519">
        <v>4</v>
      </c>
      <c r="H519">
        <v>2323.3200000000002</v>
      </c>
      <c r="I519">
        <v>0.11</v>
      </c>
      <c r="J519">
        <v>8271.02</v>
      </c>
      <c r="K519" t="s">
        <v>33</v>
      </c>
      <c r="L519" t="s">
        <v>29</v>
      </c>
      <c r="M519" t="s">
        <v>21</v>
      </c>
      <c r="N519" t="s">
        <v>22</v>
      </c>
      <c r="O519">
        <f>Table1[[#All],[Quantity]]*Table1[[#All],[Unit Price (?)]]</f>
        <v>9293.2800000000007</v>
      </c>
      <c r="P519" t="str">
        <f>TEXT(Table1[[#All],[Order Date]],"dddd")</f>
        <v>Wednesday</v>
      </c>
      <c r="Q519" t="str">
        <f>TEXT(Table1[[#All],[Order Date]],"mmm")</f>
        <v>Jan</v>
      </c>
      <c r="R519" t="str">
        <f>IF(Table1[[#All],[Total Price (?)]]&gt;1000,"High Value","Normal")</f>
        <v>High Value</v>
      </c>
    </row>
    <row r="520" spans="1:18" x14ac:dyDescent="0.3">
      <c r="A520" t="s">
        <v>581</v>
      </c>
      <c r="B520" s="1">
        <v>45711</v>
      </c>
      <c r="C520" t="s">
        <v>36</v>
      </c>
      <c r="D520" t="s">
        <v>16</v>
      </c>
      <c r="E520" t="s">
        <v>27</v>
      </c>
      <c r="F520" t="s">
        <v>28</v>
      </c>
      <c r="G520">
        <v>1</v>
      </c>
      <c r="H520">
        <v>1005.72</v>
      </c>
      <c r="I520">
        <v>0.01</v>
      </c>
      <c r="J520">
        <v>995.66</v>
      </c>
      <c r="K520" t="s">
        <v>33</v>
      </c>
      <c r="L520" t="s">
        <v>20</v>
      </c>
      <c r="M520" t="s">
        <v>30</v>
      </c>
      <c r="N520" t="s">
        <v>22</v>
      </c>
      <c r="O520">
        <f>Table1[[#All],[Quantity]]*Table1[[#All],[Unit Price (?)]]</f>
        <v>1005.72</v>
      </c>
      <c r="P520" t="str">
        <f>TEXT(Table1[[#All],[Order Date]],"dddd")</f>
        <v>Sunday</v>
      </c>
      <c r="Q520" t="str">
        <f>TEXT(Table1[[#All],[Order Date]],"mmm")</f>
        <v>Feb</v>
      </c>
      <c r="R520" t="str">
        <f>IF(Table1[[#All],[Total Price (?)]]&gt;1000,"High Value","Normal")</f>
        <v>Normal</v>
      </c>
    </row>
    <row r="521" spans="1:18" x14ac:dyDescent="0.3">
      <c r="A521" t="s">
        <v>582</v>
      </c>
      <c r="B521" s="1">
        <v>45682</v>
      </c>
      <c r="C521" t="s">
        <v>15</v>
      </c>
      <c r="D521" t="s">
        <v>39</v>
      </c>
      <c r="E521" t="s">
        <v>17</v>
      </c>
      <c r="F521" t="s">
        <v>32</v>
      </c>
      <c r="G521">
        <v>1</v>
      </c>
      <c r="H521">
        <v>2143.09</v>
      </c>
      <c r="I521">
        <v>0.04</v>
      </c>
      <c r="J521">
        <v>2057.37</v>
      </c>
      <c r="K521" t="s">
        <v>58</v>
      </c>
      <c r="L521" t="s">
        <v>20</v>
      </c>
      <c r="M521" t="s">
        <v>21</v>
      </c>
      <c r="N521" t="s">
        <v>22</v>
      </c>
      <c r="O521">
        <f>Table1[[#All],[Quantity]]*Table1[[#All],[Unit Price (?)]]</f>
        <v>2143.09</v>
      </c>
      <c r="P521" t="str">
        <f>TEXT(Table1[[#All],[Order Date]],"dddd")</f>
        <v>Saturday</v>
      </c>
      <c r="Q521" t="str">
        <f>TEXT(Table1[[#All],[Order Date]],"mmm")</f>
        <v>Jan</v>
      </c>
      <c r="R521" t="str">
        <f>IF(Table1[[#All],[Total Price (?)]]&gt;1000,"High Value","Normal")</f>
        <v>High Value</v>
      </c>
    </row>
    <row r="522" spans="1:18" x14ac:dyDescent="0.3">
      <c r="A522" t="s">
        <v>583</v>
      </c>
      <c r="B522" s="1">
        <v>45832</v>
      </c>
      <c r="C522" t="s">
        <v>48</v>
      </c>
      <c r="D522" t="s">
        <v>25</v>
      </c>
      <c r="E522" t="s">
        <v>27</v>
      </c>
      <c r="F522" t="s">
        <v>68</v>
      </c>
      <c r="G522">
        <v>1</v>
      </c>
      <c r="H522">
        <v>556.32000000000005</v>
      </c>
      <c r="I522">
        <v>7.0000000000000007E-2</v>
      </c>
      <c r="J522">
        <v>517.38</v>
      </c>
      <c r="K522" t="s">
        <v>33</v>
      </c>
      <c r="L522" t="s">
        <v>34</v>
      </c>
      <c r="M522" t="s">
        <v>30</v>
      </c>
      <c r="N522" t="s">
        <v>88</v>
      </c>
      <c r="O522">
        <f>Table1[[#All],[Quantity]]*Table1[[#All],[Unit Price (?)]]</f>
        <v>556.32000000000005</v>
      </c>
      <c r="P522" t="str">
        <f>TEXT(Table1[[#All],[Order Date]],"dddd")</f>
        <v>Tuesday</v>
      </c>
      <c r="Q522" t="str">
        <f>TEXT(Table1[[#All],[Order Date]],"mmm")</f>
        <v>Jun</v>
      </c>
      <c r="R522" t="str">
        <f>IF(Table1[[#All],[Total Price (?)]]&gt;1000,"High Value","Normal")</f>
        <v>Normal</v>
      </c>
    </row>
    <row r="523" spans="1:18" x14ac:dyDescent="0.3">
      <c r="A523" t="s">
        <v>584</v>
      </c>
      <c r="B523" s="1">
        <v>45680</v>
      </c>
      <c r="C523" t="s">
        <v>15</v>
      </c>
      <c r="D523" t="s">
        <v>25</v>
      </c>
      <c r="E523" t="s">
        <v>49</v>
      </c>
      <c r="F523" t="s">
        <v>56</v>
      </c>
      <c r="G523">
        <v>1</v>
      </c>
      <c r="H523">
        <v>3503.64</v>
      </c>
      <c r="I523">
        <v>7.0000000000000007E-2</v>
      </c>
      <c r="J523">
        <v>3258.39</v>
      </c>
      <c r="K523" t="s">
        <v>41</v>
      </c>
      <c r="L523" t="s">
        <v>20</v>
      </c>
      <c r="M523" t="s">
        <v>21</v>
      </c>
      <c r="N523" t="s">
        <v>22</v>
      </c>
      <c r="O523">
        <f>Table1[[#All],[Quantity]]*Table1[[#All],[Unit Price (?)]]</f>
        <v>3503.64</v>
      </c>
      <c r="P523" t="str">
        <f>TEXT(Table1[[#All],[Order Date]],"dddd")</f>
        <v>Thursday</v>
      </c>
      <c r="Q523" t="str">
        <f>TEXT(Table1[[#All],[Order Date]],"mmm")</f>
        <v>Jan</v>
      </c>
      <c r="R523" t="str">
        <f>IF(Table1[[#All],[Total Price (?)]]&gt;1000,"High Value","Normal")</f>
        <v>High Value</v>
      </c>
    </row>
    <row r="524" spans="1:18" x14ac:dyDescent="0.3">
      <c r="A524" t="s">
        <v>585</v>
      </c>
      <c r="B524" s="1">
        <v>45804</v>
      </c>
      <c r="C524" t="s">
        <v>24</v>
      </c>
      <c r="D524" t="s">
        <v>39</v>
      </c>
      <c r="E524" t="s">
        <v>61</v>
      </c>
      <c r="F524" t="s">
        <v>62</v>
      </c>
      <c r="G524">
        <v>5</v>
      </c>
      <c r="H524">
        <v>4937.2299999999996</v>
      </c>
      <c r="I524">
        <v>0.12</v>
      </c>
      <c r="J524">
        <v>21723.81</v>
      </c>
      <c r="K524" t="s">
        <v>33</v>
      </c>
      <c r="L524" t="s">
        <v>29</v>
      </c>
      <c r="M524" t="s">
        <v>21</v>
      </c>
      <c r="N524" t="s">
        <v>22</v>
      </c>
      <c r="O524">
        <f>Table1[[#All],[Quantity]]*Table1[[#All],[Unit Price (?)]]</f>
        <v>24686.149999999998</v>
      </c>
      <c r="P524" t="str">
        <f>TEXT(Table1[[#All],[Order Date]],"dddd")</f>
        <v>Tuesday</v>
      </c>
      <c r="Q524" t="str">
        <f>TEXT(Table1[[#All],[Order Date]],"mmm")</f>
        <v>May</v>
      </c>
      <c r="R524" t="str">
        <f>IF(Table1[[#All],[Total Price (?)]]&gt;1000,"High Value","Normal")</f>
        <v>High Value</v>
      </c>
    </row>
    <row r="525" spans="1:18" x14ac:dyDescent="0.3">
      <c r="A525" t="s">
        <v>586</v>
      </c>
      <c r="B525" s="1">
        <v>45767</v>
      </c>
      <c r="C525" t="s">
        <v>36</v>
      </c>
      <c r="D525" t="s">
        <v>25</v>
      </c>
      <c r="E525" t="s">
        <v>99</v>
      </c>
      <c r="F525" t="s">
        <v>111</v>
      </c>
      <c r="G525">
        <v>3</v>
      </c>
      <c r="H525">
        <v>4642.82</v>
      </c>
      <c r="I525">
        <v>0.15</v>
      </c>
      <c r="J525">
        <v>11839.19</v>
      </c>
      <c r="K525" t="s">
        <v>33</v>
      </c>
      <c r="L525" t="s">
        <v>29</v>
      </c>
      <c r="M525" t="s">
        <v>30</v>
      </c>
      <c r="N525" t="s">
        <v>22</v>
      </c>
      <c r="O525">
        <f>Table1[[#All],[Quantity]]*Table1[[#All],[Unit Price (?)]]</f>
        <v>13928.46</v>
      </c>
      <c r="P525" t="str">
        <f>TEXT(Table1[[#All],[Order Date]],"dddd")</f>
        <v>Sunday</v>
      </c>
      <c r="Q525" t="str">
        <f>TEXT(Table1[[#All],[Order Date]],"mmm")</f>
        <v>Apr</v>
      </c>
      <c r="R525" t="str">
        <f>IF(Table1[[#All],[Total Price (?)]]&gt;1000,"High Value","Normal")</f>
        <v>High Value</v>
      </c>
    </row>
    <row r="526" spans="1:18" x14ac:dyDescent="0.3">
      <c r="A526" t="s">
        <v>587</v>
      </c>
      <c r="B526" s="1">
        <v>45690</v>
      </c>
      <c r="C526" t="s">
        <v>15</v>
      </c>
      <c r="D526" t="s">
        <v>43</v>
      </c>
      <c r="E526" t="s">
        <v>61</v>
      </c>
      <c r="F526" t="s">
        <v>75</v>
      </c>
      <c r="G526">
        <v>1</v>
      </c>
      <c r="H526">
        <v>217.54</v>
      </c>
      <c r="I526">
        <v>0.16</v>
      </c>
      <c r="J526">
        <v>182.73</v>
      </c>
      <c r="K526" t="s">
        <v>19</v>
      </c>
      <c r="L526" t="s">
        <v>20</v>
      </c>
      <c r="M526" t="s">
        <v>54</v>
      </c>
      <c r="N526" t="s">
        <v>88</v>
      </c>
      <c r="O526">
        <f>Table1[[#All],[Quantity]]*Table1[[#All],[Unit Price (?)]]</f>
        <v>217.54</v>
      </c>
      <c r="P526" t="str">
        <f>TEXT(Table1[[#All],[Order Date]],"dddd")</f>
        <v>Sunday</v>
      </c>
      <c r="Q526" t="str">
        <f>TEXT(Table1[[#All],[Order Date]],"mmm")</f>
        <v>Feb</v>
      </c>
      <c r="R526" t="str">
        <f>IF(Table1[[#All],[Total Price (?)]]&gt;1000,"High Value","Normal")</f>
        <v>Normal</v>
      </c>
    </row>
    <row r="527" spans="1:18" x14ac:dyDescent="0.3">
      <c r="A527" t="s">
        <v>588</v>
      </c>
      <c r="B527" s="1">
        <v>45712</v>
      </c>
      <c r="C527" t="s">
        <v>24</v>
      </c>
      <c r="D527" t="s">
        <v>43</v>
      </c>
      <c r="E527" t="s">
        <v>49</v>
      </c>
      <c r="F527" t="s">
        <v>50</v>
      </c>
      <c r="G527">
        <v>5</v>
      </c>
      <c r="H527">
        <v>4049.61</v>
      </c>
      <c r="I527">
        <v>0.05</v>
      </c>
      <c r="J527">
        <v>19235.650000000001</v>
      </c>
      <c r="K527" t="s">
        <v>46</v>
      </c>
      <c r="L527" t="s">
        <v>34</v>
      </c>
      <c r="M527" t="s">
        <v>21</v>
      </c>
      <c r="N527" t="s">
        <v>22</v>
      </c>
      <c r="O527">
        <f>Table1[[#All],[Quantity]]*Table1[[#All],[Unit Price (?)]]</f>
        <v>20248.05</v>
      </c>
      <c r="P527" t="str">
        <f>TEXT(Table1[[#All],[Order Date]],"dddd")</f>
        <v>Monday</v>
      </c>
      <c r="Q527" t="str">
        <f>TEXT(Table1[[#All],[Order Date]],"mmm")</f>
        <v>Feb</v>
      </c>
      <c r="R527" t="str">
        <f>IF(Table1[[#All],[Total Price (?)]]&gt;1000,"High Value","Normal")</f>
        <v>High Value</v>
      </c>
    </row>
    <row r="528" spans="1:18" x14ac:dyDescent="0.3">
      <c r="A528" t="s">
        <v>589</v>
      </c>
      <c r="B528" s="1">
        <v>45714</v>
      </c>
      <c r="C528" t="s">
        <v>15</v>
      </c>
      <c r="D528" t="s">
        <v>39</v>
      </c>
      <c r="E528" t="s">
        <v>99</v>
      </c>
      <c r="F528" t="s">
        <v>120</v>
      </c>
      <c r="G528">
        <v>5</v>
      </c>
      <c r="H528">
        <v>1687.23</v>
      </c>
      <c r="I528">
        <v>0</v>
      </c>
      <c r="J528">
        <v>8436.15</v>
      </c>
      <c r="K528" t="s">
        <v>46</v>
      </c>
      <c r="L528" t="s">
        <v>29</v>
      </c>
      <c r="M528" t="s">
        <v>21</v>
      </c>
      <c r="N528" t="s">
        <v>22</v>
      </c>
      <c r="O528">
        <f>Table1[[#All],[Quantity]]*Table1[[#All],[Unit Price (?)]]</f>
        <v>8436.15</v>
      </c>
      <c r="P528" t="str">
        <f>TEXT(Table1[[#All],[Order Date]],"dddd")</f>
        <v>Wednesday</v>
      </c>
      <c r="Q528" t="str">
        <f>TEXT(Table1[[#All],[Order Date]],"mmm")</f>
        <v>Feb</v>
      </c>
      <c r="R528" t="str">
        <f>IF(Table1[[#All],[Total Price (?)]]&gt;1000,"High Value","Normal")</f>
        <v>High Value</v>
      </c>
    </row>
    <row r="529" spans="1:18" x14ac:dyDescent="0.3">
      <c r="A529" t="s">
        <v>590</v>
      </c>
      <c r="B529" s="1">
        <v>45777</v>
      </c>
      <c r="C529" t="s">
        <v>52</v>
      </c>
      <c r="D529" t="s">
        <v>16</v>
      </c>
      <c r="E529" t="s">
        <v>27</v>
      </c>
      <c r="F529" t="s">
        <v>79</v>
      </c>
      <c r="G529">
        <v>3</v>
      </c>
      <c r="H529">
        <v>4619.17</v>
      </c>
      <c r="I529">
        <v>0.12</v>
      </c>
      <c r="J529">
        <v>12194.61</v>
      </c>
      <c r="K529" t="s">
        <v>19</v>
      </c>
      <c r="L529" t="s">
        <v>34</v>
      </c>
      <c r="M529" t="s">
        <v>30</v>
      </c>
      <c r="N529" t="s">
        <v>22</v>
      </c>
      <c r="O529">
        <f>Table1[[#All],[Quantity]]*Table1[[#All],[Unit Price (?)]]</f>
        <v>13857.51</v>
      </c>
      <c r="P529" t="str">
        <f>TEXT(Table1[[#All],[Order Date]],"dddd")</f>
        <v>Wednesday</v>
      </c>
      <c r="Q529" t="str">
        <f>TEXT(Table1[[#All],[Order Date]],"mmm")</f>
        <v>Apr</v>
      </c>
      <c r="R529" t="str">
        <f>IF(Table1[[#All],[Total Price (?)]]&gt;1000,"High Value","Normal")</f>
        <v>High Value</v>
      </c>
    </row>
    <row r="530" spans="1:18" x14ac:dyDescent="0.3">
      <c r="A530" t="s">
        <v>591</v>
      </c>
      <c r="B530" s="1">
        <v>45700</v>
      </c>
      <c r="C530" t="s">
        <v>48</v>
      </c>
      <c r="D530" t="s">
        <v>16</v>
      </c>
      <c r="E530" t="s">
        <v>49</v>
      </c>
      <c r="F530" t="s">
        <v>73</v>
      </c>
      <c r="G530">
        <v>4</v>
      </c>
      <c r="H530">
        <v>3941.55</v>
      </c>
      <c r="I530">
        <v>0.1</v>
      </c>
      <c r="J530">
        <v>14189.58</v>
      </c>
      <c r="K530" t="s">
        <v>33</v>
      </c>
      <c r="L530" t="s">
        <v>34</v>
      </c>
      <c r="M530" t="s">
        <v>21</v>
      </c>
      <c r="N530" t="s">
        <v>88</v>
      </c>
      <c r="O530">
        <f>Table1[[#All],[Quantity]]*Table1[[#All],[Unit Price (?)]]</f>
        <v>15766.2</v>
      </c>
      <c r="P530" t="str">
        <f>TEXT(Table1[[#All],[Order Date]],"dddd")</f>
        <v>Wednesday</v>
      </c>
      <c r="Q530" t="str">
        <f>TEXT(Table1[[#All],[Order Date]],"mmm")</f>
        <v>Feb</v>
      </c>
      <c r="R530" t="str">
        <f>IF(Table1[[#All],[Total Price (?)]]&gt;1000,"High Value","Normal")</f>
        <v>High Value</v>
      </c>
    </row>
    <row r="531" spans="1:18" x14ac:dyDescent="0.3">
      <c r="A531" t="s">
        <v>592</v>
      </c>
      <c r="B531" s="1">
        <v>45799</v>
      </c>
      <c r="C531" t="s">
        <v>36</v>
      </c>
      <c r="D531" t="s">
        <v>16</v>
      </c>
      <c r="E531" t="s">
        <v>99</v>
      </c>
      <c r="F531" t="s">
        <v>111</v>
      </c>
      <c r="G531">
        <v>2</v>
      </c>
      <c r="H531">
        <v>2929.25</v>
      </c>
      <c r="I531">
        <v>0.08</v>
      </c>
      <c r="J531">
        <v>5389.82</v>
      </c>
      <c r="K531" t="s">
        <v>33</v>
      </c>
      <c r="L531" t="s">
        <v>20</v>
      </c>
      <c r="M531" t="s">
        <v>30</v>
      </c>
      <c r="N531" t="s">
        <v>59</v>
      </c>
      <c r="O531">
        <f>Table1[[#All],[Quantity]]*Table1[[#All],[Unit Price (?)]]</f>
        <v>5858.5</v>
      </c>
      <c r="P531" t="str">
        <f>TEXT(Table1[[#All],[Order Date]],"dddd")</f>
        <v>Thursday</v>
      </c>
      <c r="Q531" t="str">
        <f>TEXT(Table1[[#All],[Order Date]],"mmm")</f>
        <v>May</v>
      </c>
      <c r="R531" t="str">
        <f>IF(Table1[[#All],[Total Price (?)]]&gt;1000,"High Value","Normal")</f>
        <v>High Value</v>
      </c>
    </row>
    <row r="532" spans="1:18" x14ac:dyDescent="0.3">
      <c r="A532" t="s">
        <v>593</v>
      </c>
      <c r="B532" s="1">
        <v>45726</v>
      </c>
      <c r="C532" t="s">
        <v>15</v>
      </c>
      <c r="D532" t="s">
        <v>43</v>
      </c>
      <c r="E532" t="s">
        <v>99</v>
      </c>
      <c r="F532" t="s">
        <v>120</v>
      </c>
      <c r="G532">
        <v>5</v>
      </c>
      <c r="H532">
        <v>4227.79</v>
      </c>
      <c r="I532">
        <v>0.14000000000000001</v>
      </c>
      <c r="J532">
        <v>18179.5</v>
      </c>
      <c r="K532" t="s">
        <v>41</v>
      </c>
      <c r="L532" t="s">
        <v>29</v>
      </c>
      <c r="M532" t="s">
        <v>30</v>
      </c>
      <c r="N532" t="s">
        <v>22</v>
      </c>
      <c r="O532">
        <f>Table1[[#All],[Quantity]]*Table1[[#All],[Unit Price (?)]]</f>
        <v>21138.95</v>
      </c>
      <c r="P532" t="str">
        <f>TEXT(Table1[[#All],[Order Date]],"dddd")</f>
        <v>Monday</v>
      </c>
      <c r="Q532" t="str">
        <f>TEXT(Table1[[#All],[Order Date]],"mmm")</f>
        <v>Mar</v>
      </c>
      <c r="R532" t="str">
        <f>IF(Table1[[#All],[Total Price (?)]]&gt;1000,"High Value","Normal")</f>
        <v>High Value</v>
      </c>
    </row>
    <row r="533" spans="1:18" x14ac:dyDescent="0.3">
      <c r="A533" t="s">
        <v>594</v>
      </c>
      <c r="B533" s="1">
        <v>45699</v>
      </c>
      <c r="C533" t="s">
        <v>24</v>
      </c>
      <c r="D533" t="s">
        <v>39</v>
      </c>
      <c r="E533" t="s">
        <v>99</v>
      </c>
      <c r="F533" t="s">
        <v>111</v>
      </c>
      <c r="G533">
        <v>1</v>
      </c>
      <c r="H533">
        <v>2535.5700000000002</v>
      </c>
      <c r="I533">
        <v>0.06</v>
      </c>
      <c r="J533">
        <v>2383.44</v>
      </c>
      <c r="K533" t="s">
        <v>46</v>
      </c>
      <c r="L533" t="s">
        <v>34</v>
      </c>
      <c r="M533" t="s">
        <v>30</v>
      </c>
      <c r="N533" t="s">
        <v>22</v>
      </c>
      <c r="O533">
        <f>Table1[[#All],[Quantity]]*Table1[[#All],[Unit Price (?)]]</f>
        <v>2535.5700000000002</v>
      </c>
      <c r="P533" t="str">
        <f>TEXT(Table1[[#All],[Order Date]],"dddd")</f>
        <v>Tuesday</v>
      </c>
      <c r="Q533" t="str">
        <f>TEXT(Table1[[#All],[Order Date]],"mmm")</f>
        <v>Feb</v>
      </c>
      <c r="R533" t="str">
        <f>IF(Table1[[#All],[Total Price (?)]]&gt;1000,"High Value","Normal")</f>
        <v>High Value</v>
      </c>
    </row>
    <row r="534" spans="1:18" x14ac:dyDescent="0.3">
      <c r="A534" t="s">
        <v>595</v>
      </c>
      <c r="B534" s="1">
        <v>45793</v>
      </c>
      <c r="C534" t="s">
        <v>24</v>
      </c>
      <c r="D534" t="s">
        <v>25</v>
      </c>
      <c r="E534" t="s">
        <v>99</v>
      </c>
      <c r="F534" t="s">
        <v>100</v>
      </c>
      <c r="G534">
        <v>2</v>
      </c>
      <c r="H534">
        <v>4575.43</v>
      </c>
      <c r="I534">
        <v>0.11</v>
      </c>
      <c r="J534">
        <v>8144.27</v>
      </c>
      <c r="K534" t="s">
        <v>46</v>
      </c>
      <c r="L534" t="s">
        <v>20</v>
      </c>
      <c r="M534" t="s">
        <v>54</v>
      </c>
      <c r="N534" t="s">
        <v>37</v>
      </c>
      <c r="O534">
        <f>Table1[[#All],[Quantity]]*Table1[[#All],[Unit Price (?)]]</f>
        <v>9150.86</v>
      </c>
      <c r="P534" t="str">
        <f>TEXT(Table1[[#All],[Order Date]],"dddd")</f>
        <v>Friday</v>
      </c>
      <c r="Q534" t="str">
        <f>TEXT(Table1[[#All],[Order Date]],"mmm")</f>
        <v>May</v>
      </c>
      <c r="R534" t="str">
        <f>IF(Table1[[#All],[Total Price (?)]]&gt;1000,"High Value","Normal")</f>
        <v>High Value</v>
      </c>
    </row>
    <row r="535" spans="1:18" x14ac:dyDescent="0.3">
      <c r="A535" t="s">
        <v>596</v>
      </c>
      <c r="B535" s="1">
        <v>45783</v>
      </c>
      <c r="C535" t="s">
        <v>15</v>
      </c>
      <c r="D535" t="s">
        <v>43</v>
      </c>
      <c r="E535" t="s">
        <v>61</v>
      </c>
      <c r="F535" t="s">
        <v>75</v>
      </c>
      <c r="G535">
        <v>5</v>
      </c>
      <c r="H535">
        <v>1620.76</v>
      </c>
      <c r="I535">
        <v>0.08</v>
      </c>
      <c r="J535">
        <v>7455.5</v>
      </c>
      <c r="K535" t="s">
        <v>41</v>
      </c>
      <c r="L535" t="s">
        <v>29</v>
      </c>
      <c r="M535" t="s">
        <v>54</v>
      </c>
      <c r="N535" t="s">
        <v>22</v>
      </c>
      <c r="O535">
        <f>Table1[[#All],[Quantity]]*Table1[[#All],[Unit Price (?)]]</f>
        <v>8103.8</v>
      </c>
      <c r="P535" t="str">
        <f>TEXT(Table1[[#All],[Order Date]],"dddd")</f>
        <v>Tuesday</v>
      </c>
      <c r="Q535" t="str">
        <f>TEXT(Table1[[#All],[Order Date]],"mmm")</f>
        <v>May</v>
      </c>
      <c r="R535" t="str">
        <f>IF(Table1[[#All],[Total Price (?)]]&gt;1000,"High Value","Normal")</f>
        <v>High Value</v>
      </c>
    </row>
    <row r="536" spans="1:18" x14ac:dyDescent="0.3">
      <c r="A536" t="s">
        <v>597</v>
      </c>
      <c r="B536" s="1">
        <v>45825</v>
      </c>
      <c r="C536" t="s">
        <v>48</v>
      </c>
      <c r="D536" t="s">
        <v>16</v>
      </c>
      <c r="E536" t="s">
        <v>17</v>
      </c>
      <c r="F536" t="s">
        <v>40</v>
      </c>
      <c r="G536">
        <v>1</v>
      </c>
      <c r="H536">
        <v>1623.81</v>
      </c>
      <c r="I536">
        <v>0.01</v>
      </c>
      <c r="J536">
        <v>1607.57</v>
      </c>
      <c r="K536" t="s">
        <v>33</v>
      </c>
      <c r="L536" t="s">
        <v>20</v>
      </c>
      <c r="M536" t="s">
        <v>21</v>
      </c>
      <c r="N536" t="s">
        <v>22</v>
      </c>
      <c r="O536">
        <f>Table1[[#All],[Quantity]]*Table1[[#All],[Unit Price (?)]]</f>
        <v>1623.81</v>
      </c>
      <c r="P536" t="str">
        <f>TEXT(Table1[[#All],[Order Date]],"dddd")</f>
        <v>Tuesday</v>
      </c>
      <c r="Q536" t="str">
        <f>TEXT(Table1[[#All],[Order Date]],"mmm")</f>
        <v>Jun</v>
      </c>
      <c r="R536" t="str">
        <f>IF(Table1[[#All],[Total Price (?)]]&gt;1000,"High Value","Normal")</f>
        <v>High Value</v>
      </c>
    </row>
    <row r="537" spans="1:18" x14ac:dyDescent="0.3">
      <c r="A537" t="s">
        <v>598</v>
      </c>
      <c r="B537" s="1">
        <v>45711</v>
      </c>
      <c r="C537" t="s">
        <v>36</v>
      </c>
      <c r="D537" t="s">
        <v>39</v>
      </c>
      <c r="E537" t="s">
        <v>17</v>
      </c>
      <c r="F537" t="s">
        <v>18</v>
      </c>
      <c r="G537">
        <v>5</v>
      </c>
      <c r="H537">
        <v>3816.62</v>
      </c>
      <c r="I537">
        <v>0.16</v>
      </c>
      <c r="J537">
        <v>16029.8</v>
      </c>
      <c r="K537" t="s">
        <v>46</v>
      </c>
      <c r="L537" t="s">
        <v>20</v>
      </c>
      <c r="M537" t="s">
        <v>54</v>
      </c>
      <c r="N537" t="s">
        <v>22</v>
      </c>
      <c r="O537">
        <f>Table1[[#All],[Quantity]]*Table1[[#All],[Unit Price (?)]]</f>
        <v>19083.099999999999</v>
      </c>
      <c r="P537" t="str">
        <f>TEXT(Table1[[#All],[Order Date]],"dddd")</f>
        <v>Sunday</v>
      </c>
      <c r="Q537" t="str">
        <f>TEXT(Table1[[#All],[Order Date]],"mmm")</f>
        <v>Feb</v>
      </c>
      <c r="R537" t="str">
        <f>IF(Table1[[#All],[Total Price (?)]]&gt;1000,"High Value","Normal")</f>
        <v>High Value</v>
      </c>
    </row>
    <row r="538" spans="1:18" x14ac:dyDescent="0.3">
      <c r="A538" t="s">
        <v>599</v>
      </c>
      <c r="B538" s="1">
        <v>45758</v>
      </c>
      <c r="C538" t="s">
        <v>36</v>
      </c>
      <c r="D538" t="s">
        <v>16</v>
      </c>
      <c r="E538" t="s">
        <v>99</v>
      </c>
      <c r="F538" t="s">
        <v>111</v>
      </c>
      <c r="G538">
        <v>1</v>
      </c>
      <c r="H538">
        <v>1436.01</v>
      </c>
      <c r="I538">
        <v>0.04</v>
      </c>
      <c r="J538">
        <v>1378.57</v>
      </c>
      <c r="K538" t="s">
        <v>46</v>
      </c>
      <c r="L538" t="s">
        <v>34</v>
      </c>
      <c r="M538" t="s">
        <v>54</v>
      </c>
      <c r="N538" t="s">
        <v>59</v>
      </c>
      <c r="O538">
        <f>Table1[[#All],[Quantity]]*Table1[[#All],[Unit Price (?)]]</f>
        <v>1436.01</v>
      </c>
      <c r="P538" t="str">
        <f>TEXT(Table1[[#All],[Order Date]],"dddd")</f>
        <v>Friday</v>
      </c>
      <c r="Q538" t="str">
        <f>TEXT(Table1[[#All],[Order Date]],"mmm")</f>
        <v>Apr</v>
      </c>
      <c r="R538" t="str">
        <f>IF(Table1[[#All],[Total Price (?)]]&gt;1000,"High Value","Normal")</f>
        <v>High Value</v>
      </c>
    </row>
    <row r="539" spans="1:18" x14ac:dyDescent="0.3">
      <c r="A539" t="s">
        <v>600</v>
      </c>
      <c r="B539" s="1">
        <v>45754</v>
      </c>
      <c r="C539" t="s">
        <v>52</v>
      </c>
      <c r="D539" t="s">
        <v>39</v>
      </c>
      <c r="E539" t="s">
        <v>27</v>
      </c>
      <c r="F539" t="s">
        <v>79</v>
      </c>
      <c r="G539">
        <v>5</v>
      </c>
      <c r="H539">
        <v>1660.58</v>
      </c>
      <c r="I539">
        <v>0.04</v>
      </c>
      <c r="J539">
        <v>7970.78</v>
      </c>
      <c r="K539" t="s">
        <v>33</v>
      </c>
      <c r="L539" t="s">
        <v>34</v>
      </c>
      <c r="M539" t="s">
        <v>21</v>
      </c>
      <c r="N539" t="s">
        <v>22</v>
      </c>
      <c r="O539">
        <f>Table1[[#All],[Quantity]]*Table1[[#All],[Unit Price (?)]]</f>
        <v>8302.9</v>
      </c>
      <c r="P539" t="str">
        <f>TEXT(Table1[[#All],[Order Date]],"dddd")</f>
        <v>Monday</v>
      </c>
      <c r="Q539" t="str">
        <f>TEXT(Table1[[#All],[Order Date]],"mmm")</f>
        <v>Apr</v>
      </c>
      <c r="R539" t="str">
        <f>IF(Table1[[#All],[Total Price (?)]]&gt;1000,"High Value","Normal")</f>
        <v>High Value</v>
      </c>
    </row>
    <row r="540" spans="1:18" x14ac:dyDescent="0.3">
      <c r="A540" t="s">
        <v>601</v>
      </c>
      <c r="B540" s="1">
        <v>45708</v>
      </c>
      <c r="C540" t="s">
        <v>15</v>
      </c>
      <c r="D540" t="s">
        <v>16</v>
      </c>
      <c r="E540" t="s">
        <v>61</v>
      </c>
      <c r="F540" t="s">
        <v>62</v>
      </c>
      <c r="G540">
        <v>5</v>
      </c>
      <c r="H540">
        <v>2273.87</v>
      </c>
      <c r="I540">
        <v>0.03</v>
      </c>
      <c r="J540">
        <v>11028.27</v>
      </c>
      <c r="K540" t="s">
        <v>33</v>
      </c>
      <c r="L540" t="s">
        <v>34</v>
      </c>
      <c r="M540" t="s">
        <v>30</v>
      </c>
      <c r="N540" t="s">
        <v>22</v>
      </c>
      <c r="O540">
        <f>Table1[[#All],[Quantity]]*Table1[[#All],[Unit Price (?)]]</f>
        <v>11369.349999999999</v>
      </c>
      <c r="P540" t="str">
        <f>TEXT(Table1[[#All],[Order Date]],"dddd")</f>
        <v>Thursday</v>
      </c>
      <c r="Q540" t="str">
        <f>TEXT(Table1[[#All],[Order Date]],"mmm")</f>
        <v>Feb</v>
      </c>
      <c r="R540" t="str">
        <f>IF(Table1[[#All],[Total Price (?)]]&gt;1000,"High Value","Normal")</f>
        <v>High Value</v>
      </c>
    </row>
    <row r="541" spans="1:18" x14ac:dyDescent="0.3">
      <c r="A541" t="s">
        <v>602</v>
      </c>
      <c r="B541" s="1">
        <v>45835</v>
      </c>
      <c r="C541" t="s">
        <v>48</v>
      </c>
      <c r="D541" t="s">
        <v>25</v>
      </c>
      <c r="E541" t="s">
        <v>17</v>
      </c>
      <c r="F541" t="s">
        <v>18</v>
      </c>
      <c r="G541">
        <v>5</v>
      </c>
      <c r="H541">
        <v>4467.25</v>
      </c>
      <c r="I541">
        <v>0.16</v>
      </c>
      <c r="J541">
        <v>18762.45</v>
      </c>
      <c r="K541" t="s">
        <v>41</v>
      </c>
      <c r="L541" t="s">
        <v>20</v>
      </c>
      <c r="M541" t="s">
        <v>21</v>
      </c>
      <c r="N541" t="s">
        <v>22</v>
      </c>
      <c r="O541">
        <f>Table1[[#All],[Quantity]]*Table1[[#All],[Unit Price (?)]]</f>
        <v>22336.25</v>
      </c>
      <c r="P541" t="str">
        <f>TEXT(Table1[[#All],[Order Date]],"dddd")</f>
        <v>Friday</v>
      </c>
      <c r="Q541" t="str">
        <f>TEXT(Table1[[#All],[Order Date]],"mmm")</f>
        <v>Jun</v>
      </c>
      <c r="R541" t="str">
        <f>IF(Table1[[#All],[Total Price (?)]]&gt;1000,"High Value","Normal")</f>
        <v>High Value</v>
      </c>
    </row>
    <row r="542" spans="1:18" x14ac:dyDescent="0.3">
      <c r="A542" t="s">
        <v>603</v>
      </c>
      <c r="B542" s="1">
        <v>45836</v>
      </c>
      <c r="C542" t="s">
        <v>52</v>
      </c>
      <c r="D542" t="s">
        <v>25</v>
      </c>
      <c r="E542" t="s">
        <v>99</v>
      </c>
      <c r="F542" t="s">
        <v>111</v>
      </c>
      <c r="G542">
        <v>4</v>
      </c>
      <c r="H542">
        <v>2882.17</v>
      </c>
      <c r="I542">
        <v>0.02</v>
      </c>
      <c r="J542">
        <v>11298.11</v>
      </c>
      <c r="K542" t="s">
        <v>33</v>
      </c>
      <c r="L542" t="s">
        <v>20</v>
      </c>
      <c r="M542" t="s">
        <v>21</v>
      </c>
      <c r="N542" t="s">
        <v>22</v>
      </c>
      <c r="O542">
        <f>Table1[[#All],[Quantity]]*Table1[[#All],[Unit Price (?)]]</f>
        <v>11528.68</v>
      </c>
      <c r="P542" t="str">
        <f>TEXT(Table1[[#All],[Order Date]],"dddd")</f>
        <v>Saturday</v>
      </c>
      <c r="Q542" t="str">
        <f>TEXT(Table1[[#All],[Order Date]],"mmm")</f>
        <v>Jun</v>
      </c>
      <c r="R542" t="str">
        <f>IF(Table1[[#All],[Total Price (?)]]&gt;1000,"High Value","Normal")</f>
        <v>High Value</v>
      </c>
    </row>
    <row r="543" spans="1:18" x14ac:dyDescent="0.3">
      <c r="A543" t="s">
        <v>604</v>
      </c>
      <c r="B543" s="1">
        <v>45824</v>
      </c>
      <c r="C543" t="s">
        <v>48</v>
      </c>
      <c r="D543" t="s">
        <v>25</v>
      </c>
      <c r="E543" t="s">
        <v>99</v>
      </c>
      <c r="F543" t="s">
        <v>115</v>
      </c>
      <c r="G543">
        <v>2</v>
      </c>
      <c r="H543">
        <v>4319.37</v>
      </c>
      <c r="I543">
        <v>0.15</v>
      </c>
      <c r="J543">
        <v>7342.93</v>
      </c>
      <c r="K543" t="s">
        <v>19</v>
      </c>
      <c r="L543" t="s">
        <v>20</v>
      </c>
      <c r="M543" t="s">
        <v>30</v>
      </c>
      <c r="N543" t="s">
        <v>22</v>
      </c>
      <c r="O543">
        <f>Table1[[#All],[Quantity]]*Table1[[#All],[Unit Price (?)]]</f>
        <v>8638.74</v>
      </c>
      <c r="P543" t="str">
        <f>TEXT(Table1[[#All],[Order Date]],"dddd")</f>
        <v>Monday</v>
      </c>
      <c r="Q543" t="str">
        <f>TEXT(Table1[[#All],[Order Date]],"mmm")</f>
        <v>Jun</v>
      </c>
      <c r="R543" t="str">
        <f>IF(Table1[[#All],[Total Price (?)]]&gt;1000,"High Value","Normal")</f>
        <v>High Value</v>
      </c>
    </row>
    <row r="544" spans="1:18" x14ac:dyDescent="0.3">
      <c r="A544" t="s">
        <v>605</v>
      </c>
      <c r="B544" s="1">
        <v>45669</v>
      </c>
      <c r="C544" t="s">
        <v>48</v>
      </c>
      <c r="D544" t="s">
        <v>43</v>
      </c>
      <c r="E544" t="s">
        <v>99</v>
      </c>
      <c r="F544" t="s">
        <v>111</v>
      </c>
      <c r="G544">
        <v>1</v>
      </c>
      <c r="H544">
        <v>2429.14</v>
      </c>
      <c r="I544">
        <v>0.09</v>
      </c>
      <c r="J544">
        <v>2210.52</v>
      </c>
      <c r="K544" t="s">
        <v>41</v>
      </c>
      <c r="L544" t="s">
        <v>20</v>
      </c>
      <c r="M544" t="s">
        <v>30</v>
      </c>
      <c r="N544" t="s">
        <v>22</v>
      </c>
      <c r="O544">
        <f>Table1[[#All],[Quantity]]*Table1[[#All],[Unit Price (?)]]</f>
        <v>2429.14</v>
      </c>
      <c r="P544" t="str">
        <f>TEXT(Table1[[#All],[Order Date]],"dddd")</f>
        <v>Sunday</v>
      </c>
      <c r="Q544" t="str">
        <f>TEXT(Table1[[#All],[Order Date]],"mmm")</f>
        <v>Jan</v>
      </c>
      <c r="R544" t="str">
        <f>IF(Table1[[#All],[Total Price (?)]]&gt;1000,"High Value","Normal")</f>
        <v>High Value</v>
      </c>
    </row>
    <row r="545" spans="1:18" x14ac:dyDescent="0.3">
      <c r="A545" t="s">
        <v>606</v>
      </c>
      <c r="B545" s="1">
        <v>45677</v>
      </c>
      <c r="C545" t="s">
        <v>36</v>
      </c>
      <c r="D545" t="s">
        <v>25</v>
      </c>
      <c r="E545" t="s">
        <v>99</v>
      </c>
      <c r="F545" t="s">
        <v>100</v>
      </c>
      <c r="G545">
        <v>1</v>
      </c>
      <c r="H545">
        <v>1696.76</v>
      </c>
      <c r="I545">
        <v>0.16</v>
      </c>
      <c r="J545">
        <v>1425.28</v>
      </c>
      <c r="K545" t="s">
        <v>58</v>
      </c>
      <c r="L545" t="s">
        <v>34</v>
      </c>
      <c r="M545" t="s">
        <v>30</v>
      </c>
      <c r="N545" t="s">
        <v>22</v>
      </c>
      <c r="O545">
        <f>Table1[[#All],[Quantity]]*Table1[[#All],[Unit Price (?)]]</f>
        <v>1696.76</v>
      </c>
      <c r="P545" t="str">
        <f>TEXT(Table1[[#All],[Order Date]],"dddd")</f>
        <v>Monday</v>
      </c>
      <c r="Q545" t="str">
        <f>TEXT(Table1[[#All],[Order Date]],"mmm")</f>
        <v>Jan</v>
      </c>
      <c r="R545" t="str">
        <f>IF(Table1[[#All],[Total Price (?)]]&gt;1000,"High Value","Normal")</f>
        <v>High Value</v>
      </c>
    </row>
    <row r="546" spans="1:18" x14ac:dyDescent="0.3">
      <c r="A546" t="s">
        <v>607</v>
      </c>
      <c r="B546" s="1">
        <v>45783</v>
      </c>
      <c r="C546" t="s">
        <v>36</v>
      </c>
      <c r="D546" t="s">
        <v>43</v>
      </c>
      <c r="E546" t="s">
        <v>49</v>
      </c>
      <c r="F546" t="s">
        <v>73</v>
      </c>
      <c r="G546">
        <v>2</v>
      </c>
      <c r="H546">
        <v>4872.07</v>
      </c>
      <c r="I546">
        <v>0.1</v>
      </c>
      <c r="J546">
        <v>8769.73</v>
      </c>
      <c r="K546" t="s">
        <v>19</v>
      </c>
      <c r="L546" t="s">
        <v>29</v>
      </c>
      <c r="M546" t="s">
        <v>30</v>
      </c>
      <c r="N546" t="s">
        <v>88</v>
      </c>
      <c r="O546">
        <f>Table1[[#All],[Quantity]]*Table1[[#All],[Unit Price (?)]]</f>
        <v>9744.14</v>
      </c>
      <c r="P546" t="str">
        <f>TEXT(Table1[[#All],[Order Date]],"dddd")</f>
        <v>Tuesday</v>
      </c>
      <c r="Q546" t="str">
        <f>TEXT(Table1[[#All],[Order Date]],"mmm")</f>
        <v>May</v>
      </c>
      <c r="R546" t="str">
        <f>IF(Table1[[#All],[Total Price (?)]]&gt;1000,"High Value","Normal")</f>
        <v>High Value</v>
      </c>
    </row>
    <row r="547" spans="1:18" x14ac:dyDescent="0.3">
      <c r="A547" t="s">
        <v>608</v>
      </c>
      <c r="B547" s="1">
        <v>45742</v>
      </c>
      <c r="C547" t="s">
        <v>48</v>
      </c>
      <c r="D547" t="s">
        <v>16</v>
      </c>
      <c r="E547" t="s">
        <v>27</v>
      </c>
      <c r="F547" t="s">
        <v>87</v>
      </c>
      <c r="G547">
        <v>5</v>
      </c>
      <c r="H547">
        <v>3501.25</v>
      </c>
      <c r="I547">
        <v>0.04</v>
      </c>
      <c r="J547">
        <v>16806</v>
      </c>
      <c r="K547" t="s">
        <v>33</v>
      </c>
      <c r="L547" t="s">
        <v>34</v>
      </c>
      <c r="M547" t="s">
        <v>21</v>
      </c>
      <c r="N547" t="s">
        <v>22</v>
      </c>
      <c r="O547">
        <f>Table1[[#All],[Quantity]]*Table1[[#All],[Unit Price (?)]]</f>
        <v>17506.25</v>
      </c>
      <c r="P547" t="str">
        <f>TEXT(Table1[[#All],[Order Date]],"dddd")</f>
        <v>Wednesday</v>
      </c>
      <c r="Q547" t="str">
        <f>TEXT(Table1[[#All],[Order Date]],"mmm")</f>
        <v>Mar</v>
      </c>
      <c r="R547" t="str">
        <f>IF(Table1[[#All],[Total Price (?)]]&gt;1000,"High Value","Normal")</f>
        <v>High Value</v>
      </c>
    </row>
    <row r="548" spans="1:18" x14ac:dyDescent="0.3">
      <c r="A548" t="s">
        <v>609</v>
      </c>
      <c r="B548" s="1">
        <v>45821</v>
      </c>
      <c r="C548" t="s">
        <v>24</v>
      </c>
      <c r="D548" t="s">
        <v>43</v>
      </c>
      <c r="E548" t="s">
        <v>27</v>
      </c>
      <c r="F548" t="s">
        <v>87</v>
      </c>
      <c r="G548">
        <v>4</v>
      </c>
      <c r="H548">
        <v>1694.35</v>
      </c>
      <c r="I548">
        <v>0.02</v>
      </c>
      <c r="J548">
        <v>6641.85</v>
      </c>
      <c r="K548" t="s">
        <v>33</v>
      </c>
      <c r="L548" t="s">
        <v>29</v>
      </c>
      <c r="M548" t="s">
        <v>30</v>
      </c>
      <c r="N548" t="s">
        <v>22</v>
      </c>
      <c r="O548">
        <f>Table1[[#All],[Quantity]]*Table1[[#All],[Unit Price (?)]]</f>
        <v>6777.4</v>
      </c>
      <c r="P548" t="str">
        <f>TEXT(Table1[[#All],[Order Date]],"dddd")</f>
        <v>Friday</v>
      </c>
      <c r="Q548" t="str">
        <f>TEXT(Table1[[#All],[Order Date]],"mmm")</f>
        <v>Jun</v>
      </c>
      <c r="R548" t="str">
        <f>IF(Table1[[#All],[Total Price (?)]]&gt;1000,"High Value","Normal")</f>
        <v>High Value</v>
      </c>
    </row>
    <row r="549" spans="1:18" x14ac:dyDescent="0.3">
      <c r="A549" t="s">
        <v>610</v>
      </c>
      <c r="B549" s="1">
        <v>45713</v>
      </c>
      <c r="C549" t="s">
        <v>36</v>
      </c>
      <c r="D549" t="s">
        <v>16</v>
      </c>
      <c r="E549" t="s">
        <v>49</v>
      </c>
      <c r="F549" t="s">
        <v>56</v>
      </c>
      <c r="G549">
        <v>5</v>
      </c>
      <c r="H549">
        <v>3879.58</v>
      </c>
      <c r="I549">
        <v>0.09</v>
      </c>
      <c r="J549">
        <v>17652.09</v>
      </c>
      <c r="K549" t="s">
        <v>58</v>
      </c>
      <c r="L549" t="s">
        <v>29</v>
      </c>
      <c r="M549" t="s">
        <v>30</v>
      </c>
      <c r="N549" t="s">
        <v>22</v>
      </c>
      <c r="O549">
        <f>Table1[[#All],[Quantity]]*Table1[[#All],[Unit Price (?)]]</f>
        <v>19397.900000000001</v>
      </c>
      <c r="P549" t="str">
        <f>TEXT(Table1[[#All],[Order Date]],"dddd")</f>
        <v>Tuesday</v>
      </c>
      <c r="Q549" t="str">
        <f>TEXT(Table1[[#All],[Order Date]],"mmm")</f>
        <v>Feb</v>
      </c>
      <c r="R549" t="str">
        <f>IF(Table1[[#All],[Total Price (?)]]&gt;1000,"High Value","Normal")</f>
        <v>High Value</v>
      </c>
    </row>
    <row r="550" spans="1:18" x14ac:dyDescent="0.3">
      <c r="A550" t="s">
        <v>611</v>
      </c>
      <c r="B550" s="1">
        <v>45668</v>
      </c>
      <c r="C550" t="s">
        <v>52</v>
      </c>
      <c r="D550" t="s">
        <v>43</v>
      </c>
      <c r="E550" t="s">
        <v>61</v>
      </c>
      <c r="F550" t="s">
        <v>62</v>
      </c>
      <c r="G550">
        <v>5</v>
      </c>
      <c r="H550">
        <v>1528.37</v>
      </c>
      <c r="I550">
        <v>0.15</v>
      </c>
      <c r="J550">
        <v>6495.57</v>
      </c>
      <c r="K550" t="s">
        <v>19</v>
      </c>
      <c r="L550" t="s">
        <v>34</v>
      </c>
      <c r="M550" t="s">
        <v>30</v>
      </c>
      <c r="N550" t="s">
        <v>22</v>
      </c>
      <c r="O550">
        <f>Table1[[#All],[Quantity]]*Table1[[#All],[Unit Price (?)]]</f>
        <v>7641.8499999999995</v>
      </c>
      <c r="P550" t="str">
        <f>TEXT(Table1[[#All],[Order Date]],"dddd")</f>
        <v>Saturday</v>
      </c>
      <c r="Q550" t="str">
        <f>TEXT(Table1[[#All],[Order Date]],"mmm")</f>
        <v>Jan</v>
      </c>
      <c r="R550" t="str">
        <f>IF(Table1[[#All],[Total Price (?)]]&gt;1000,"High Value","Normal")</f>
        <v>High Value</v>
      </c>
    </row>
    <row r="551" spans="1:18" x14ac:dyDescent="0.3">
      <c r="A551" t="s">
        <v>612</v>
      </c>
      <c r="B551" s="1">
        <v>45660</v>
      </c>
      <c r="C551" t="s">
        <v>36</v>
      </c>
      <c r="D551" t="s">
        <v>25</v>
      </c>
      <c r="E551" t="s">
        <v>99</v>
      </c>
      <c r="F551" t="s">
        <v>111</v>
      </c>
      <c r="G551">
        <v>3</v>
      </c>
      <c r="H551">
        <v>4952.42</v>
      </c>
      <c r="I551">
        <v>0.15</v>
      </c>
      <c r="J551">
        <v>12628.67</v>
      </c>
      <c r="K551" t="s">
        <v>46</v>
      </c>
      <c r="L551" t="s">
        <v>34</v>
      </c>
      <c r="M551" t="s">
        <v>21</v>
      </c>
      <c r="N551" t="s">
        <v>88</v>
      </c>
      <c r="O551">
        <f>Table1[[#All],[Quantity]]*Table1[[#All],[Unit Price (?)]]</f>
        <v>14857.26</v>
      </c>
      <c r="P551" t="str">
        <f>TEXT(Table1[[#All],[Order Date]],"dddd")</f>
        <v>Friday</v>
      </c>
      <c r="Q551" t="str">
        <f>TEXT(Table1[[#All],[Order Date]],"mmm")</f>
        <v>Jan</v>
      </c>
      <c r="R551" t="str">
        <f>IF(Table1[[#All],[Total Price (?)]]&gt;1000,"High Value","Normal")</f>
        <v>High Value</v>
      </c>
    </row>
    <row r="552" spans="1:18" x14ac:dyDescent="0.3">
      <c r="A552" t="s">
        <v>613</v>
      </c>
      <c r="B552" s="1">
        <v>45724</v>
      </c>
      <c r="C552" t="s">
        <v>15</v>
      </c>
      <c r="D552" t="s">
        <v>16</v>
      </c>
      <c r="E552" t="s">
        <v>99</v>
      </c>
      <c r="F552" t="s">
        <v>120</v>
      </c>
      <c r="G552">
        <v>1</v>
      </c>
      <c r="H552">
        <v>3546.44</v>
      </c>
      <c r="I552">
        <v>0.21</v>
      </c>
      <c r="J552">
        <v>2801.69</v>
      </c>
      <c r="K552" t="s">
        <v>33</v>
      </c>
      <c r="L552" t="s">
        <v>20</v>
      </c>
      <c r="M552" t="s">
        <v>30</v>
      </c>
      <c r="N552" t="s">
        <v>37</v>
      </c>
      <c r="O552">
        <f>Table1[[#All],[Quantity]]*Table1[[#All],[Unit Price (?)]]</f>
        <v>3546.44</v>
      </c>
      <c r="P552" t="str">
        <f>TEXT(Table1[[#All],[Order Date]],"dddd")</f>
        <v>Saturday</v>
      </c>
      <c r="Q552" t="str">
        <f>TEXT(Table1[[#All],[Order Date]],"mmm")</f>
        <v>Mar</v>
      </c>
      <c r="R552" t="str">
        <f>IF(Table1[[#All],[Total Price (?)]]&gt;1000,"High Value","Normal")</f>
        <v>High Value</v>
      </c>
    </row>
    <row r="553" spans="1:18" x14ac:dyDescent="0.3">
      <c r="A553" t="s">
        <v>614</v>
      </c>
      <c r="B553" s="1">
        <v>45809</v>
      </c>
      <c r="C553" t="s">
        <v>48</v>
      </c>
      <c r="D553" t="s">
        <v>43</v>
      </c>
      <c r="E553" t="s">
        <v>17</v>
      </c>
      <c r="F553" t="s">
        <v>44</v>
      </c>
      <c r="G553">
        <v>3</v>
      </c>
      <c r="H553">
        <v>3587.69</v>
      </c>
      <c r="I553">
        <v>0.1</v>
      </c>
      <c r="J553">
        <v>9686.76</v>
      </c>
      <c r="K553" t="s">
        <v>33</v>
      </c>
      <c r="L553" t="s">
        <v>34</v>
      </c>
      <c r="M553" t="s">
        <v>30</v>
      </c>
      <c r="N553" t="s">
        <v>22</v>
      </c>
      <c r="O553">
        <f>Table1[[#All],[Quantity]]*Table1[[#All],[Unit Price (?)]]</f>
        <v>10763.07</v>
      </c>
      <c r="P553" t="str">
        <f>TEXT(Table1[[#All],[Order Date]],"dddd")</f>
        <v>Sunday</v>
      </c>
      <c r="Q553" t="str">
        <f>TEXT(Table1[[#All],[Order Date]],"mmm")</f>
        <v>Jun</v>
      </c>
      <c r="R553" t="str">
        <f>IF(Table1[[#All],[Total Price (?)]]&gt;1000,"High Value","Normal")</f>
        <v>High Value</v>
      </c>
    </row>
    <row r="554" spans="1:18" x14ac:dyDescent="0.3">
      <c r="A554" t="s">
        <v>615</v>
      </c>
      <c r="B554" s="1">
        <v>45685</v>
      </c>
      <c r="C554" t="s">
        <v>52</v>
      </c>
      <c r="D554" t="s">
        <v>43</v>
      </c>
      <c r="E554" t="s">
        <v>49</v>
      </c>
      <c r="F554" t="s">
        <v>73</v>
      </c>
      <c r="G554">
        <v>3</v>
      </c>
      <c r="H554">
        <v>4215.82</v>
      </c>
      <c r="I554">
        <v>0.04</v>
      </c>
      <c r="J554">
        <v>12141.56</v>
      </c>
      <c r="K554" t="s">
        <v>33</v>
      </c>
      <c r="L554" t="s">
        <v>34</v>
      </c>
      <c r="M554" t="s">
        <v>21</v>
      </c>
      <c r="N554" t="s">
        <v>22</v>
      </c>
      <c r="O554">
        <f>Table1[[#All],[Quantity]]*Table1[[#All],[Unit Price (?)]]</f>
        <v>12647.46</v>
      </c>
      <c r="P554" t="str">
        <f>TEXT(Table1[[#All],[Order Date]],"dddd")</f>
        <v>Tuesday</v>
      </c>
      <c r="Q554" t="str">
        <f>TEXT(Table1[[#All],[Order Date]],"mmm")</f>
        <v>Jan</v>
      </c>
      <c r="R554" t="str">
        <f>IF(Table1[[#All],[Total Price (?)]]&gt;1000,"High Value","Normal")</f>
        <v>High Value</v>
      </c>
    </row>
    <row r="555" spans="1:18" x14ac:dyDescent="0.3">
      <c r="A555" t="s">
        <v>616</v>
      </c>
      <c r="B555" s="1">
        <v>45783</v>
      </c>
      <c r="C555" t="s">
        <v>52</v>
      </c>
      <c r="D555" t="s">
        <v>25</v>
      </c>
      <c r="E555" t="s">
        <v>17</v>
      </c>
      <c r="F555" t="s">
        <v>18</v>
      </c>
      <c r="G555">
        <v>4</v>
      </c>
      <c r="H555">
        <v>4877.38</v>
      </c>
      <c r="I555">
        <v>0.03</v>
      </c>
      <c r="J555">
        <v>18924.23</v>
      </c>
      <c r="K555" t="s">
        <v>41</v>
      </c>
      <c r="L555" t="s">
        <v>29</v>
      </c>
      <c r="M555" t="s">
        <v>54</v>
      </c>
      <c r="N555" t="s">
        <v>37</v>
      </c>
      <c r="O555">
        <f>Table1[[#All],[Quantity]]*Table1[[#All],[Unit Price (?)]]</f>
        <v>19509.52</v>
      </c>
      <c r="P555" t="str">
        <f>TEXT(Table1[[#All],[Order Date]],"dddd")</f>
        <v>Tuesday</v>
      </c>
      <c r="Q555" t="str">
        <f>TEXT(Table1[[#All],[Order Date]],"mmm")</f>
        <v>May</v>
      </c>
      <c r="R555" t="str">
        <f>IF(Table1[[#All],[Total Price (?)]]&gt;1000,"High Value","Normal")</f>
        <v>High Value</v>
      </c>
    </row>
    <row r="556" spans="1:18" x14ac:dyDescent="0.3">
      <c r="A556" t="s">
        <v>617</v>
      </c>
      <c r="B556" s="1">
        <v>45710</v>
      </c>
      <c r="C556" t="s">
        <v>36</v>
      </c>
      <c r="D556" t="s">
        <v>39</v>
      </c>
      <c r="E556" t="s">
        <v>27</v>
      </c>
      <c r="F556" t="s">
        <v>87</v>
      </c>
      <c r="G556">
        <v>5</v>
      </c>
      <c r="H556">
        <v>2178.21</v>
      </c>
      <c r="I556">
        <v>0.21</v>
      </c>
      <c r="J556">
        <v>8603.93</v>
      </c>
      <c r="K556" t="s">
        <v>19</v>
      </c>
      <c r="L556" t="s">
        <v>34</v>
      </c>
      <c r="M556" t="s">
        <v>30</v>
      </c>
      <c r="N556" t="s">
        <v>22</v>
      </c>
      <c r="O556">
        <f>Table1[[#All],[Quantity]]*Table1[[#All],[Unit Price (?)]]</f>
        <v>10891.05</v>
      </c>
      <c r="P556" t="str">
        <f>TEXT(Table1[[#All],[Order Date]],"dddd")</f>
        <v>Saturday</v>
      </c>
      <c r="Q556" t="str">
        <f>TEXT(Table1[[#All],[Order Date]],"mmm")</f>
        <v>Feb</v>
      </c>
      <c r="R556" t="str">
        <f>IF(Table1[[#All],[Total Price (?)]]&gt;1000,"High Value","Normal")</f>
        <v>High Value</v>
      </c>
    </row>
    <row r="557" spans="1:18" x14ac:dyDescent="0.3">
      <c r="A557" t="s">
        <v>618</v>
      </c>
      <c r="B557" s="1">
        <v>45691</v>
      </c>
      <c r="C557" t="s">
        <v>36</v>
      </c>
      <c r="D557" t="s">
        <v>39</v>
      </c>
      <c r="E557" t="s">
        <v>49</v>
      </c>
      <c r="F557" t="s">
        <v>56</v>
      </c>
      <c r="G557">
        <v>2</v>
      </c>
      <c r="H557">
        <v>3589.44</v>
      </c>
      <c r="I557">
        <v>7.0000000000000007E-2</v>
      </c>
      <c r="J557">
        <v>6676.36</v>
      </c>
      <c r="K557" t="s">
        <v>41</v>
      </c>
      <c r="L557" t="s">
        <v>29</v>
      </c>
      <c r="M557" t="s">
        <v>21</v>
      </c>
      <c r="N557" t="s">
        <v>22</v>
      </c>
      <c r="O557">
        <f>Table1[[#All],[Quantity]]*Table1[[#All],[Unit Price (?)]]</f>
        <v>7178.88</v>
      </c>
      <c r="P557" t="str">
        <f>TEXT(Table1[[#All],[Order Date]],"dddd")</f>
        <v>Monday</v>
      </c>
      <c r="Q557" t="str">
        <f>TEXT(Table1[[#All],[Order Date]],"mmm")</f>
        <v>Feb</v>
      </c>
      <c r="R557" t="str">
        <f>IF(Table1[[#All],[Total Price (?)]]&gt;1000,"High Value","Normal")</f>
        <v>High Value</v>
      </c>
    </row>
    <row r="558" spans="1:18" x14ac:dyDescent="0.3">
      <c r="A558" t="s">
        <v>619</v>
      </c>
      <c r="B558" s="1">
        <v>45803</v>
      </c>
      <c r="C558" t="s">
        <v>15</v>
      </c>
      <c r="D558" t="s">
        <v>39</v>
      </c>
      <c r="E558" t="s">
        <v>17</v>
      </c>
      <c r="F558" t="s">
        <v>40</v>
      </c>
      <c r="G558">
        <v>4</v>
      </c>
      <c r="H558">
        <v>4812.51</v>
      </c>
      <c r="I558">
        <v>0.02</v>
      </c>
      <c r="J558">
        <v>18865.04</v>
      </c>
      <c r="K558" t="s">
        <v>58</v>
      </c>
      <c r="L558" t="s">
        <v>29</v>
      </c>
      <c r="M558" t="s">
        <v>21</v>
      </c>
      <c r="N558" t="s">
        <v>22</v>
      </c>
      <c r="O558">
        <f>Table1[[#All],[Quantity]]*Table1[[#All],[Unit Price (?)]]</f>
        <v>19250.04</v>
      </c>
      <c r="P558" t="str">
        <f>TEXT(Table1[[#All],[Order Date]],"dddd")</f>
        <v>Monday</v>
      </c>
      <c r="Q558" t="str">
        <f>TEXT(Table1[[#All],[Order Date]],"mmm")</f>
        <v>May</v>
      </c>
      <c r="R558" t="str">
        <f>IF(Table1[[#All],[Total Price (?)]]&gt;1000,"High Value","Normal")</f>
        <v>High Value</v>
      </c>
    </row>
    <row r="559" spans="1:18" x14ac:dyDescent="0.3">
      <c r="A559" t="s">
        <v>620</v>
      </c>
      <c r="B559" s="1">
        <v>45745</v>
      </c>
      <c r="C559" t="s">
        <v>52</v>
      </c>
      <c r="D559" t="s">
        <v>39</v>
      </c>
      <c r="E559" t="s">
        <v>17</v>
      </c>
      <c r="F559" t="s">
        <v>18</v>
      </c>
      <c r="G559">
        <v>1</v>
      </c>
      <c r="H559">
        <v>3451.96</v>
      </c>
      <c r="I559">
        <v>0.13</v>
      </c>
      <c r="J559">
        <v>3003.21</v>
      </c>
      <c r="K559" t="s">
        <v>41</v>
      </c>
      <c r="L559" t="s">
        <v>29</v>
      </c>
      <c r="M559" t="s">
        <v>21</v>
      </c>
      <c r="N559" t="s">
        <v>22</v>
      </c>
      <c r="O559">
        <f>Table1[[#All],[Quantity]]*Table1[[#All],[Unit Price (?)]]</f>
        <v>3451.96</v>
      </c>
      <c r="P559" t="str">
        <f>TEXT(Table1[[#All],[Order Date]],"dddd")</f>
        <v>Saturday</v>
      </c>
      <c r="Q559" t="str">
        <f>TEXT(Table1[[#All],[Order Date]],"mmm")</f>
        <v>Mar</v>
      </c>
      <c r="R559" t="str">
        <f>IF(Table1[[#All],[Total Price (?)]]&gt;1000,"High Value","Normal")</f>
        <v>High Value</v>
      </c>
    </row>
    <row r="560" spans="1:18" x14ac:dyDescent="0.3">
      <c r="A560" t="s">
        <v>621</v>
      </c>
      <c r="B560" s="1">
        <v>45767</v>
      </c>
      <c r="C560" t="s">
        <v>48</v>
      </c>
      <c r="D560" t="s">
        <v>39</v>
      </c>
      <c r="E560" t="s">
        <v>99</v>
      </c>
      <c r="F560" t="s">
        <v>120</v>
      </c>
      <c r="G560">
        <v>4</v>
      </c>
      <c r="H560">
        <v>2912.43</v>
      </c>
      <c r="I560">
        <v>0.08</v>
      </c>
      <c r="J560">
        <v>10717.74</v>
      </c>
      <c r="K560" t="s">
        <v>41</v>
      </c>
      <c r="L560" t="s">
        <v>29</v>
      </c>
      <c r="M560" t="s">
        <v>30</v>
      </c>
      <c r="N560" t="s">
        <v>22</v>
      </c>
      <c r="O560">
        <f>Table1[[#All],[Quantity]]*Table1[[#All],[Unit Price (?)]]</f>
        <v>11649.72</v>
      </c>
      <c r="P560" t="str">
        <f>TEXT(Table1[[#All],[Order Date]],"dddd")</f>
        <v>Sunday</v>
      </c>
      <c r="Q560" t="str">
        <f>TEXT(Table1[[#All],[Order Date]],"mmm")</f>
        <v>Apr</v>
      </c>
      <c r="R560" t="str">
        <f>IF(Table1[[#All],[Total Price (?)]]&gt;1000,"High Value","Normal")</f>
        <v>High Value</v>
      </c>
    </row>
    <row r="561" spans="1:18" x14ac:dyDescent="0.3">
      <c r="A561" t="s">
        <v>622</v>
      </c>
      <c r="B561" s="1">
        <v>45797</v>
      </c>
      <c r="C561" t="s">
        <v>36</v>
      </c>
      <c r="D561" t="s">
        <v>39</v>
      </c>
      <c r="E561" t="s">
        <v>17</v>
      </c>
      <c r="F561" t="s">
        <v>32</v>
      </c>
      <c r="G561">
        <v>4</v>
      </c>
      <c r="H561">
        <v>2932.89</v>
      </c>
      <c r="I561">
        <v>0.14000000000000001</v>
      </c>
      <c r="J561">
        <v>10089.14</v>
      </c>
      <c r="K561" t="s">
        <v>46</v>
      </c>
      <c r="L561" t="s">
        <v>20</v>
      </c>
      <c r="M561" t="s">
        <v>21</v>
      </c>
      <c r="N561" t="s">
        <v>88</v>
      </c>
      <c r="O561">
        <f>Table1[[#All],[Quantity]]*Table1[[#All],[Unit Price (?)]]</f>
        <v>11731.56</v>
      </c>
      <c r="P561" t="str">
        <f>TEXT(Table1[[#All],[Order Date]],"dddd")</f>
        <v>Tuesday</v>
      </c>
      <c r="Q561" t="str">
        <f>TEXT(Table1[[#All],[Order Date]],"mmm")</f>
        <v>May</v>
      </c>
      <c r="R561" t="str">
        <f>IF(Table1[[#All],[Total Price (?)]]&gt;1000,"High Value","Normal")</f>
        <v>High Value</v>
      </c>
    </row>
    <row r="562" spans="1:18" x14ac:dyDescent="0.3">
      <c r="A562" t="s">
        <v>623</v>
      </c>
      <c r="B562" s="1">
        <v>45743</v>
      </c>
      <c r="C562" t="s">
        <v>15</v>
      </c>
      <c r="D562" t="s">
        <v>39</v>
      </c>
      <c r="E562" t="s">
        <v>27</v>
      </c>
      <c r="F562" t="s">
        <v>79</v>
      </c>
      <c r="G562">
        <v>2</v>
      </c>
      <c r="H562">
        <v>2577.42</v>
      </c>
      <c r="I562">
        <v>0.21</v>
      </c>
      <c r="J562">
        <v>4072.32</v>
      </c>
      <c r="K562" t="s">
        <v>41</v>
      </c>
      <c r="L562" t="s">
        <v>20</v>
      </c>
      <c r="M562" t="s">
        <v>30</v>
      </c>
      <c r="N562" t="s">
        <v>22</v>
      </c>
      <c r="O562">
        <f>Table1[[#All],[Quantity]]*Table1[[#All],[Unit Price (?)]]</f>
        <v>5154.84</v>
      </c>
      <c r="P562" t="str">
        <f>TEXT(Table1[[#All],[Order Date]],"dddd")</f>
        <v>Thursday</v>
      </c>
      <c r="Q562" t="str">
        <f>TEXT(Table1[[#All],[Order Date]],"mmm")</f>
        <v>Mar</v>
      </c>
      <c r="R562" t="str">
        <f>IF(Table1[[#All],[Total Price (?)]]&gt;1000,"High Value","Normal")</f>
        <v>High Value</v>
      </c>
    </row>
    <row r="563" spans="1:18" x14ac:dyDescent="0.3">
      <c r="A563" t="s">
        <v>624</v>
      </c>
      <c r="B563" s="1">
        <v>45768</v>
      </c>
      <c r="C563" t="s">
        <v>15</v>
      </c>
      <c r="D563" t="s">
        <v>43</v>
      </c>
      <c r="E563" t="s">
        <v>99</v>
      </c>
      <c r="F563" t="s">
        <v>111</v>
      </c>
      <c r="G563">
        <v>1</v>
      </c>
      <c r="H563">
        <v>3058.73</v>
      </c>
      <c r="I563">
        <v>0.23</v>
      </c>
      <c r="J563">
        <v>2355.2199999999998</v>
      </c>
      <c r="K563" t="s">
        <v>58</v>
      </c>
      <c r="L563" t="s">
        <v>29</v>
      </c>
      <c r="M563" t="s">
        <v>21</v>
      </c>
      <c r="N563" t="s">
        <v>22</v>
      </c>
      <c r="O563">
        <f>Table1[[#All],[Quantity]]*Table1[[#All],[Unit Price (?)]]</f>
        <v>3058.73</v>
      </c>
      <c r="P563" t="str">
        <f>TEXT(Table1[[#All],[Order Date]],"dddd")</f>
        <v>Monday</v>
      </c>
      <c r="Q563" t="str">
        <f>TEXT(Table1[[#All],[Order Date]],"mmm")</f>
        <v>Apr</v>
      </c>
      <c r="R563" t="str">
        <f>IF(Table1[[#All],[Total Price (?)]]&gt;1000,"High Value","Normal")</f>
        <v>High Value</v>
      </c>
    </row>
    <row r="564" spans="1:18" x14ac:dyDescent="0.3">
      <c r="A564" t="s">
        <v>625</v>
      </c>
      <c r="B564" s="1">
        <v>45661</v>
      </c>
      <c r="C564" t="s">
        <v>15</v>
      </c>
      <c r="D564" t="s">
        <v>16</v>
      </c>
      <c r="E564" t="s">
        <v>99</v>
      </c>
      <c r="F564" t="s">
        <v>100</v>
      </c>
      <c r="G564">
        <v>2</v>
      </c>
      <c r="H564">
        <v>4016.92</v>
      </c>
      <c r="I564">
        <v>0.22</v>
      </c>
      <c r="J564">
        <v>6266.4</v>
      </c>
      <c r="K564" t="s">
        <v>19</v>
      </c>
      <c r="L564" t="s">
        <v>34</v>
      </c>
      <c r="M564" t="s">
        <v>30</v>
      </c>
      <c r="N564" t="s">
        <v>59</v>
      </c>
      <c r="O564">
        <f>Table1[[#All],[Quantity]]*Table1[[#All],[Unit Price (?)]]</f>
        <v>8033.84</v>
      </c>
      <c r="P564" t="str">
        <f>TEXT(Table1[[#All],[Order Date]],"dddd")</f>
        <v>Saturday</v>
      </c>
      <c r="Q564" t="str">
        <f>TEXT(Table1[[#All],[Order Date]],"mmm")</f>
        <v>Jan</v>
      </c>
      <c r="R564" t="str">
        <f>IF(Table1[[#All],[Total Price (?)]]&gt;1000,"High Value","Normal")</f>
        <v>High Value</v>
      </c>
    </row>
    <row r="565" spans="1:18" x14ac:dyDescent="0.3">
      <c r="A565" t="s">
        <v>626</v>
      </c>
      <c r="B565" s="1">
        <v>45681</v>
      </c>
      <c r="C565" t="s">
        <v>48</v>
      </c>
      <c r="D565" t="s">
        <v>43</v>
      </c>
      <c r="E565" t="s">
        <v>27</v>
      </c>
      <c r="F565" t="s">
        <v>68</v>
      </c>
      <c r="G565">
        <v>2</v>
      </c>
      <c r="H565">
        <v>3337.27</v>
      </c>
      <c r="I565">
        <v>0.18</v>
      </c>
      <c r="J565">
        <v>5473.12</v>
      </c>
      <c r="K565" t="s">
        <v>41</v>
      </c>
      <c r="L565" t="s">
        <v>34</v>
      </c>
      <c r="M565" t="s">
        <v>54</v>
      </c>
      <c r="N565" t="s">
        <v>22</v>
      </c>
      <c r="O565">
        <f>Table1[[#All],[Quantity]]*Table1[[#All],[Unit Price (?)]]</f>
        <v>6674.54</v>
      </c>
      <c r="P565" t="str">
        <f>TEXT(Table1[[#All],[Order Date]],"dddd")</f>
        <v>Friday</v>
      </c>
      <c r="Q565" t="str">
        <f>TEXT(Table1[[#All],[Order Date]],"mmm")</f>
        <v>Jan</v>
      </c>
      <c r="R565" t="str">
        <f>IF(Table1[[#All],[Total Price (?)]]&gt;1000,"High Value","Normal")</f>
        <v>High Value</v>
      </c>
    </row>
    <row r="566" spans="1:18" x14ac:dyDescent="0.3">
      <c r="A566" t="s">
        <v>627</v>
      </c>
      <c r="B566" s="1">
        <v>45674</v>
      </c>
      <c r="C566" t="s">
        <v>15</v>
      </c>
      <c r="D566" t="s">
        <v>43</v>
      </c>
      <c r="E566" t="s">
        <v>99</v>
      </c>
      <c r="F566" t="s">
        <v>120</v>
      </c>
      <c r="G566">
        <v>2</v>
      </c>
      <c r="H566">
        <v>2373.67</v>
      </c>
      <c r="I566">
        <v>0.12</v>
      </c>
      <c r="J566">
        <v>4177.66</v>
      </c>
      <c r="K566" t="s">
        <v>58</v>
      </c>
      <c r="L566" t="s">
        <v>20</v>
      </c>
      <c r="M566" t="s">
        <v>30</v>
      </c>
      <c r="N566" t="s">
        <v>22</v>
      </c>
      <c r="O566">
        <f>Table1[[#All],[Quantity]]*Table1[[#All],[Unit Price (?)]]</f>
        <v>4747.34</v>
      </c>
      <c r="P566" t="str">
        <f>TEXT(Table1[[#All],[Order Date]],"dddd")</f>
        <v>Friday</v>
      </c>
      <c r="Q566" t="str">
        <f>TEXT(Table1[[#All],[Order Date]],"mmm")</f>
        <v>Jan</v>
      </c>
      <c r="R566" t="str">
        <f>IF(Table1[[#All],[Total Price (?)]]&gt;1000,"High Value","Normal")</f>
        <v>High Value</v>
      </c>
    </row>
    <row r="567" spans="1:18" x14ac:dyDescent="0.3">
      <c r="A567" t="s">
        <v>628</v>
      </c>
      <c r="B567" s="1">
        <v>45831</v>
      </c>
      <c r="C567" t="s">
        <v>15</v>
      </c>
      <c r="D567" t="s">
        <v>25</v>
      </c>
      <c r="E567" t="s">
        <v>49</v>
      </c>
      <c r="F567" t="s">
        <v>50</v>
      </c>
      <c r="G567">
        <v>4</v>
      </c>
      <c r="H567">
        <v>158.13</v>
      </c>
      <c r="I567">
        <v>0.23</v>
      </c>
      <c r="J567">
        <v>487.04</v>
      </c>
      <c r="K567" t="s">
        <v>19</v>
      </c>
      <c r="L567" t="s">
        <v>29</v>
      </c>
      <c r="M567" t="s">
        <v>30</v>
      </c>
      <c r="N567" t="s">
        <v>22</v>
      </c>
      <c r="O567">
        <f>Table1[[#All],[Quantity]]*Table1[[#All],[Unit Price (?)]]</f>
        <v>632.52</v>
      </c>
      <c r="P567" t="str">
        <f>TEXT(Table1[[#All],[Order Date]],"dddd")</f>
        <v>Monday</v>
      </c>
      <c r="Q567" t="str">
        <f>TEXT(Table1[[#All],[Order Date]],"mmm")</f>
        <v>Jun</v>
      </c>
      <c r="R567" t="str">
        <f>IF(Table1[[#All],[Total Price (?)]]&gt;1000,"High Value","Normal")</f>
        <v>Normal</v>
      </c>
    </row>
    <row r="568" spans="1:18" x14ac:dyDescent="0.3">
      <c r="A568" t="s">
        <v>629</v>
      </c>
      <c r="B568" s="1">
        <v>45794</v>
      </c>
      <c r="C568" t="s">
        <v>24</v>
      </c>
      <c r="D568" t="s">
        <v>39</v>
      </c>
      <c r="E568" t="s">
        <v>27</v>
      </c>
      <c r="F568" t="s">
        <v>79</v>
      </c>
      <c r="G568">
        <v>3</v>
      </c>
      <c r="H568">
        <v>4785.3</v>
      </c>
      <c r="I568">
        <v>0.11</v>
      </c>
      <c r="J568">
        <v>12776.75</v>
      </c>
      <c r="K568" t="s">
        <v>33</v>
      </c>
      <c r="L568" t="s">
        <v>29</v>
      </c>
      <c r="M568" t="s">
        <v>21</v>
      </c>
      <c r="N568" t="s">
        <v>22</v>
      </c>
      <c r="O568">
        <f>Table1[[#All],[Quantity]]*Table1[[#All],[Unit Price (?)]]</f>
        <v>14355.900000000001</v>
      </c>
      <c r="P568" t="str">
        <f>TEXT(Table1[[#All],[Order Date]],"dddd")</f>
        <v>Saturday</v>
      </c>
      <c r="Q568" t="str">
        <f>TEXT(Table1[[#All],[Order Date]],"mmm")</f>
        <v>May</v>
      </c>
      <c r="R568" t="str">
        <f>IF(Table1[[#All],[Total Price (?)]]&gt;1000,"High Value","Normal")</f>
        <v>High Value</v>
      </c>
    </row>
    <row r="569" spans="1:18" x14ac:dyDescent="0.3">
      <c r="A569" t="s">
        <v>630</v>
      </c>
      <c r="B569" s="1">
        <v>45835</v>
      </c>
      <c r="C569" t="s">
        <v>15</v>
      </c>
      <c r="D569" t="s">
        <v>43</v>
      </c>
      <c r="E569" t="s">
        <v>99</v>
      </c>
      <c r="F569" t="s">
        <v>120</v>
      </c>
      <c r="G569">
        <v>4</v>
      </c>
      <c r="H569">
        <v>3888.44</v>
      </c>
      <c r="I569">
        <v>0.19</v>
      </c>
      <c r="J569">
        <v>12598.55</v>
      </c>
      <c r="K569" t="s">
        <v>33</v>
      </c>
      <c r="L569" t="s">
        <v>34</v>
      </c>
      <c r="M569" t="s">
        <v>21</v>
      </c>
      <c r="N569" t="s">
        <v>22</v>
      </c>
      <c r="O569">
        <f>Table1[[#All],[Quantity]]*Table1[[#All],[Unit Price (?)]]</f>
        <v>15553.76</v>
      </c>
      <c r="P569" t="str">
        <f>TEXT(Table1[[#All],[Order Date]],"dddd")</f>
        <v>Friday</v>
      </c>
      <c r="Q569" t="str">
        <f>TEXT(Table1[[#All],[Order Date]],"mmm")</f>
        <v>Jun</v>
      </c>
      <c r="R569" t="str">
        <f>IF(Table1[[#All],[Total Price (?)]]&gt;1000,"High Value","Normal")</f>
        <v>High Value</v>
      </c>
    </row>
    <row r="570" spans="1:18" x14ac:dyDescent="0.3">
      <c r="A570" t="s">
        <v>631</v>
      </c>
      <c r="B570" s="1">
        <v>45688</v>
      </c>
      <c r="C570" t="s">
        <v>36</v>
      </c>
      <c r="D570" t="s">
        <v>16</v>
      </c>
      <c r="E570" t="s">
        <v>61</v>
      </c>
      <c r="F570" t="s">
        <v>66</v>
      </c>
      <c r="G570">
        <v>1</v>
      </c>
      <c r="H570">
        <v>4175.28</v>
      </c>
      <c r="I570">
        <v>0</v>
      </c>
      <c r="J570">
        <v>4175.28</v>
      </c>
      <c r="K570" t="s">
        <v>58</v>
      </c>
      <c r="L570" t="s">
        <v>29</v>
      </c>
      <c r="M570" t="s">
        <v>54</v>
      </c>
      <c r="N570" t="s">
        <v>22</v>
      </c>
      <c r="O570">
        <f>Table1[[#All],[Quantity]]*Table1[[#All],[Unit Price (?)]]</f>
        <v>4175.28</v>
      </c>
      <c r="P570" t="str">
        <f>TEXT(Table1[[#All],[Order Date]],"dddd")</f>
        <v>Friday</v>
      </c>
      <c r="Q570" t="str">
        <f>TEXT(Table1[[#All],[Order Date]],"mmm")</f>
        <v>Jan</v>
      </c>
      <c r="R570" t="str">
        <f>IF(Table1[[#All],[Total Price (?)]]&gt;1000,"High Value","Normal")</f>
        <v>High Value</v>
      </c>
    </row>
    <row r="571" spans="1:18" x14ac:dyDescent="0.3">
      <c r="A571" t="s">
        <v>632</v>
      </c>
      <c r="B571" s="1">
        <v>45765</v>
      </c>
      <c r="C571" t="s">
        <v>15</v>
      </c>
      <c r="D571" t="s">
        <v>43</v>
      </c>
      <c r="E571" t="s">
        <v>99</v>
      </c>
      <c r="F571" t="s">
        <v>100</v>
      </c>
      <c r="G571">
        <v>1</v>
      </c>
      <c r="H571">
        <v>216.13</v>
      </c>
      <c r="I571">
        <v>0.02</v>
      </c>
      <c r="J571">
        <v>211.81</v>
      </c>
      <c r="K571" t="s">
        <v>46</v>
      </c>
      <c r="L571" t="s">
        <v>20</v>
      </c>
      <c r="M571" t="s">
        <v>21</v>
      </c>
      <c r="N571" t="s">
        <v>59</v>
      </c>
      <c r="O571">
        <f>Table1[[#All],[Quantity]]*Table1[[#All],[Unit Price (?)]]</f>
        <v>216.13</v>
      </c>
      <c r="P571" t="str">
        <f>TEXT(Table1[[#All],[Order Date]],"dddd")</f>
        <v>Friday</v>
      </c>
      <c r="Q571" t="str">
        <f>TEXT(Table1[[#All],[Order Date]],"mmm")</f>
        <v>Apr</v>
      </c>
      <c r="R571" t="str">
        <f>IF(Table1[[#All],[Total Price (?)]]&gt;1000,"High Value","Normal")</f>
        <v>Normal</v>
      </c>
    </row>
    <row r="572" spans="1:18" x14ac:dyDescent="0.3">
      <c r="A572" t="s">
        <v>633</v>
      </c>
      <c r="B572" s="1">
        <v>45666</v>
      </c>
      <c r="C572" t="s">
        <v>24</v>
      </c>
      <c r="D572" t="s">
        <v>43</v>
      </c>
      <c r="E572" t="s">
        <v>17</v>
      </c>
      <c r="F572" t="s">
        <v>18</v>
      </c>
      <c r="G572">
        <v>4</v>
      </c>
      <c r="H572">
        <v>3316.33</v>
      </c>
      <c r="I572">
        <v>0.22</v>
      </c>
      <c r="J572">
        <v>10346.950000000001</v>
      </c>
      <c r="K572" t="s">
        <v>33</v>
      </c>
      <c r="L572" t="s">
        <v>20</v>
      </c>
      <c r="M572" t="s">
        <v>21</v>
      </c>
      <c r="N572" t="s">
        <v>37</v>
      </c>
      <c r="O572">
        <f>Table1[[#All],[Quantity]]*Table1[[#All],[Unit Price (?)]]</f>
        <v>13265.32</v>
      </c>
      <c r="P572" t="str">
        <f>TEXT(Table1[[#All],[Order Date]],"dddd")</f>
        <v>Thursday</v>
      </c>
      <c r="Q572" t="str">
        <f>TEXT(Table1[[#All],[Order Date]],"mmm")</f>
        <v>Jan</v>
      </c>
      <c r="R572" t="str">
        <f>IF(Table1[[#All],[Total Price (?)]]&gt;1000,"High Value","Normal")</f>
        <v>High Value</v>
      </c>
    </row>
    <row r="573" spans="1:18" x14ac:dyDescent="0.3">
      <c r="A573" t="s">
        <v>634</v>
      </c>
      <c r="B573" s="1">
        <v>45822</v>
      </c>
      <c r="C573" t="s">
        <v>15</v>
      </c>
      <c r="D573" t="s">
        <v>25</v>
      </c>
      <c r="E573" t="s">
        <v>61</v>
      </c>
      <c r="F573" t="s">
        <v>66</v>
      </c>
      <c r="G573">
        <v>1</v>
      </c>
      <c r="H573">
        <v>3230.02</v>
      </c>
      <c r="I573">
        <v>0.23</v>
      </c>
      <c r="J573">
        <v>2487.12</v>
      </c>
      <c r="K573" t="s">
        <v>41</v>
      </c>
      <c r="L573" t="s">
        <v>29</v>
      </c>
      <c r="M573" t="s">
        <v>30</v>
      </c>
      <c r="N573" t="s">
        <v>22</v>
      </c>
      <c r="O573">
        <f>Table1[[#All],[Quantity]]*Table1[[#All],[Unit Price (?)]]</f>
        <v>3230.02</v>
      </c>
      <c r="P573" t="str">
        <f>TEXT(Table1[[#All],[Order Date]],"dddd")</f>
        <v>Saturday</v>
      </c>
      <c r="Q573" t="str">
        <f>TEXT(Table1[[#All],[Order Date]],"mmm")</f>
        <v>Jun</v>
      </c>
      <c r="R573" t="str">
        <f>IF(Table1[[#All],[Total Price (?)]]&gt;1000,"High Value","Normal")</f>
        <v>High Value</v>
      </c>
    </row>
    <row r="574" spans="1:18" x14ac:dyDescent="0.3">
      <c r="A574" t="s">
        <v>635</v>
      </c>
      <c r="B574" s="1">
        <v>45731</v>
      </c>
      <c r="C574" t="s">
        <v>52</v>
      </c>
      <c r="D574" t="s">
        <v>39</v>
      </c>
      <c r="E574" t="s">
        <v>99</v>
      </c>
      <c r="F574" t="s">
        <v>111</v>
      </c>
      <c r="G574">
        <v>1</v>
      </c>
      <c r="H574">
        <v>1975.72</v>
      </c>
      <c r="I574">
        <v>0.08</v>
      </c>
      <c r="J574">
        <v>1817.66</v>
      </c>
      <c r="K574" t="s">
        <v>58</v>
      </c>
      <c r="L574" t="s">
        <v>34</v>
      </c>
      <c r="M574" t="s">
        <v>54</v>
      </c>
      <c r="N574" t="s">
        <v>59</v>
      </c>
      <c r="O574">
        <f>Table1[[#All],[Quantity]]*Table1[[#All],[Unit Price (?)]]</f>
        <v>1975.72</v>
      </c>
      <c r="P574" t="str">
        <f>TEXT(Table1[[#All],[Order Date]],"dddd")</f>
        <v>Saturday</v>
      </c>
      <c r="Q574" t="str">
        <f>TEXT(Table1[[#All],[Order Date]],"mmm")</f>
        <v>Mar</v>
      </c>
      <c r="R574" t="str">
        <f>IF(Table1[[#All],[Total Price (?)]]&gt;1000,"High Value","Normal")</f>
        <v>High Value</v>
      </c>
    </row>
    <row r="575" spans="1:18" x14ac:dyDescent="0.3">
      <c r="A575" t="s">
        <v>636</v>
      </c>
      <c r="B575" s="1">
        <v>45773</v>
      </c>
      <c r="C575" t="s">
        <v>48</v>
      </c>
      <c r="D575" t="s">
        <v>16</v>
      </c>
      <c r="E575" t="s">
        <v>99</v>
      </c>
      <c r="F575" t="s">
        <v>100</v>
      </c>
      <c r="G575">
        <v>2</v>
      </c>
      <c r="H575">
        <v>3090.48</v>
      </c>
      <c r="I575">
        <v>0.04</v>
      </c>
      <c r="J575">
        <v>5933.72</v>
      </c>
      <c r="K575" t="s">
        <v>58</v>
      </c>
      <c r="L575" t="s">
        <v>34</v>
      </c>
      <c r="M575" t="s">
        <v>30</v>
      </c>
      <c r="N575" t="s">
        <v>22</v>
      </c>
      <c r="O575">
        <f>Table1[[#All],[Quantity]]*Table1[[#All],[Unit Price (?)]]</f>
        <v>6180.96</v>
      </c>
      <c r="P575" t="str">
        <f>TEXT(Table1[[#All],[Order Date]],"dddd")</f>
        <v>Saturday</v>
      </c>
      <c r="Q575" t="str">
        <f>TEXT(Table1[[#All],[Order Date]],"mmm")</f>
        <v>Apr</v>
      </c>
      <c r="R575" t="str">
        <f>IF(Table1[[#All],[Total Price (?)]]&gt;1000,"High Value","Normal")</f>
        <v>High Value</v>
      </c>
    </row>
    <row r="576" spans="1:18" x14ac:dyDescent="0.3">
      <c r="A576" t="s">
        <v>637</v>
      </c>
      <c r="B576" s="1">
        <v>45767</v>
      </c>
      <c r="C576" t="s">
        <v>36</v>
      </c>
      <c r="D576" t="s">
        <v>39</v>
      </c>
      <c r="E576" t="s">
        <v>49</v>
      </c>
      <c r="F576" t="s">
        <v>73</v>
      </c>
      <c r="G576">
        <v>3</v>
      </c>
      <c r="H576">
        <v>606.11</v>
      </c>
      <c r="I576">
        <v>0.02</v>
      </c>
      <c r="J576">
        <v>1781.96</v>
      </c>
      <c r="K576" t="s">
        <v>58</v>
      </c>
      <c r="L576" t="s">
        <v>34</v>
      </c>
      <c r="M576" t="s">
        <v>21</v>
      </c>
      <c r="N576" t="s">
        <v>88</v>
      </c>
      <c r="O576">
        <f>Table1[[#All],[Quantity]]*Table1[[#All],[Unit Price (?)]]</f>
        <v>1818.33</v>
      </c>
      <c r="P576" t="str">
        <f>TEXT(Table1[[#All],[Order Date]],"dddd")</f>
        <v>Sunday</v>
      </c>
      <c r="Q576" t="str">
        <f>TEXT(Table1[[#All],[Order Date]],"mmm")</f>
        <v>Apr</v>
      </c>
      <c r="R576" t="str">
        <f>IF(Table1[[#All],[Total Price (?)]]&gt;1000,"High Value","Normal")</f>
        <v>High Value</v>
      </c>
    </row>
    <row r="577" spans="1:18" x14ac:dyDescent="0.3">
      <c r="A577" t="s">
        <v>638</v>
      </c>
      <c r="B577" s="1">
        <v>45688</v>
      </c>
      <c r="C577" t="s">
        <v>52</v>
      </c>
      <c r="D577" t="s">
        <v>16</v>
      </c>
      <c r="E577" t="s">
        <v>17</v>
      </c>
      <c r="F577" t="s">
        <v>40</v>
      </c>
      <c r="G577">
        <v>4</v>
      </c>
      <c r="H577">
        <v>1405.54</v>
      </c>
      <c r="I577">
        <v>0.18</v>
      </c>
      <c r="J577">
        <v>4610.17</v>
      </c>
      <c r="K577" t="s">
        <v>58</v>
      </c>
      <c r="L577" t="s">
        <v>20</v>
      </c>
      <c r="M577" t="s">
        <v>30</v>
      </c>
      <c r="N577" t="s">
        <v>22</v>
      </c>
      <c r="O577">
        <f>Table1[[#All],[Quantity]]*Table1[[#All],[Unit Price (?)]]</f>
        <v>5622.16</v>
      </c>
      <c r="P577" t="str">
        <f>TEXT(Table1[[#All],[Order Date]],"dddd")</f>
        <v>Friday</v>
      </c>
      <c r="Q577" t="str">
        <f>TEXT(Table1[[#All],[Order Date]],"mmm")</f>
        <v>Jan</v>
      </c>
      <c r="R577" t="str">
        <f>IF(Table1[[#All],[Total Price (?)]]&gt;1000,"High Value","Normal")</f>
        <v>High Value</v>
      </c>
    </row>
    <row r="578" spans="1:18" x14ac:dyDescent="0.3">
      <c r="A578" t="s">
        <v>639</v>
      </c>
      <c r="B578" s="1">
        <v>45743</v>
      </c>
      <c r="C578" t="s">
        <v>48</v>
      </c>
      <c r="D578" t="s">
        <v>25</v>
      </c>
      <c r="E578" t="s">
        <v>49</v>
      </c>
      <c r="F578" t="s">
        <v>50</v>
      </c>
      <c r="G578">
        <v>1</v>
      </c>
      <c r="H578">
        <v>2746.63</v>
      </c>
      <c r="I578">
        <v>0</v>
      </c>
      <c r="J578">
        <v>2746.63</v>
      </c>
      <c r="K578" t="s">
        <v>41</v>
      </c>
      <c r="L578" t="s">
        <v>29</v>
      </c>
      <c r="M578" t="s">
        <v>21</v>
      </c>
      <c r="N578" t="s">
        <v>22</v>
      </c>
      <c r="O578">
        <f>Table1[[#All],[Quantity]]*Table1[[#All],[Unit Price (?)]]</f>
        <v>2746.63</v>
      </c>
      <c r="P578" t="str">
        <f>TEXT(Table1[[#All],[Order Date]],"dddd")</f>
        <v>Thursday</v>
      </c>
      <c r="Q578" t="str">
        <f>TEXT(Table1[[#All],[Order Date]],"mmm")</f>
        <v>Mar</v>
      </c>
      <c r="R578" t="str">
        <f>IF(Table1[[#All],[Total Price (?)]]&gt;1000,"High Value","Normal")</f>
        <v>High Value</v>
      </c>
    </row>
    <row r="579" spans="1:18" x14ac:dyDescent="0.3">
      <c r="A579" t="s">
        <v>640</v>
      </c>
      <c r="B579" s="1">
        <v>45684</v>
      </c>
      <c r="C579" t="s">
        <v>15</v>
      </c>
      <c r="D579" t="s">
        <v>39</v>
      </c>
      <c r="E579" t="s">
        <v>27</v>
      </c>
      <c r="F579" t="s">
        <v>28</v>
      </c>
      <c r="G579">
        <v>1</v>
      </c>
      <c r="H579">
        <v>3198.14</v>
      </c>
      <c r="I579">
        <v>0.24</v>
      </c>
      <c r="J579">
        <v>2430.59</v>
      </c>
      <c r="K579" t="s">
        <v>46</v>
      </c>
      <c r="L579" t="s">
        <v>34</v>
      </c>
      <c r="M579" t="s">
        <v>54</v>
      </c>
      <c r="N579" t="s">
        <v>22</v>
      </c>
      <c r="O579">
        <f>Table1[[#All],[Quantity]]*Table1[[#All],[Unit Price (?)]]</f>
        <v>3198.14</v>
      </c>
      <c r="P579" t="str">
        <f>TEXT(Table1[[#All],[Order Date]],"dddd")</f>
        <v>Monday</v>
      </c>
      <c r="Q579" t="str">
        <f>TEXT(Table1[[#All],[Order Date]],"mmm")</f>
        <v>Jan</v>
      </c>
      <c r="R579" t="str">
        <f>IF(Table1[[#All],[Total Price (?)]]&gt;1000,"High Value","Normal")</f>
        <v>High Value</v>
      </c>
    </row>
    <row r="580" spans="1:18" x14ac:dyDescent="0.3">
      <c r="A580" t="s">
        <v>641</v>
      </c>
      <c r="B580" s="1">
        <v>45668</v>
      </c>
      <c r="C580" t="s">
        <v>48</v>
      </c>
      <c r="D580" t="s">
        <v>43</v>
      </c>
      <c r="E580" t="s">
        <v>99</v>
      </c>
      <c r="F580" t="s">
        <v>120</v>
      </c>
      <c r="G580">
        <v>2</v>
      </c>
      <c r="H580">
        <v>965.43</v>
      </c>
      <c r="I580">
        <v>0.01</v>
      </c>
      <c r="J580">
        <v>1911.55</v>
      </c>
      <c r="K580" t="s">
        <v>46</v>
      </c>
      <c r="L580" t="s">
        <v>29</v>
      </c>
      <c r="M580" t="s">
        <v>30</v>
      </c>
      <c r="N580" t="s">
        <v>22</v>
      </c>
      <c r="O580">
        <f>Table1[[#All],[Quantity]]*Table1[[#All],[Unit Price (?)]]</f>
        <v>1930.86</v>
      </c>
      <c r="P580" t="str">
        <f>TEXT(Table1[[#All],[Order Date]],"dddd")</f>
        <v>Saturday</v>
      </c>
      <c r="Q580" t="str">
        <f>TEXT(Table1[[#All],[Order Date]],"mmm")</f>
        <v>Jan</v>
      </c>
      <c r="R580" t="str">
        <f>IF(Table1[[#All],[Total Price (?)]]&gt;1000,"High Value","Normal")</f>
        <v>High Value</v>
      </c>
    </row>
    <row r="581" spans="1:18" x14ac:dyDescent="0.3">
      <c r="A581" t="s">
        <v>642</v>
      </c>
      <c r="B581" s="1">
        <v>45719</v>
      </c>
      <c r="C581" t="s">
        <v>15</v>
      </c>
      <c r="D581" t="s">
        <v>16</v>
      </c>
      <c r="E581" t="s">
        <v>49</v>
      </c>
      <c r="F581" t="s">
        <v>56</v>
      </c>
      <c r="G581">
        <v>4</v>
      </c>
      <c r="H581">
        <v>3703.09</v>
      </c>
      <c r="I581">
        <v>0.03</v>
      </c>
      <c r="J581">
        <v>14367.99</v>
      </c>
      <c r="K581" t="s">
        <v>41</v>
      </c>
      <c r="L581" t="s">
        <v>20</v>
      </c>
      <c r="M581" t="s">
        <v>54</v>
      </c>
      <c r="N581" t="s">
        <v>22</v>
      </c>
      <c r="O581">
        <f>Table1[[#All],[Quantity]]*Table1[[#All],[Unit Price (?)]]</f>
        <v>14812.36</v>
      </c>
      <c r="P581" t="str">
        <f>TEXT(Table1[[#All],[Order Date]],"dddd")</f>
        <v>Monday</v>
      </c>
      <c r="Q581" t="str">
        <f>TEXT(Table1[[#All],[Order Date]],"mmm")</f>
        <v>Mar</v>
      </c>
      <c r="R581" t="str">
        <f>IF(Table1[[#All],[Total Price (?)]]&gt;1000,"High Value","Normal")</f>
        <v>High Value</v>
      </c>
    </row>
    <row r="582" spans="1:18" x14ac:dyDescent="0.3">
      <c r="A582" t="s">
        <v>643</v>
      </c>
      <c r="B582" s="1">
        <v>45730</v>
      </c>
      <c r="C582" t="s">
        <v>48</v>
      </c>
      <c r="D582" t="s">
        <v>16</v>
      </c>
      <c r="E582" t="s">
        <v>27</v>
      </c>
      <c r="F582" t="s">
        <v>68</v>
      </c>
      <c r="G582">
        <v>5</v>
      </c>
      <c r="H582">
        <v>3252.7</v>
      </c>
      <c r="I582">
        <v>0.12</v>
      </c>
      <c r="J582">
        <v>14311.88</v>
      </c>
      <c r="K582" t="s">
        <v>41</v>
      </c>
      <c r="L582" t="s">
        <v>20</v>
      </c>
      <c r="M582" t="s">
        <v>30</v>
      </c>
      <c r="N582" t="s">
        <v>22</v>
      </c>
      <c r="O582">
        <f>Table1[[#All],[Quantity]]*Table1[[#All],[Unit Price (?)]]</f>
        <v>16263.5</v>
      </c>
      <c r="P582" t="str">
        <f>TEXT(Table1[[#All],[Order Date]],"dddd")</f>
        <v>Friday</v>
      </c>
      <c r="Q582" t="str">
        <f>TEXT(Table1[[#All],[Order Date]],"mmm")</f>
        <v>Mar</v>
      </c>
      <c r="R582" t="str">
        <f>IF(Table1[[#All],[Total Price (?)]]&gt;1000,"High Value","Normal")</f>
        <v>High Value</v>
      </c>
    </row>
    <row r="583" spans="1:18" x14ac:dyDescent="0.3">
      <c r="A583" t="s">
        <v>644</v>
      </c>
      <c r="B583" s="1">
        <v>45834</v>
      </c>
      <c r="C583" t="s">
        <v>24</v>
      </c>
      <c r="D583" t="s">
        <v>43</v>
      </c>
      <c r="E583" t="s">
        <v>17</v>
      </c>
      <c r="F583" t="s">
        <v>32</v>
      </c>
      <c r="G583">
        <v>2</v>
      </c>
      <c r="H583">
        <v>4054.81</v>
      </c>
      <c r="I583">
        <v>0.17</v>
      </c>
      <c r="J583">
        <v>6730.98</v>
      </c>
      <c r="K583" t="s">
        <v>41</v>
      </c>
      <c r="L583" t="s">
        <v>20</v>
      </c>
      <c r="M583" t="s">
        <v>30</v>
      </c>
      <c r="N583" t="s">
        <v>22</v>
      </c>
      <c r="O583">
        <f>Table1[[#All],[Quantity]]*Table1[[#All],[Unit Price (?)]]</f>
        <v>8109.62</v>
      </c>
      <c r="P583" t="str">
        <f>TEXT(Table1[[#All],[Order Date]],"dddd")</f>
        <v>Thursday</v>
      </c>
      <c r="Q583" t="str">
        <f>TEXT(Table1[[#All],[Order Date]],"mmm")</f>
        <v>Jun</v>
      </c>
      <c r="R583" t="str">
        <f>IF(Table1[[#All],[Total Price (?)]]&gt;1000,"High Value","Normal")</f>
        <v>High Value</v>
      </c>
    </row>
    <row r="584" spans="1:18" x14ac:dyDescent="0.3">
      <c r="A584" t="s">
        <v>645</v>
      </c>
      <c r="B584" s="1">
        <v>45841</v>
      </c>
      <c r="C584" t="s">
        <v>24</v>
      </c>
      <c r="D584" t="s">
        <v>43</v>
      </c>
      <c r="E584" t="s">
        <v>61</v>
      </c>
      <c r="F584" t="s">
        <v>62</v>
      </c>
      <c r="G584">
        <v>1</v>
      </c>
      <c r="H584">
        <v>2408.98</v>
      </c>
      <c r="I584">
        <v>0.23</v>
      </c>
      <c r="J584">
        <v>1854.91</v>
      </c>
      <c r="K584" t="s">
        <v>19</v>
      </c>
      <c r="L584" t="s">
        <v>34</v>
      </c>
      <c r="M584" t="s">
        <v>54</v>
      </c>
      <c r="N584" t="s">
        <v>22</v>
      </c>
      <c r="O584">
        <f>Table1[[#All],[Quantity]]*Table1[[#All],[Unit Price (?)]]</f>
        <v>2408.98</v>
      </c>
      <c r="P584" t="str">
        <f>TEXT(Table1[[#All],[Order Date]],"dddd")</f>
        <v>Thursday</v>
      </c>
      <c r="Q584" t="str">
        <f>TEXT(Table1[[#All],[Order Date]],"mmm")</f>
        <v>Jul</v>
      </c>
      <c r="R584" t="str">
        <f>IF(Table1[[#All],[Total Price (?)]]&gt;1000,"High Value","Normal")</f>
        <v>High Value</v>
      </c>
    </row>
    <row r="585" spans="1:18" x14ac:dyDescent="0.3">
      <c r="A585" t="s">
        <v>646</v>
      </c>
      <c r="B585" s="1">
        <v>45814</v>
      </c>
      <c r="C585" t="s">
        <v>52</v>
      </c>
      <c r="D585" t="s">
        <v>16</v>
      </c>
      <c r="E585" t="s">
        <v>61</v>
      </c>
      <c r="F585" t="s">
        <v>62</v>
      </c>
      <c r="G585">
        <v>1</v>
      </c>
      <c r="H585">
        <v>2335.3000000000002</v>
      </c>
      <c r="I585">
        <v>0.04</v>
      </c>
      <c r="J585">
        <v>2241.89</v>
      </c>
      <c r="K585" t="s">
        <v>58</v>
      </c>
      <c r="L585" t="s">
        <v>34</v>
      </c>
      <c r="M585" t="s">
        <v>21</v>
      </c>
      <c r="N585" t="s">
        <v>88</v>
      </c>
      <c r="O585">
        <f>Table1[[#All],[Quantity]]*Table1[[#All],[Unit Price (?)]]</f>
        <v>2335.3000000000002</v>
      </c>
      <c r="P585" t="str">
        <f>TEXT(Table1[[#All],[Order Date]],"dddd")</f>
        <v>Friday</v>
      </c>
      <c r="Q585" t="str">
        <f>TEXT(Table1[[#All],[Order Date]],"mmm")</f>
        <v>Jun</v>
      </c>
      <c r="R585" t="str">
        <f>IF(Table1[[#All],[Total Price (?)]]&gt;1000,"High Value","Normal")</f>
        <v>High Value</v>
      </c>
    </row>
    <row r="586" spans="1:18" x14ac:dyDescent="0.3">
      <c r="A586" t="s">
        <v>647</v>
      </c>
      <c r="B586" s="1">
        <v>45827</v>
      </c>
      <c r="C586" t="s">
        <v>48</v>
      </c>
      <c r="D586" t="s">
        <v>25</v>
      </c>
      <c r="E586" t="s">
        <v>17</v>
      </c>
      <c r="F586" t="s">
        <v>18</v>
      </c>
      <c r="G586">
        <v>2</v>
      </c>
      <c r="H586">
        <v>409.24</v>
      </c>
      <c r="I586">
        <v>0.05</v>
      </c>
      <c r="J586">
        <v>777.56</v>
      </c>
      <c r="K586" t="s">
        <v>33</v>
      </c>
      <c r="L586" t="s">
        <v>29</v>
      </c>
      <c r="M586" t="s">
        <v>30</v>
      </c>
      <c r="N586" t="s">
        <v>22</v>
      </c>
      <c r="O586">
        <f>Table1[[#All],[Quantity]]*Table1[[#All],[Unit Price (?)]]</f>
        <v>818.48</v>
      </c>
      <c r="P586" t="str">
        <f>TEXT(Table1[[#All],[Order Date]],"dddd")</f>
        <v>Thursday</v>
      </c>
      <c r="Q586" t="str">
        <f>TEXT(Table1[[#All],[Order Date]],"mmm")</f>
        <v>Jun</v>
      </c>
      <c r="R586" t="str">
        <f>IF(Table1[[#All],[Total Price (?)]]&gt;1000,"High Value","Normal")</f>
        <v>Normal</v>
      </c>
    </row>
    <row r="587" spans="1:18" x14ac:dyDescent="0.3">
      <c r="A587" t="s">
        <v>648</v>
      </c>
      <c r="B587" s="1">
        <v>45667</v>
      </c>
      <c r="C587" t="s">
        <v>15</v>
      </c>
      <c r="D587" t="s">
        <v>43</v>
      </c>
      <c r="E587" t="s">
        <v>27</v>
      </c>
      <c r="F587" t="s">
        <v>68</v>
      </c>
      <c r="G587">
        <v>5</v>
      </c>
      <c r="H587">
        <v>949.89</v>
      </c>
      <c r="I587">
        <v>0.02</v>
      </c>
      <c r="J587">
        <v>4654.46</v>
      </c>
      <c r="K587" t="s">
        <v>19</v>
      </c>
      <c r="L587" t="s">
        <v>20</v>
      </c>
      <c r="M587" t="s">
        <v>30</v>
      </c>
      <c r="N587" t="s">
        <v>88</v>
      </c>
      <c r="O587">
        <f>Table1[[#All],[Quantity]]*Table1[[#All],[Unit Price (?)]]</f>
        <v>4749.45</v>
      </c>
      <c r="P587" t="str">
        <f>TEXT(Table1[[#All],[Order Date]],"dddd")</f>
        <v>Friday</v>
      </c>
      <c r="Q587" t="str">
        <f>TEXT(Table1[[#All],[Order Date]],"mmm")</f>
        <v>Jan</v>
      </c>
      <c r="R587" t="str">
        <f>IF(Table1[[#All],[Total Price (?)]]&gt;1000,"High Value","Normal")</f>
        <v>High Value</v>
      </c>
    </row>
    <row r="588" spans="1:18" x14ac:dyDescent="0.3">
      <c r="A588" t="s">
        <v>649</v>
      </c>
      <c r="B588" s="1">
        <v>45834</v>
      </c>
      <c r="C588" t="s">
        <v>36</v>
      </c>
      <c r="D588" t="s">
        <v>25</v>
      </c>
      <c r="E588" t="s">
        <v>61</v>
      </c>
      <c r="F588" t="s">
        <v>66</v>
      </c>
      <c r="G588">
        <v>2</v>
      </c>
      <c r="H588">
        <v>4635.8100000000004</v>
      </c>
      <c r="I588">
        <v>0.01</v>
      </c>
      <c r="J588">
        <v>9178.9</v>
      </c>
      <c r="K588" t="s">
        <v>19</v>
      </c>
      <c r="L588" t="s">
        <v>34</v>
      </c>
      <c r="M588" t="s">
        <v>54</v>
      </c>
      <c r="N588" t="s">
        <v>88</v>
      </c>
      <c r="O588">
        <f>Table1[[#All],[Quantity]]*Table1[[#All],[Unit Price (?)]]</f>
        <v>9271.6200000000008</v>
      </c>
      <c r="P588" t="str">
        <f>TEXT(Table1[[#All],[Order Date]],"dddd")</f>
        <v>Thursday</v>
      </c>
      <c r="Q588" t="str">
        <f>TEXT(Table1[[#All],[Order Date]],"mmm")</f>
        <v>Jun</v>
      </c>
      <c r="R588" t="str">
        <f>IF(Table1[[#All],[Total Price (?)]]&gt;1000,"High Value","Normal")</f>
        <v>High Value</v>
      </c>
    </row>
    <row r="589" spans="1:18" x14ac:dyDescent="0.3">
      <c r="A589" t="s">
        <v>650</v>
      </c>
      <c r="B589" s="1">
        <v>45729</v>
      </c>
      <c r="C589" t="s">
        <v>24</v>
      </c>
      <c r="D589" t="s">
        <v>39</v>
      </c>
      <c r="E589" t="s">
        <v>17</v>
      </c>
      <c r="F589" t="s">
        <v>40</v>
      </c>
      <c r="G589">
        <v>2</v>
      </c>
      <c r="H589">
        <v>4638.07</v>
      </c>
      <c r="I589">
        <v>0.18</v>
      </c>
      <c r="J589">
        <v>7606.43</v>
      </c>
      <c r="K589" t="s">
        <v>58</v>
      </c>
      <c r="L589" t="s">
        <v>20</v>
      </c>
      <c r="M589" t="s">
        <v>21</v>
      </c>
      <c r="N589" t="s">
        <v>22</v>
      </c>
      <c r="O589">
        <f>Table1[[#All],[Quantity]]*Table1[[#All],[Unit Price (?)]]</f>
        <v>9276.14</v>
      </c>
      <c r="P589" t="str">
        <f>TEXT(Table1[[#All],[Order Date]],"dddd")</f>
        <v>Thursday</v>
      </c>
      <c r="Q589" t="str">
        <f>TEXT(Table1[[#All],[Order Date]],"mmm")</f>
        <v>Mar</v>
      </c>
      <c r="R589" t="str">
        <f>IF(Table1[[#All],[Total Price (?)]]&gt;1000,"High Value","Normal")</f>
        <v>High Value</v>
      </c>
    </row>
    <row r="590" spans="1:18" x14ac:dyDescent="0.3">
      <c r="A590" t="s">
        <v>651</v>
      </c>
      <c r="B590" s="1">
        <v>45700</v>
      </c>
      <c r="C590" t="s">
        <v>52</v>
      </c>
      <c r="D590" t="s">
        <v>16</v>
      </c>
      <c r="E590" t="s">
        <v>49</v>
      </c>
      <c r="F590" t="s">
        <v>73</v>
      </c>
      <c r="G590">
        <v>3</v>
      </c>
      <c r="H590">
        <v>2663.13</v>
      </c>
      <c r="I590">
        <v>0.1</v>
      </c>
      <c r="J590">
        <v>7190.45</v>
      </c>
      <c r="K590" t="s">
        <v>19</v>
      </c>
      <c r="L590" t="s">
        <v>29</v>
      </c>
      <c r="M590" t="s">
        <v>54</v>
      </c>
      <c r="N590" t="s">
        <v>22</v>
      </c>
      <c r="O590">
        <f>Table1[[#All],[Quantity]]*Table1[[#All],[Unit Price (?)]]</f>
        <v>7989.39</v>
      </c>
      <c r="P590" t="str">
        <f>TEXT(Table1[[#All],[Order Date]],"dddd")</f>
        <v>Wednesday</v>
      </c>
      <c r="Q590" t="str">
        <f>TEXT(Table1[[#All],[Order Date]],"mmm")</f>
        <v>Feb</v>
      </c>
      <c r="R590" t="str">
        <f>IF(Table1[[#All],[Total Price (?)]]&gt;1000,"High Value","Normal")</f>
        <v>High Value</v>
      </c>
    </row>
    <row r="591" spans="1:18" x14ac:dyDescent="0.3">
      <c r="A591" t="s">
        <v>652</v>
      </c>
      <c r="B591" s="1">
        <v>45792</v>
      </c>
      <c r="C591" t="s">
        <v>15</v>
      </c>
      <c r="D591" t="s">
        <v>16</v>
      </c>
      <c r="E591" t="s">
        <v>49</v>
      </c>
      <c r="F591" t="s">
        <v>56</v>
      </c>
      <c r="G591">
        <v>1</v>
      </c>
      <c r="H591">
        <v>2832.78</v>
      </c>
      <c r="I591">
        <v>0.05</v>
      </c>
      <c r="J591">
        <v>2691.14</v>
      </c>
      <c r="K591" t="s">
        <v>46</v>
      </c>
      <c r="L591" t="s">
        <v>34</v>
      </c>
      <c r="M591" t="s">
        <v>21</v>
      </c>
      <c r="N591" t="s">
        <v>22</v>
      </c>
      <c r="O591">
        <f>Table1[[#All],[Quantity]]*Table1[[#All],[Unit Price (?)]]</f>
        <v>2832.78</v>
      </c>
      <c r="P591" t="str">
        <f>TEXT(Table1[[#All],[Order Date]],"dddd")</f>
        <v>Thursday</v>
      </c>
      <c r="Q591" t="str">
        <f>TEXT(Table1[[#All],[Order Date]],"mmm")</f>
        <v>May</v>
      </c>
      <c r="R591" t="str">
        <f>IF(Table1[[#All],[Total Price (?)]]&gt;1000,"High Value","Normal")</f>
        <v>High Value</v>
      </c>
    </row>
    <row r="592" spans="1:18" x14ac:dyDescent="0.3">
      <c r="A592" t="s">
        <v>653</v>
      </c>
      <c r="B592" s="1">
        <v>45708</v>
      </c>
      <c r="C592" t="s">
        <v>48</v>
      </c>
      <c r="D592" t="s">
        <v>25</v>
      </c>
      <c r="E592" t="s">
        <v>27</v>
      </c>
      <c r="F592" t="s">
        <v>68</v>
      </c>
      <c r="G592">
        <v>1</v>
      </c>
      <c r="H592">
        <v>1049.22</v>
      </c>
      <c r="I592">
        <v>0.2</v>
      </c>
      <c r="J592">
        <v>839.38</v>
      </c>
      <c r="K592" t="s">
        <v>19</v>
      </c>
      <c r="L592" t="s">
        <v>34</v>
      </c>
      <c r="M592" t="s">
        <v>21</v>
      </c>
      <c r="N592" t="s">
        <v>22</v>
      </c>
      <c r="O592">
        <f>Table1[[#All],[Quantity]]*Table1[[#All],[Unit Price (?)]]</f>
        <v>1049.22</v>
      </c>
      <c r="P592" t="str">
        <f>TEXT(Table1[[#All],[Order Date]],"dddd")</f>
        <v>Thursday</v>
      </c>
      <c r="Q592" t="str">
        <f>TEXT(Table1[[#All],[Order Date]],"mmm")</f>
        <v>Feb</v>
      </c>
      <c r="R592" t="str">
        <f>IF(Table1[[#All],[Total Price (?)]]&gt;1000,"High Value","Normal")</f>
        <v>Normal</v>
      </c>
    </row>
    <row r="593" spans="1:18" x14ac:dyDescent="0.3">
      <c r="A593" t="s">
        <v>654</v>
      </c>
      <c r="B593" s="1">
        <v>45789</v>
      </c>
      <c r="C593" t="s">
        <v>24</v>
      </c>
      <c r="D593" t="s">
        <v>16</v>
      </c>
      <c r="E593" t="s">
        <v>61</v>
      </c>
      <c r="F593" t="s">
        <v>62</v>
      </c>
      <c r="G593">
        <v>2</v>
      </c>
      <c r="H593">
        <v>2229.89</v>
      </c>
      <c r="I593">
        <v>0.08</v>
      </c>
      <c r="J593">
        <v>4103</v>
      </c>
      <c r="K593" t="s">
        <v>46</v>
      </c>
      <c r="L593" t="s">
        <v>34</v>
      </c>
      <c r="M593" t="s">
        <v>30</v>
      </c>
      <c r="N593" t="s">
        <v>22</v>
      </c>
      <c r="O593">
        <f>Table1[[#All],[Quantity]]*Table1[[#All],[Unit Price (?)]]</f>
        <v>4459.78</v>
      </c>
      <c r="P593" t="str">
        <f>TEXT(Table1[[#All],[Order Date]],"dddd")</f>
        <v>Monday</v>
      </c>
      <c r="Q593" t="str">
        <f>TEXT(Table1[[#All],[Order Date]],"mmm")</f>
        <v>May</v>
      </c>
      <c r="R593" t="str">
        <f>IF(Table1[[#All],[Total Price (?)]]&gt;1000,"High Value","Normal")</f>
        <v>High Value</v>
      </c>
    </row>
    <row r="594" spans="1:18" x14ac:dyDescent="0.3">
      <c r="A594" t="s">
        <v>655</v>
      </c>
      <c r="B594" s="1">
        <v>45679</v>
      </c>
      <c r="C594" t="s">
        <v>52</v>
      </c>
      <c r="D594" t="s">
        <v>25</v>
      </c>
      <c r="E594" t="s">
        <v>17</v>
      </c>
      <c r="F594" t="s">
        <v>44</v>
      </c>
      <c r="G594">
        <v>5</v>
      </c>
      <c r="H594">
        <v>668.72</v>
      </c>
      <c r="I594">
        <v>0.22</v>
      </c>
      <c r="J594">
        <v>2608.0100000000002</v>
      </c>
      <c r="K594" t="s">
        <v>58</v>
      </c>
      <c r="L594" t="s">
        <v>34</v>
      </c>
      <c r="M594" t="s">
        <v>21</v>
      </c>
      <c r="N594" t="s">
        <v>22</v>
      </c>
      <c r="O594">
        <f>Table1[[#All],[Quantity]]*Table1[[#All],[Unit Price (?)]]</f>
        <v>3343.6000000000004</v>
      </c>
      <c r="P594" t="str">
        <f>TEXT(Table1[[#All],[Order Date]],"dddd")</f>
        <v>Wednesday</v>
      </c>
      <c r="Q594" t="str">
        <f>TEXT(Table1[[#All],[Order Date]],"mmm")</f>
        <v>Jan</v>
      </c>
      <c r="R594" t="str">
        <f>IF(Table1[[#All],[Total Price (?)]]&gt;1000,"High Value","Normal")</f>
        <v>High Value</v>
      </c>
    </row>
    <row r="595" spans="1:18" x14ac:dyDescent="0.3">
      <c r="A595" t="s">
        <v>656</v>
      </c>
      <c r="B595" s="1">
        <v>45728</v>
      </c>
      <c r="C595" t="s">
        <v>52</v>
      </c>
      <c r="D595" t="s">
        <v>25</v>
      </c>
      <c r="E595" t="s">
        <v>99</v>
      </c>
      <c r="F595" t="s">
        <v>115</v>
      </c>
      <c r="G595">
        <v>1</v>
      </c>
      <c r="H595">
        <v>1698.05</v>
      </c>
      <c r="I595">
        <v>0.02</v>
      </c>
      <c r="J595">
        <v>1664.09</v>
      </c>
      <c r="K595" t="s">
        <v>46</v>
      </c>
      <c r="L595" t="s">
        <v>20</v>
      </c>
      <c r="M595" t="s">
        <v>21</v>
      </c>
      <c r="N595" t="s">
        <v>37</v>
      </c>
      <c r="O595">
        <f>Table1[[#All],[Quantity]]*Table1[[#All],[Unit Price (?)]]</f>
        <v>1698.05</v>
      </c>
      <c r="P595" t="str">
        <f>TEXT(Table1[[#All],[Order Date]],"dddd")</f>
        <v>Wednesday</v>
      </c>
      <c r="Q595" t="str">
        <f>TEXT(Table1[[#All],[Order Date]],"mmm")</f>
        <v>Mar</v>
      </c>
      <c r="R595" t="str">
        <f>IF(Table1[[#All],[Total Price (?)]]&gt;1000,"High Value","Normal")</f>
        <v>High Value</v>
      </c>
    </row>
    <row r="596" spans="1:18" x14ac:dyDescent="0.3">
      <c r="A596" t="s">
        <v>657</v>
      </c>
      <c r="B596" s="1">
        <v>45811</v>
      </c>
      <c r="C596" t="s">
        <v>24</v>
      </c>
      <c r="D596" t="s">
        <v>25</v>
      </c>
      <c r="E596" t="s">
        <v>49</v>
      </c>
      <c r="F596" t="s">
        <v>73</v>
      </c>
      <c r="G596">
        <v>4</v>
      </c>
      <c r="H596">
        <v>366.26</v>
      </c>
      <c r="I596">
        <v>0.11</v>
      </c>
      <c r="J596">
        <v>1303.8900000000001</v>
      </c>
      <c r="K596" t="s">
        <v>41</v>
      </c>
      <c r="L596" t="s">
        <v>29</v>
      </c>
      <c r="M596" t="s">
        <v>54</v>
      </c>
      <c r="N596" t="s">
        <v>22</v>
      </c>
      <c r="O596">
        <f>Table1[[#All],[Quantity]]*Table1[[#All],[Unit Price (?)]]</f>
        <v>1465.04</v>
      </c>
      <c r="P596" t="str">
        <f>TEXT(Table1[[#All],[Order Date]],"dddd")</f>
        <v>Tuesday</v>
      </c>
      <c r="Q596" t="str">
        <f>TEXT(Table1[[#All],[Order Date]],"mmm")</f>
        <v>Jun</v>
      </c>
      <c r="R596" t="str">
        <f>IF(Table1[[#All],[Total Price (?)]]&gt;1000,"High Value","Normal")</f>
        <v>High Value</v>
      </c>
    </row>
    <row r="597" spans="1:18" x14ac:dyDescent="0.3">
      <c r="A597" t="s">
        <v>658</v>
      </c>
      <c r="B597" s="1">
        <v>45768</v>
      </c>
      <c r="C597" t="s">
        <v>48</v>
      </c>
      <c r="D597" t="s">
        <v>16</v>
      </c>
      <c r="E597" t="s">
        <v>99</v>
      </c>
      <c r="F597" t="s">
        <v>100</v>
      </c>
      <c r="G597">
        <v>3</v>
      </c>
      <c r="H597">
        <v>4880.22</v>
      </c>
      <c r="I597">
        <v>0.05</v>
      </c>
      <c r="J597">
        <v>13908.63</v>
      </c>
      <c r="K597" t="s">
        <v>19</v>
      </c>
      <c r="L597" t="s">
        <v>29</v>
      </c>
      <c r="M597" t="s">
        <v>54</v>
      </c>
      <c r="N597" t="s">
        <v>22</v>
      </c>
      <c r="O597">
        <f>Table1[[#All],[Quantity]]*Table1[[#All],[Unit Price (?)]]</f>
        <v>14640.66</v>
      </c>
      <c r="P597" t="str">
        <f>TEXT(Table1[[#All],[Order Date]],"dddd")</f>
        <v>Monday</v>
      </c>
      <c r="Q597" t="str">
        <f>TEXT(Table1[[#All],[Order Date]],"mmm")</f>
        <v>Apr</v>
      </c>
      <c r="R597" t="str">
        <f>IF(Table1[[#All],[Total Price (?)]]&gt;1000,"High Value","Normal")</f>
        <v>High Value</v>
      </c>
    </row>
    <row r="598" spans="1:18" x14ac:dyDescent="0.3">
      <c r="A598" t="s">
        <v>659</v>
      </c>
      <c r="B598" s="1">
        <v>45831</v>
      </c>
      <c r="C598" t="s">
        <v>52</v>
      </c>
      <c r="D598" t="s">
        <v>39</v>
      </c>
      <c r="E598" t="s">
        <v>17</v>
      </c>
      <c r="F598" t="s">
        <v>32</v>
      </c>
      <c r="G598">
        <v>4</v>
      </c>
      <c r="H598">
        <v>2149.3000000000002</v>
      </c>
      <c r="I598">
        <v>0.19</v>
      </c>
      <c r="J598">
        <v>6963.73</v>
      </c>
      <c r="K598" t="s">
        <v>58</v>
      </c>
      <c r="L598" t="s">
        <v>34</v>
      </c>
      <c r="M598" t="s">
        <v>54</v>
      </c>
      <c r="N598" t="s">
        <v>22</v>
      </c>
      <c r="O598">
        <f>Table1[[#All],[Quantity]]*Table1[[#All],[Unit Price (?)]]</f>
        <v>8597.2000000000007</v>
      </c>
      <c r="P598" t="str">
        <f>TEXT(Table1[[#All],[Order Date]],"dddd")</f>
        <v>Monday</v>
      </c>
      <c r="Q598" t="str">
        <f>TEXT(Table1[[#All],[Order Date]],"mmm")</f>
        <v>Jun</v>
      </c>
      <c r="R598" t="str">
        <f>IF(Table1[[#All],[Total Price (?)]]&gt;1000,"High Value","Normal")</f>
        <v>High Value</v>
      </c>
    </row>
    <row r="599" spans="1:18" x14ac:dyDescent="0.3">
      <c r="A599" t="s">
        <v>660</v>
      </c>
      <c r="B599" s="1">
        <v>45829</v>
      </c>
      <c r="C599" t="s">
        <v>36</v>
      </c>
      <c r="D599" t="s">
        <v>25</v>
      </c>
      <c r="E599" t="s">
        <v>27</v>
      </c>
      <c r="F599" t="s">
        <v>68</v>
      </c>
      <c r="G599">
        <v>1</v>
      </c>
      <c r="H599">
        <v>2117.31</v>
      </c>
      <c r="I599">
        <v>0.13</v>
      </c>
      <c r="J599">
        <v>1842.06</v>
      </c>
      <c r="K599" t="s">
        <v>33</v>
      </c>
      <c r="L599" t="s">
        <v>20</v>
      </c>
      <c r="M599" t="s">
        <v>54</v>
      </c>
      <c r="N599" t="s">
        <v>88</v>
      </c>
      <c r="O599">
        <f>Table1[[#All],[Quantity]]*Table1[[#All],[Unit Price (?)]]</f>
        <v>2117.31</v>
      </c>
      <c r="P599" t="str">
        <f>TEXT(Table1[[#All],[Order Date]],"dddd")</f>
        <v>Saturday</v>
      </c>
      <c r="Q599" t="str">
        <f>TEXT(Table1[[#All],[Order Date]],"mmm")</f>
        <v>Jun</v>
      </c>
      <c r="R599" t="str">
        <f>IF(Table1[[#All],[Total Price (?)]]&gt;1000,"High Value","Normal")</f>
        <v>High Value</v>
      </c>
    </row>
    <row r="600" spans="1:18" x14ac:dyDescent="0.3">
      <c r="A600" t="s">
        <v>661</v>
      </c>
      <c r="B600" s="1">
        <v>45738</v>
      </c>
      <c r="C600" t="s">
        <v>48</v>
      </c>
      <c r="D600" t="s">
        <v>43</v>
      </c>
      <c r="E600" t="s">
        <v>99</v>
      </c>
      <c r="F600" t="s">
        <v>120</v>
      </c>
      <c r="G600">
        <v>3</v>
      </c>
      <c r="H600">
        <v>2227.8200000000002</v>
      </c>
      <c r="I600">
        <v>0.06</v>
      </c>
      <c r="J600">
        <v>6282.45</v>
      </c>
      <c r="K600" t="s">
        <v>19</v>
      </c>
      <c r="L600" t="s">
        <v>20</v>
      </c>
      <c r="M600" t="s">
        <v>21</v>
      </c>
      <c r="N600" t="s">
        <v>37</v>
      </c>
      <c r="O600">
        <f>Table1[[#All],[Quantity]]*Table1[[#All],[Unit Price (?)]]</f>
        <v>6683.4600000000009</v>
      </c>
      <c r="P600" t="str">
        <f>TEXT(Table1[[#All],[Order Date]],"dddd")</f>
        <v>Saturday</v>
      </c>
      <c r="Q600" t="str">
        <f>TEXT(Table1[[#All],[Order Date]],"mmm")</f>
        <v>Mar</v>
      </c>
      <c r="R600" t="str">
        <f>IF(Table1[[#All],[Total Price (?)]]&gt;1000,"High Value","Normal")</f>
        <v>High Value</v>
      </c>
    </row>
    <row r="601" spans="1:18" x14ac:dyDescent="0.3">
      <c r="A601" t="s">
        <v>662</v>
      </c>
      <c r="B601" s="1">
        <v>45780</v>
      </c>
      <c r="C601" t="s">
        <v>24</v>
      </c>
      <c r="D601" t="s">
        <v>16</v>
      </c>
      <c r="E601" t="s">
        <v>17</v>
      </c>
      <c r="F601" t="s">
        <v>40</v>
      </c>
      <c r="G601">
        <v>5</v>
      </c>
      <c r="H601">
        <v>264.74</v>
      </c>
      <c r="I601">
        <v>0.13</v>
      </c>
      <c r="J601">
        <v>1151.6199999999999</v>
      </c>
      <c r="K601" t="s">
        <v>58</v>
      </c>
      <c r="L601" t="s">
        <v>34</v>
      </c>
      <c r="M601" t="s">
        <v>30</v>
      </c>
      <c r="N601" t="s">
        <v>22</v>
      </c>
      <c r="O601">
        <f>Table1[[#All],[Quantity]]*Table1[[#All],[Unit Price (?)]]</f>
        <v>1323.7</v>
      </c>
      <c r="P601" t="str">
        <f>TEXT(Table1[[#All],[Order Date]],"dddd")</f>
        <v>Saturday</v>
      </c>
      <c r="Q601" t="str">
        <f>TEXT(Table1[[#All],[Order Date]],"mmm")</f>
        <v>May</v>
      </c>
      <c r="R601" t="str">
        <f>IF(Table1[[#All],[Total Price (?)]]&gt;1000,"High Value","Normal")</f>
        <v>High Value</v>
      </c>
    </row>
    <row r="602" spans="1:18" x14ac:dyDescent="0.3">
      <c r="A602" t="s">
        <v>663</v>
      </c>
      <c r="B602" s="1">
        <v>45805</v>
      </c>
      <c r="C602" t="s">
        <v>36</v>
      </c>
      <c r="D602" t="s">
        <v>43</v>
      </c>
      <c r="E602" t="s">
        <v>61</v>
      </c>
      <c r="F602" t="s">
        <v>62</v>
      </c>
      <c r="G602">
        <v>4</v>
      </c>
      <c r="H602">
        <v>4754.68</v>
      </c>
      <c r="I602">
        <v>0.03</v>
      </c>
      <c r="J602">
        <v>18448.16</v>
      </c>
      <c r="K602" t="s">
        <v>58</v>
      </c>
      <c r="L602" t="s">
        <v>29</v>
      </c>
      <c r="M602" t="s">
        <v>30</v>
      </c>
      <c r="N602" t="s">
        <v>22</v>
      </c>
      <c r="O602">
        <f>Table1[[#All],[Quantity]]*Table1[[#All],[Unit Price (?)]]</f>
        <v>19018.72</v>
      </c>
      <c r="P602" t="str">
        <f>TEXT(Table1[[#All],[Order Date]],"dddd")</f>
        <v>Wednesday</v>
      </c>
      <c r="Q602" t="str">
        <f>TEXT(Table1[[#All],[Order Date]],"mmm")</f>
        <v>May</v>
      </c>
      <c r="R602" t="str">
        <f>IF(Table1[[#All],[Total Price (?)]]&gt;1000,"High Value","Normal")</f>
        <v>High Value</v>
      </c>
    </row>
    <row r="603" spans="1:18" x14ac:dyDescent="0.3">
      <c r="A603" t="s">
        <v>664</v>
      </c>
      <c r="B603" s="1">
        <v>45690</v>
      </c>
      <c r="C603" t="s">
        <v>48</v>
      </c>
      <c r="D603" t="s">
        <v>25</v>
      </c>
      <c r="E603" t="s">
        <v>17</v>
      </c>
      <c r="F603" t="s">
        <v>18</v>
      </c>
      <c r="G603">
        <v>4</v>
      </c>
      <c r="H603">
        <v>4303.82</v>
      </c>
      <c r="I603">
        <v>0.19</v>
      </c>
      <c r="J603">
        <v>13944.38</v>
      </c>
      <c r="K603" t="s">
        <v>46</v>
      </c>
      <c r="L603" t="s">
        <v>20</v>
      </c>
      <c r="M603" t="s">
        <v>54</v>
      </c>
      <c r="N603" t="s">
        <v>22</v>
      </c>
      <c r="O603">
        <f>Table1[[#All],[Quantity]]*Table1[[#All],[Unit Price (?)]]</f>
        <v>17215.28</v>
      </c>
      <c r="P603" t="str">
        <f>TEXT(Table1[[#All],[Order Date]],"dddd")</f>
        <v>Sunday</v>
      </c>
      <c r="Q603" t="str">
        <f>TEXT(Table1[[#All],[Order Date]],"mmm")</f>
        <v>Feb</v>
      </c>
      <c r="R603" t="str">
        <f>IF(Table1[[#All],[Total Price (?)]]&gt;1000,"High Value","Normal")</f>
        <v>High Value</v>
      </c>
    </row>
    <row r="604" spans="1:18" x14ac:dyDescent="0.3">
      <c r="A604" t="s">
        <v>665</v>
      </c>
      <c r="B604" s="1">
        <v>45839</v>
      </c>
      <c r="C604" t="s">
        <v>52</v>
      </c>
      <c r="D604" t="s">
        <v>16</v>
      </c>
      <c r="E604" t="s">
        <v>61</v>
      </c>
      <c r="F604" t="s">
        <v>92</v>
      </c>
      <c r="G604">
        <v>4</v>
      </c>
      <c r="H604">
        <v>3549.12</v>
      </c>
      <c r="I604">
        <v>0</v>
      </c>
      <c r="J604">
        <v>14196.48</v>
      </c>
      <c r="K604" t="s">
        <v>46</v>
      </c>
      <c r="L604" t="s">
        <v>29</v>
      </c>
      <c r="M604" t="s">
        <v>21</v>
      </c>
      <c r="N604" t="s">
        <v>22</v>
      </c>
      <c r="O604">
        <f>Table1[[#All],[Quantity]]*Table1[[#All],[Unit Price (?)]]</f>
        <v>14196.48</v>
      </c>
      <c r="P604" t="str">
        <f>TEXT(Table1[[#All],[Order Date]],"dddd")</f>
        <v>Tuesday</v>
      </c>
      <c r="Q604" t="str">
        <f>TEXT(Table1[[#All],[Order Date]],"mmm")</f>
        <v>Jul</v>
      </c>
      <c r="R604" t="str">
        <f>IF(Table1[[#All],[Total Price (?)]]&gt;1000,"High Value","Normal")</f>
        <v>High Value</v>
      </c>
    </row>
    <row r="605" spans="1:18" x14ac:dyDescent="0.3">
      <c r="A605" t="s">
        <v>666</v>
      </c>
      <c r="B605" s="1">
        <v>45840</v>
      </c>
      <c r="C605" t="s">
        <v>15</v>
      </c>
      <c r="D605" t="s">
        <v>16</v>
      </c>
      <c r="E605" t="s">
        <v>99</v>
      </c>
      <c r="F605" t="s">
        <v>120</v>
      </c>
      <c r="G605">
        <v>5</v>
      </c>
      <c r="H605">
        <v>2757.93</v>
      </c>
      <c r="I605">
        <v>0.2</v>
      </c>
      <c r="J605">
        <v>11031.72</v>
      </c>
      <c r="K605" t="s">
        <v>41</v>
      </c>
      <c r="L605" t="s">
        <v>34</v>
      </c>
      <c r="M605" t="s">
        <v>21</v>
      </c>
      <c r="N605" t="s">
        <v>22</v>
      </c>
      <c r="O605">
        <f>Table1[[#All],[Quantity]]*Table1[[#All],[Unit Price (?)]]</f>
        <v>13789.65</v>
      </c>
      <c r="P605" t="str">
        <f>TEXT(Table1[[#All],[Order Date]],"dddd")</f>
        <v>Wednesday</v>
      </c>
      <c r="Q605" t="str">
        <f>TEXT(Table1[[#All],[Order Date]],"mmm")</f>
        <v>Jul</v>
      </c>
      <c r="R605" t="str">
        <f>IF(Table1[[#All],[Total Price (?)]]&gt;1000,"High Value","Normal")</f>
        <v>High Value</v>
      </c>
    </row>
    <row r="606" spans="1:18" x14ac:dyDescent="0.3">
      <c r="A606" t="s">
        <v>667</v>
      </c>
      <c r="B606" s="1">
        <v>45705</v>
      </c>
      <c r="C606" t="s">
        <v>36</v>
      </c>
      <c r="D606" t="s">
        <v>39</v>
      </c>
      <c r="E606" t="s">
        <v>99</v>
      </c>
      <c r="F606" t="s">
        <v>120</v>
      </c>
      <c r="G606">
        <v>1</v>
      </c>
      <c r="H606">
        <v>1976.48</v>
      </c>
      <c r="I606">
        <v>0.12</v>
      </c>
      <c r="J606">
        <v>1739.3</v>
      </c>
      <c r="K606" t="s">
        <v>46</v>
      </c>
      <c r="L606" t="s">
        <v>20</v>
      </c>
      <c r="M606" t="s">
        <v>54</v>
      </c>
      <c r="N606" t="s">
        <v>22</v>
      </c>
      <c r="O606">
        <f>Table1[[#All],[Quantity]]*Table1[[#All],[Unit Price (?)]]</f>
        <v>1976.48</v>
      </c>
      <c r="P606" t="str">
        <f>TEXT(Table1[[#All],[Order Date]],"dddd")</f>
        <v>Monday</v>
      </c>
      <c r="Q606" t="str">
        <f>TEXT(Table1[[#All],[Order Date]],"mmm")</f>
        <v>Feb</v>
      </c>
      <c r="R606" t="str">
        <f>IF(Table1[[#All],[Total Price (?)]]&gt;1000,"High Value","Normal")</f>
        <v>High Value</v>
      </c>
    </row>
    <row r="607" spans="1:18" x14ac:dyDescent="0.3">
      <c r="A607" t="s">
        <v>668</v>
      </c>
      <c r="B607" s="1">
        <v>45827</v>
      </c>
      <c r="C607" t="s">
        <v>36</v>
      </c>
      <c r="D607" t="s">
        <v>43</v>
      </c>
      <c r="E607" t="s">
        <v>27</v>
      </c>
      <c r="F607" t="s">
        <v>79</v>
      </c>
      <c r="G607">
        <v>3</v>
      </c>
      <c r="H607">
        <v>1269.3</v>
      </c>
      <c r="I607">
        <v>0.03</v>
      </c>
      <c r="J607">
        <v>3693.66</v>
      </c>
      <c r="K607" t="s">
        <v>19</v>
      </c>
      <c r="L607" t="s">
        <v>20</v>
      </c>
      <c r="M607" t="s">
        <v>30</v>
      </c>
      <c r="N607" t="s">
        <v>88</v>
      </c>
      <c r="O607">
        <f>Table1[[#All],[Quantity]]*Table1[[#All],[Unit Price (?)]]</f>
        <v>3807.8999999999996</v>
      </c>
      <c r="P607" t="str">
        <f>TEXT(Table1[[#All],[Order Date]],"dddd")</f>
        <v>Thursday</v>
      </c>
      <c r="Q607" t="str">
        <f>TEXT(Table1[[#All],[Order Date]],"mmm")</f>
        <v>Jun</v>
      </c>
      <c r="R607" t="str">
        <f>IF(Table1[[#All],[Total Price (?)]]&gt;1000,"High Value","Normal")</f>
        <v>High Value</v>
      </c>
    </row>
    <row r="608" spans="1:18" x14ac:dyDescent="0.3">
      <c r="A608" t="s">
        <v>669</v>
      </c>
      <c r="B608" s="1">
        <v>45691</v>
      </c>
      <c r="C608" t="s">
        <v>15</v>
      </c>
      <c r="D608" t="s">
        <v>25</v>
      </c>
      <c r="E608" t="s">
        <v>61</v>
      </c>
      <c r="F608" t="s">
        <v>66</v>
      </c>
      <c r="G608">
        <v>4</v>
      </c>
      <c r="H608">
        <v>1458.01</v>
      </c>
      <c r="I608">
        <v>0.02</v>
      </c>
      <c r="J608">
        <v>5715.4</v>
      </c>
      <c r="K608" t="s">
        <v>46</v>
      </c>
      <c r="L608" t="s">
        <v>29</v>
      </c>
      <c r="M608" t="s">
        <v>30</v>
      </c>
      <c r="N608" t="s">
        <v>22</v>
      </c>
      <c r="O608">
        <f>Table1[[#All],[Quantity]]*Table1[[#All],[Unit Price (?)]]</f>
        <v>5832.04</v>
      </c>
      <c r="P608" t="str">
        <f>TEXT(Table1[[#All],[Order Date]],"dddd")</f>
        <v>Monday</v>
      </c>
      <c r="Q608" t="str">
        <f>TEXT(Table1[[#All],[Order Date]],"mmm")</f>
        <v>Feb</v>
      </c>
      <c r="R608" t="str">
        <f>IF(Table1[[#All],[Total Price (?)]]&gt;1000,"High Value","Normal")</f>
        <v>High Value</v>
      </c>
    </row>
    <row r="609" spans="1:18" x14ac:dyDescent="0.3">
      <c r="A609" t="s">
        <v>670</v>
      </c>
      <c r="B609" s="1">
        <v>45815</v>
      </c>
      <c r="C609" t="s">
        <v>48</v>
      </c>
      <c r="D609" t="s">
        <v>16</v>
      </c>
      <c r="E609" t="s">
        <v>27</v>
      </c>
      <c r="F609" t="s">
        <v>79</v>
      </c>
      <c r="G609">
        <v>5</v>
      </c>
      <c r="H609">
        <v>4507.3100000000004</v>
      </c>
      <c r="I609">
        <v>0.11</v>
      </c>
      <c r="J609">
        <v>20057.53</v>
      </c>
      <c r="K609" t="s">
        <v>33</v>
      </c>
      <c r="L609" t="s">
        <v>29</v>
      </c>
      <c r="M609" t="s">
        <v>30</v>
      </c>
      <c r="N609" t="s">
        <v>22</v>
      </c>
      <c r="O609">
        <f>Table1[[#All],[Quantity]]*Table1[[#All],[Unit Price (?)]]</f>
        <v>22536.550000000003</v>
      </c>
      <c r="P609" t="str">
        <f>TEXT(Table1[[#All],[Order Date]],"dddd")</f>
        <v>Saturday</v>
      </c>
      <c r="Q609" t="str">
        <f>TEXT(Table1[[#All],[Order Date]],"mmm")</f>
        <v>Jun</v>
      </c>
      <c r="R609" t="str">
        <f>IF(Table1[[#All],[Total Price (?)]]&gt;1000,"High Value","Normal")</f>
        <v>High Value</v>
      </c>
    </row>
    <row r="610" spans="1:18" x14ac:dyDescent="0.3">
      <c r="A610" t="s">
        <v>671</v>
      </c>
      <c r="B610" s="1">
        <v>45817</v>
      </c>
      <c r="C610" t="s">
        <v>24</v>
      </c>
      <c r="D610" t="s">
        <v>39</v>
      </c>
      <c r="E610" t="s">
        <v>49</v>
      </c>
      <c r="F610" t="s">
        <v>56</v>
      </c>
      <c r="G610">
        <v>3</v>
      </c>
      <c r="H610">
        <v>4795.46</v>
      </c>
      <c r="I610">
        <v>0.02</v>
      </c>
      <c r="J610">
        <v>14098.65</v>
      </c>
      <c r="K610" t="s">
        <v>41</v>
      </c>
      <c r="L610" t="s">
        <v>20</v>
      </c>
      <c r="M610" t="s">
        <v>54</v>
      </c>
      <c r="N610" t="s">
        <v>22</v>
      </c>
      <c r="O610">
        <f>Table1[[#All],[Quantity]]*Table1[[#All],[Unit Price (?)]]</f>
        <v>14386.380000000001</v>
      </c>
      <c r="P610" t="str">
        <f>TEXT(Table1[[#All],[Order Date]],"dddd")</f>
        <v>Monday</v>
      </c>
      <c r="Q610" t="str">
        <f>TEXT(Table1[[#All],[Order Date]],"mmm")</f>
        <v>Jun</v>
      </c>
      <c r="R610" t="str">
        <f>IF(Table1[[#All],[Total Price (?)]]&gt;1000,"High Value","Normal")</f>
        <v>High Value</v>
      </c>
    </row>
    <row r="611" spans="1:18" x14ac:dyDescent="0.3">
      <c r="A611" t="s">
        <v>672</v>
      </c>
      <c r="B611" s="1">
        <v>45694</v>
      </c>
      <c r="C611" t="s">
        <v>52</v>
      </c>
      <c r="D611" t="s">
        <v>43</v>
      </c>
      <c r="E611" t="s">
        <v>61</v>
      </c>
      <c r="F611" t="s">
        <v>92</v>
      </c>
      <c r="G611">
        <v>1</v>
      </c>
      <c r="H611">
        <v>1536.53</v>
      </c>
      <c r="I611">
        <v>0.24</v>
      </c>
      <c r="J611">
        <v>1167.76</v>
      </c>
      <c r="K611" t="s">
        <v>19</v>
      </c>
      <c r="L611" t="s">
        <v>29</v>
      </c>
      <c r="M611" t="s">
        <v>21</v>
      </c>
      <c r="N611" t="s">
        <v>22</v>
      </c>
      <c r="O611">
        <f>Table1[[#All],[Quantity]]*Table1[[#All],[Unit Price (?)]]</f>
        <v>1536.53</v>
      </c>
      <c r="P611" t="str">
        <f>TEXT(Table1[[#All],[Order Date]],"dddd")</f>
        <v>Thursday</v>
      </c>
      <c r="Q611" t="str">
        <f>TEXT(Table1[[#All],[Order Date]],"mmm")</f>
        <v>Feb</v>
      </c>
      <c r="R611" t="str">
        <f>IF(Table1[[#All],[Total Price (?)]]&gt;1000,"High Value","Normal")</f>
        <v>High Value</v>
      </c>
    </row>
    <row r="612" spans="1:18" x14ac:dyDescent="0.3">
      <c r="A612" t="s">
        <v>673</v>
      </c>
      <c r="B612" s="1">
        <v>45831</v>
      </c>
      <c r="C612" t="s">
        <v>24</v>
      </c>
      <c r="D612" t="s">
        <v>39</v>
      </c>
      <c r="E612" t="s">
        <v>49</v>
      </c>
      <c r="F612" t="s">
        <v>50</v>
      </c>
      <c r="G612">
        <v>1</v>
      </c>
      <c r="H612">
        <v>207.98</v>
      </c>
      <c r="I612">
        <v>0.2</v>
      </c>
      <c r="J612">
        <v>166.38</v>
      </c>
      <c r="K612" t="s">
        <v>46</v>
      </c>
      <c r="L612" t="s">
        <v>20</v>
      </c>
      <c r="M612" t="s">
        <v>21</v>
      </c>
      <c r="N612" t="s">
        <v>22</v>
      </c>
      <c r="O612">
        <f>Table1[[#All],[Quantity]]*Table1[[#All],[Unit Price (?)]]</f>
        <v>207.98</v>
      </c>
      <c r="P612" t="str">
        <f>TEXT(Table1[[#All],[Order Date]],"dddd")</f>
        <v>Monday</v>
      </c>
      <c r="Q612" t="str">
        <f>TEXT(Table1[[#All],[Order Date]],"mmm")</f>
        <v>Jun</v>
      </c>
      <c r="R612" t="str">
        <f>IF(Table1[[#All],[Total Price (?)]]&gt;1000,"High Value","Normal")</f>
        <v>Normal</v>
      </c>
    </row>
    <row r="613" spans="1:18" x14ac:dyDescent="0.3">
      <c r="A613" t="s">
        <v>674</v>
      </c>
      <c r="B613" s="1">
        <v>45740</v>
      </c>
      <c r="C613" t="s">
        <v>48</v>
      </c>
      <c r="D613" t="s">
        <v>43</v>
      </c>
      <c r="E613" t="s">
        <v>99</v>
      </c>
      <c r="F613" t="s">
        <v>111</v>
      </c>
      <c r="G613">
        <v>5</v>
      </c>
      <c r="H613">
        <v>4225.3500000000004</v>
      </c>
      <c r="I613">
        <v>0.11</v>
      </c>
      <c r="J613">
        <v>18802.810000000001</v>
      </c>
      <c r="K613" t="s">
        <v>33</v>
      </c>
      <c r="L613" t="s">
        <v>29</v>
      </c>
      <c r="M613" t="s">
        <v>30</v>
      </c>
      <c r="N613" t="s">
        <v>37</v>
      </c>
      <c r="O613">
        <f>Table1[[#All],[Quantity]]*Table1[[#All],[Unit Price (?)]]</f>
        <v>21126.75</v>
      </c>
      <c r="P613" t="str">
        <f>TEXT(Table1[[#All],[Order Date]],"dddd")</f>
        <v>Monday</v>
      </c>
      <c r="Q613" t="str">
        <f>TEXT(Table1[[#All],[Order Date]],"mmm")</f>
        <v>Mar</v>
      </c>
      <c r="R613" t="str">
        <f>IF(Table1[[#All],[Total Price (?)]]&gt;1000,"High Value","Normal")</f>
        <v>High Value</v>
      </c>
    </row>
    <row r="614" spans="1:18" x14ac:dyDescent="0.3">
      <c r="A614" t="s">
        <v>675</v>
      </c>
      <c r="B614" s="1">
        <v>45664</v>
      </c>
      <c r="C614" t="s">
        <v>15</v>
      </c>
      <c r="D614" t="s">
        <v>43</v>
      </c>
      <c r="E614" t="s">
        <v>99</v>
      </c>
      <c r="F614" t="s">
        <v>100</v>
      </c>
      <c r="G614">
        <v>3</v>
      </c>
      <c r="H614">
        <v>4856.55</v>
      </c>
      <c r="I614">
        <v>0.19</v>
      </c>
      <c r="J614">
        <v>11801.42</v>
      </c>
      <c r="K614" t="s">
        <v>19</v>
      </c>
      <c r="L614" t="s">
        <v>34</v>
      </c>
      <c r="M614" t="s">
        <v>54</v>
      </c>
      <c r="N614" t="s">
        <v>22</v>
      </c>
      <c r="O614">
        <f>Table1[[#All],[Quantity]]*Table1[[#All],[Unit Price (?)]]</f>
        <v>14569.650000000001</v>
      </c>
      <c r="P614" t="str">
        <f>TEXT(Table1[[#All],[Order Date]],"dddd")</f>
        <v>Tuesday</v>
      </c>
      <c r="Q614" t="str">
        <f>TEXT(Table1[[#All],[Order Date]],"mmm")</f>
        <v>Jan</v>
      </c>
      <c r="R614" t="str">
        <f>IF(Table1[[#All],[Total Price (?)]]&gt;1000,"High Value","Normal")</f>
        <v>High Value</v>
      </c>
    </row>
    <row r="615" spans="1:18" x14ac:dyDescent="0.3">
      <c r="A615" t="s">
        <v>676</v>
      </c>
      <c r="B615" s="1">
        <v>45694</v>
      </c>
      <c r="C615" t="s">
        <v>36</v>
      </c>
      <c r="D615" t="s">
        <v>43</v>
      </c>
      <c r="E615" t="s">
        <v>49</v>
      </c>
      <c r="F615" t="s">
        <v>73</v>
      </c>
      <c r="G615">
        <v>5</v>
      </c>
      <c r="H615">
        <v>1497.71</v>
      </c>
      <c r="I615">
        <v>0.24</v>
      </c>
      <c r="J615">
        <v>5691.3</v>
      </c>
      <c r="K615" t="s">
        <v>19</v>
      </c>
      <c r="L615" t="s">
        <v>29</v>
      </c>
      <c r="M615" t="s">
        <v>21</v>
      </c>
      <c r="N615" t="s">
        <v>22</v>
      </c>
      <c r="O615">
        <f>Table1[[#All],[Quantity]]*Table1[[#All],[Unit Price (?)]]</f>
        <v>7488.55</v>
      </c>
      <c r="P615" t="str">
        <f>TEXT(Table1[[#All],[Order Date]],"dddd")</f>
        <v>Thursday</v>
      </c>
      <c r="Q615" t="str">
        <f>TEXT(Table1[[#All],[Order Date]],"mmm")</f>
        <v>Feb</v>
      </c>
      <c r="R615" t="str">
        <f>IF(Table1[[#All],[Total Price (?)]]&gt;1000,"High Value","Normal")</f>
        <v>High Value</v>
      </c>
    </row>
    <row r="616" spans="1:18" x14ac:dyDescent="0.3">
      <c r="A616" t="s">
        <v>677</v>
      </c>
      <c r="B616" s="1">
        <v>45803</v>
      </c>
      <c r="C616" t="s">
        <v>15</v>
      </c>
      <c r="D616" t="s">
        <v>16</v>
      </c>
      <c r="E616" t="s">
        <v>17</v>
      </c>
      <c r="F616" t="s">
        <v>18</v>
      </c>
      <c r="G616">
        <v>4</v>
      </c>
      <c r="H616">
        <v>1376</v>
      </c>
      <c r="I616">
        <v>0.05</v>
      </c>
      <c r="J616">
        <v>5228.8</v>
      </c>
      <c r="K616" t="s">
        <v>33</v>
      </c>
      <c r="L616" t="s">
        <v>20</v>
      </c>
      <c r="M616" t="s">
        <v>21</v>
      </c>
      <c r="N616" t="s">
        <v>22</v>
      </c>
      <c r="O616">
        <f>Table1[[#All],[Quantity]]*Table1[[#All],[Unit Price (?)]]</f>
        <v>5504</v>
      </c>
      <c r="P616" t="str">
        <f>TEXT(Table1[[#All],[Order Date]],"dddd")</f>
        <v>Monday</v>
      </c>
      <c r="Q616" t="str">
        <f>TEXT(Table1[[#All],[Order Date]],"mmm")</f>
        <v>May</v>
      </c>
      <c r="R616" t="str">
        <f>IF(Table1[[#All],[Total Price (?)]]&gt;1000,"High Value","Normal")</f>
        <v>High Value</v>
      </c>
    </row>
    <row r="617" spans="1:18" x14ac:dyDescent="0.3">
      <c r="A617" t="s">
        <v>678</v>
      </c>
      <c r="B617" s="1">
        <v>45839</v>
      </c>
      <c r="C617" t="s">
        <v>15</v>
      </c>
      <c r="D617" t="s">
        <v>25</v>
      </c>
      <c r="E617" t="s">
        <v>99</v>
      </c>
      <c r="F617" t="s">
        <v>100</v>
      </c>
      <c r="G617">
        <v>2</v>
      </c>
      <c r="H617">
        <v>2714.85</v>
      </c>
      <c r="I617">
        <v>0.03</v>
      </c>
      <c r="J617">
        <v>5266.81</v>
      </c>
      <c r="K617" t="s">
        <v>41</v>
      </c>
      <c r="L617" t="s">
        <v>29</v>
      </c>
      <c r="M617" t="s">
        <v>54</v>
      </c>
      <c r="N617" t="s">
        <v>37</v>
      </c>
      <c r="O617">
        <f>Table1[[#All],[Quantity]]*Table1[[#All],[Unit Price (?)]]</f>
        <v>5429.7</v>
      </c>
      <c r="P617" t="str">
        <f>TEXT(Table1[[#All],[Order Date]],"dddd")</f>
        <v>Tuesday</v>
      </c>
      <c r="Q617" t="str">
        <f>TEXT(Table1[[#All],[Order Date]],"mmm")</f>
        <v>Jul</v>
      </c>
      <c r="R617" t="str">
        <f>IF(Table1[[#All],[Total Price (?)]]&gt;1000,"High Value","Normal")</f>
        <v>High Value</v>
      </c>
    </row>
    <row r="618" spans="1:18" x14ac:dyDescent="0.3">
      <c r="A618" t="s">
        <v>679</v>
      </c>
      <c r="B618" s="1">
        <v>45724</v>
      </c>
      <c r="C618" t="s">
        <v>15</v>
      </c>
      <c r="D618" t="s">
        <v>39</v>
      </c>
      <c r="E618" t="s">
        <v>61</v>
      </c>
      <c r="F618" t="s">
        <v>92</v>
      </c>
      <c r="G618">
        <v>5</v>
      </c>
      <c r="H618">
        <v>4880.45</v>
      </c>
      <c r="I618">
        <v>0.08</v>
      </c>
      <c r="J618">
        <v>22450.07</v>
      </c>
      <c r="K618" t="s">
        <v>19</v>
      </c>
      <c r="L618" t="s">
        <v>20</v>
      </c>
      <c r="M618" t="s">
        <v>21</v>
      </c>
      <c r="N618" t="s">
        <v>22</v>
      </c>
      <c r="O618">
        <f>Table1[[#All],[Quantity]]*Table1[[#All],[Unit Price (?)]]</f>
        <v>24402.25</v>
      </c>
      <c r="P618" t="str">
        <f>TEXT(Table1[[#All],[Order Date]],"dddd")</f>
        <v>Saturday</v>
      </c>
      <c r="Q618" t="str">
        <f>TEXT(Table1[[#All],[Order Date]],"mmm")</f>
        <v>Mar</v>
      </c>
      <c r="R618" t="str">
        <f>IF(Table1[[#All],[Total Price (?)]]&gt;1000,"High Value","Normal")</f>
        <v>High Value</v>
      </c>
    </row>
    <row r="619" spans="1:18" x14ac:dyDescent="0.3">
      <c r="A619" t="s">
        <v>680</v>
      </c>
      <c r="B619" s="1">
        <v>45811</v>
      </c>
      <c r="C619" t="s">
        <v>36</v>
      </c>
      <c r="D619" t="s">
        <v>16</v>
      </c>
      <c r="E619" t="s">
        <v>99</v>
      </c>
      <c r="F619" t="s">
        <v>100</v>
      </c>
      <c r="G619">
        <v>1</v>
      </c>
      <c r="H619">
        <v>3685.04</v>
      </c>
      <c r="I619">
        <v>0.23</v>
      </c>
      <c r="J619">
        <v>2837.48</v>
      </c>
      <c r="K619" t="s">
        <v>41</v>
      </c>
      <c r="L619" t="s">
        <v>34</v>
      </c>
      <c r="M619" t="s">
        <v>54</v>
      </c>
      <c r="N619" t="s">
        <v>22</v>
      </c>
      <c r="O619">
        <f>Table1[[#All],[Quantity]]*Table1[[#All],[Unit Price (?)]]</f>
        <v>3685.04</v>
      </c>
      <c r="P619" t="str">
        <f>TEXT(Table1[[#All],[Order Date]],"dddd")</f>
        <v>Tuesday</v>
      </c>
      <c r="Q619" t="str">
        <f>TEXT(Table1[[#All],[Order Date]],"mmm")</f>
        <v>Jun</v>
      </c>
      <c r="R619" t="str">
        <f>IF(Table1[[#All],[Total Price (?)]]&gt;1000,"High Value","Normal")</f>
        <v>High Value</v>
      </c>
    </row>
    <row r="620" spans="1:18" x14ac:dyDescent="0.3">
      <c r="A620" t="s">
        <v>681</v>
      </c>
      <c r="B620" s="1">
        <v>45840</v>
      </c>
      <c r="C620" t="s">
        <v>48</v>
      </c>
      <c r="D620" t="s">
        <v>43</v>
      </c>
      <c r="E620" t="s">
        <v>49</v>
      </c>
      <c r="F620" t="s">
        <v>73</v>
      </c>
      <c r="G620">
        <v>3</v>
      </c>
      <c r="H620">
        <v>369.66</v>
      </c>
      <c r="I620">
        <v>0.16</v>
      </c>
      <c r="J620">
        <v>931.54</v>
      </c>
      <c r="K620" t="s">
        <v>46</v>
      </c>
      <c r="L620" t="s">
        <v>20</v>
      </c>
      <c r="M620" t="s">
        <v>21</v>
      </c>
      <c r="N620" t="s">
        <v>88</v>
      </c>
      <c r="O620">
        <f>Table1[[#All],[Quantity]]*Table1[[#All],[Unit Price (?)]]</f>
        <v>1108.98</v>
      </c>
      <c r="P620" t="str">
        <f>TEXT(Table1[[#All],[Order Date]],"dddd")</f>
        <v>Wednesday</v>
      </c>
      <c r="Q620" t="str">
        <f>TEXT(Table1[[#All],[Order Date]],"mmm")</f>
        <v>Jul</v>
      </c>
      <c r="R620" t="str">
        <f>IF(Table1[[#All],[Total Price (?)]]&gt;1000,"High Value","Normal")</f>
        <v>Normal</v>
      </c>
    </row>
    <row r="621" spans="1:18" x14ac:dyDescent="0.3">
      <c r="A621" t="s">
        <v>682</v>
      </c>
      <c r="B621" s="1">
        <v>45739</v>
      </c>
      <c r="C621" t="s">
        <v>24</v>
      </c>
      <c r="D621" t="s">
        <v>25</v>
      </c>
      <c r="E621" t="s">
        <v>99</v>
      </c>
      <c r="F621" t="s">
        <v>100</v>
      </c>
      <c r="G621">
        <v>4</v>
      </c>
      <c r="H621">
        <v>3417.61</v>
      </c>
      <c r="I621">
        <v>0.24</v>
      </c>
      <c r="J621">
        <v>10389.530000000001</v>
      </c>
      <c r="K621" t="s">
        <v>58</v>
      </c>
      <c r="L621" t="s">
        <v>29</v>
      </c>
      <c r="M621" t="s">
        <v>21</v>
      </c>
      <c r="N621" t="s">
        <v>22</v>
      </c>
      <c r="O621">
        <f>Table1[[#All],[Quantity]]*Table1[[#All],[Unit Price (?)]]</f>
        <v>13670.44</v>
      </c>
      <c r="P621" t="str">
        <f>TEXT(Table1[[#All],[Order Date]],"dddd")</f>
        <v>Sunday</v>
      </c>
      <c r="Q621" t="str">
        <f>TEXT(Table1[[#All],[Order Date]],"mmm")</f>
        <v>Mar</v>
      </c>
      <c r="R621" t="str">
        <f>IF(Table1[[#All],[Total Price (?)]]&gt;1000,"High Value","Normal")</f>
        <v>High Value</v>
      </c>
    </row>
    <row r="622" spans="1:18" x14ac:dyDescent="0.3">
      <c r="A622" t="s">
        <v>683</v>
      </c>
      <c r="B622" s="1">
        <v>45815</v>
      </c>
      <c r="C622" t="s">
        <v>15</v>
      </c>
      <c r="D622" t="s">
        <v>39</v>
      </c>
      <c r="E622" t="s">
        <v>99</v>
      </c>
      <c r="F622" t="s">
        <v>120</v>
      </c>
      <c r="G622">
        <v>4</v>
      </c>
      <c r="H622">
        <v>1911.19</v>
      </c>
      <c r="I622">
        <v>0.09</v>
      </c>
      <c r="J622">
        <v>6956.73</v>
      </c>
      <c r="K622" t="s">
        <v>41</v>
      </c>
      <c r="L622" t="s">
        <v>20</v>
      </c>
      <c r="M622" t="s">
        <v>30</v>
      </c>
      <c r="N622" t="s">
        <v>22</v>
      </c>
      <c r="O622">
        <f>Table1[[#All],[Quantity]]*Table1[[#All],[Unit Price (?)]]</f>
        <v>7644.76</v>
      </c>
      <c r="P622" t="str">
        <f>TEXT(Table1[[#All],[Order Date]],"dddd")</f>
        <v>Saturday</v>
      </c>
      <c r="Q622" t="str">
        <f>TEXT(Table1[[#All],[Order Date]],"mmm")</f>
        <v>Jun</v>
      </c>
      <c r="R622" t="str">
        <f>IF(Table1[[#All],[Total Price (?)]]&gt;1000,"High Value","Normal")</f>
        <v>High Value</v>
      </c>
    </row>
    <row r="623" spans="1:18" x14ac:dyDescent="0.3">
      <c r="A623" t="s">
        <v>684</v>
      </c>
      <c r="B623" s="1">
        <v>45790</v>
      </c>
      <c r="C623" t="s">
        <v>52</v>
      </c>
      <c r="D623" t="s">
        <v>25</v>
      </c>
      <c r="E623" t="s">
        <v>49</v>
      </c>
      <c r="F623" t="s">
        <v>56</v>
      </c>
      <c r="G623">
        <v>4</v>
      </c>
      <c r="H623">
        <v>4038.06</v>
      </c>
      <c r="I623">
        <v>7.0000000000000007E-2</v>
      </c>
      <c r="J623">
        <v>15021.58</v>
      </c>
      <c r="K623" t="s">
        <v>41</v>
      </c>
      <c r="L623" t="s">
        <v>29</v>
      </c>
      <c r="M623" t="s">
        <v>21</v>
      </c>
      <c r="N623" t="s">
        <v>22</v>
      </c>
      <c r="O623">
        <f>Table1[[#All],[Quantity]]*Table1[[#All],[Unit Price (?)]]</f>
        <v>16152.24</v>
      </c>
      <c r="P623" t="str">
        <f>TEXT(Table1[[#All],[Order Date]],"dddd")</f>
        <v>Tuesday</v>
      </c>
      <c r="Q623" t="str">
        <f>TEXT(Table1[[#All],[Order Date]],"mmm")</f>
        <v>May</v>
      </c>
      <c r="R623" t="str">
        <f>IF(Table1[[#All],[Total Price (?)]]&gt;1000,"High Value","Normal")</f>
        <v>High Value</v>
      </c>
    </row>
    <row r="624" spans="1:18" x14ac:dyDescent="0.3">
      <c r="A624" t="s">
        <v>685</v>
      </c>
      <c r="B624" s="1">
        <v>45827</v>
      </c>
      <c r="C624" t="s">
        <v>36</v>
      </c>
      <c r="D624" t="s">
        <v>39</v>
      </c>
      <c r="E624" t="s">
        <v>49</v>
      </c>
      <c r="F624" t="s">
        <v>73</v>
      </c>
      <c r="G624">
        <v>2</v>
      </c>
      <c r="H624">
        <v>1118.1400000000001</v>
      </c>
      <c r="I624">
        <v>0.12</v>
      </c>
      <c r="J624">
        <v>1967.93</v>
      </c>
      <c r="K624" t="s">
        <v>33</v>
      </c>
      <c r="L624" t="s">
        <v>20</v>
      </c>
      <c r="M624" t="s">
        <v>21</v>
      </c>
      <c r="N624" t="s">
        <v>22</v>
      </c>
      <c r="O624">
        <f>Table1[[#All],[Quantity]]*Table1[[#All],[Unit Price (?)]]</f>
        <v>2236.2800000000002</v>
      </c>
      <c r="P624" t="str">
        <f>TEXT(Table1[[#All],[Order Date]],"dddd")</f>
        <v>Thursday</v>
      </c>
      <c r="Q624" t="str">
        <f>TEXT(Table1[[#All],[Order Date]],"mmm")</f>
        <v>Jun</v>
      </c>
      <c r="R624" t="str">
        <f>IF(Table1[[#All],[Total Price (?)]]&gt;1000,"High Value","Normal")</f>
        <v>High Value</v>
      </c>
    </row>
    <row r="625" spans="1:18" x14ac:dyDescent="0.3">
      <c r="A625" t="s">
        <v>686</v>
      </c>
      <c r="B625" s="1">
        <v>45802</v>
      </c>
      <c r="C625" t="s">
        <v>24</v>
      </c>
      <c r="D625" t="s">
        <v>43</v>
      </c>
      <c r="E625" t="s">
        <v>27</v>
      </c>
      <c r="F625" t="s">
        <v>87</v>
      </c>
      <c r="G625">
        <v>3</v>
      </c>
      <c r="H625">
        <v>2131.12</v>
      </c>
      <c r="I625">
        <v>0.14000000000000001</v>
      </c>
      <c r="J625">
        <v>5498.29</v>
      </c>
      <c r="K625" t="s">
        <v>58</v>
      </c>
      <c r="L625" t="s">
        <v>34</v>
      </c>
      <c r="M625" t="s">
        <v>21</v>
      </c>
      <c r="N625" t="s">
        <v>22</v>
      </c>
      <c r="O625">
        <f>Table1[[#All],[Quantity]]*Table1[[#All],[Unit Price (?)]]</f>
        <v>6393.36</v>
      </c>
      <c r="P625" t="str">
        <f>TEXT(Table1[[#All],[Order Date]],"dddd")</f>
        <v>Sunday</v>
      </c>
      <c r="Q625" t="str">
        <f>TEXT(Table1[[#All],[Order Date]],"mmm")</f>
        <v>May</v>
      </c>
      <c r="R625" t="str">
        <f>IF(Table1[[#All],[Total Price (?)]]&gt;1000,"High Value","Normal")</f>
        <v>High Value</v>
      </c>
    </row>
    <row r="626" spans="1:18" x14ac:dyDescent="0.3">
      <c r="A626" t="s">
        <v>687</v>
      </c>
      <c r="B626" s="1">
        <v>45817</v>
      </c>
      <c r="C626" t="s">
        <v>36</v>
      </c>
      <c r="D626" t="s">
        <v>25</v>
      </c>
      <c r="E626" t="s">
        <v>49</v>
      </c>
      <c r="F626" t="s">
        <v>53</v>
      </c>
      <c r="G626">
        <v>3</v>
      </c>
      <c r="H626">
        <v>4189.47</v>
      </c>
      <c r="I626">
        <v>0.08</v>
      </c>
      <c r="J626">
        <v>11562.94</v>
      </c>
      <c r="K626" t="s">
        <v>41</v>
      </c>
      <c r="L626" t="s">
        <v>20</v>
      </c>
      <c r="M626" t="s">
        <v>21</v>
      </c>
      <c r="N626" t="s">
        <v>22</v>
      </c>
      <c r="O626">
        <f>Table1[[#All],[Quantity]]*Table1[[#All],[Unit Price (?)]]</f>
        <v>12568.41</v>
      </c>
      <c r="P626" t="str">
        <f>TEXT(Table1[[#All],[Order Date]],"dddd")</f>
        <v>Monday</v>
      </c>
      <c r="Q626" t="str">
        <f>TEXT(Table1[[#All],[Order Date]],"mmm")</f>
        <v>Jun</v>
      </c>
      <c r="R626" t="str">
        <f>IF(Table1[[#All],[Total Price (?)]]&gt;1000,"High Value","Normal")</f>
        <v>High Value</v>
      </c>
    </row>
    <row r="627" spans="1:18" x14ac:dyDescent="0.3">
      <c r="A627" t="s">
        <v>688</v>
      </c>
      <c r="B627" s="1">
        <v>45708</v>
      </c>
      <c r="C627" t="s">
        <v>15</v>
      </c>
      <c r="D627" t="s">
        <v>25</v>
      </c>
      <c r="E627" t="s">
        <v>17</v>
      </c>
      <c r="F627" t="s">
        <v>44</v>
      </c>
      <c r="G627">
        <v>4</v>
      </c>
      <c r="H627">
        <v>708.47</v>
      </c>
      <c r="I627">
        <v>0.17</v>
      </c>
      <c r="J627">
        <v>2352.12</v>
      </c>
      <c r="K627" t="s">
        <v>46</v>
      </c>
      <c r="L627" t="s">
        <v>29</v>
      </c>
      <c r="M627" t="s">
        <v>30</v>
      </c>
      <c r="N627" t="s">
        <v>22</v>
      </c>
      <c r="O627">
        <f>Table1[[#All],[Quantity]]*Table1[[#All],[Unit Price (?)]]</f>
        <v>2833.88</v>
      </c>
      <c r="P627" t="str">
        <f>TEXT(Table1[[#All],[Order Date]],"dddd")</f>
        <v>Thursday</v>
      </c>
      <c r="Q627" t="str">
        <f>TEXT(Table1[[#All],[Order Date]],"mmm")</f>
        <v>Feb</v>
      </c>
      <c r="R627" t="str">
        <f>IF(Table1[[#All],[Total Price (?)]]&gt;1000,"High Value","Normal")</f>
        <v>High Value</v>
      </c>
    </row>
    <row r="628" spans="1:18" x14ac:dyDescent="0.3">
      <c r="A628" t="s">
        <v>689</v>
      </c>
      <c r="B628" s="1">
        <v>45711</v>
      </c>
      <c r="C628" t="s">
        <v>24</v>
      </c>
      <c r="D628" t="s">
        <v>25</v>
      </c>
      <c r="E628" t="s">
        <v>61</v>
      </c>
      <c r="F628" t="s">
        <v>62</v>
      </c>
      <c r="G628">
        <v>1</v>
      </c>
      <c r="H628">
        <v>3034.57</v>
      </c>
      <c r="I628">
        <v>0.09</v>
      </c>
      <c r="J628">
        <v>2761.46</v>
      </c>
      <c r="K628" t="s">
        <v>46</v>
      </c>
      <c r="L628" t="s">
        <v>34</v>
      </c>
      <c r="M628" t="s">
        <v>30</v>
      </c>
      <c r="N628" t="s">
        <v>37</v>
      </c>
      <c r="O628">
        <f>Table1[[#All],[Quantity]]*Table1[[#All],[Unit Price (?)]]</f>
        <v>3034.57</v>
      </c>
      <c r="P628" t="str">
        <f>TEXT(Table1[[#All],[Order Date]],"dddd")</f>
        <v>Sunday</v>
      </c>
      <c r="Q628" t="str">
        <f>TEXT(Table1[[#All],[Order Date]],"mmm")</f>
        <v>Feb</v>
      </c>
      <c r="R628" t="str">
        <f>IF(Table1[[#All],[Total Price (?)]]&gt;1000,"High Value","Normal")</f>
        <v>High Value</v>
      </c>
    </row>
    <row r="629" spans="1:18" x14ac:dyDescent="0.3">
      <c r="A629" t="s">
        <v>690</v>
      </c>
      <c r="B629" s="1">
        <v>45690</v>
      </c>
      <c r="C629" t="s">
        <v>15</v>
      </c>
      <c r="D629" t="s">
        <v>16</v>
      </c>
      <c r="E629" t="s">
        <v>49</v>
      </c>
      <c r="F629" t="s">
        <v>56</v>
      </c>
      <c r="G629">
        <v>5</v>
      </c>
      <c r="H629">
        <v>185.97</v>
      </c>
      <c r="I629">
        <v>0.06</v>
      </c>
      <c r="J629">
        <v>874.06</v>
      </c>
      <c r="K629" t="s">
        <v>33</v>
      </c>
      <c r="L629" t="s">
        <v>29</v>
      </c>
      <c r="M629" t="s">
        <v>21</v>
      </c>
      <c r="N629" t="s">
        <v>22</v>
      </c>
      <c r="O629">
        <f>Table1[[#All],[Quantity]]*Table1[[#All],[Unit Price (?)]]</f>
        <v>929.85</v>
      </c>
      <c r="P629" t="str">
        <f>TEXT(Table1[[#All],[Order Date]],"dddd")</f>
        <v>Sunday</v>
      </c>
      <c r="Q629" t="str">
        <f>TEXT(Table1[[#All],[Order Date]],"mmm")</f>
        <v>Feb</v>
      </c>
      <c r="R629" t="str">
        <f>IF(Table1[[#All],[Total Price (?)]]&gt;1000,"High Value","Normal")</f>
        <v>Normal</v>
      </c>
    </row>
    <row r="630" spans="1:18" x14ac:dyDescent="0.3">
      <c r="A630" t="s">
        <v>691</v>
      </c>
      <c r="B630" s="1">
        <v>45812</v>
      </c>
      <c r="C630" t="s">
        <v>15</v>
      </c>
      <c r="D630" t="s">
        <v>16</v>
      </c>
      <c r="E630" t="s">
        <v>49</v>
      </c>
      <c r="F630" t="s">
        <v>73</v>
      </c>
      <c r="G630">
        <v>3</v>
      </c>
      <c r="H630">
        <v>1869.7</v>
      </c>
      <c r="I630">
        <v>0.16</v>
      </c>
      <c r="J630">
        <v>4711.6400000000003</v>
      </c>
      <c r="K630" t="s">
        <v>19</v>
      </c>
      <c r="L630" t="s">
        <v>20</v>
      </c>
      <c r="M630" t="s">
        <v>30</v>
      </c>
      <c r="N630" t="s">
        <v>22</v>
      </c>
      <c r="O630">
        <f>Table1[[#All],[Quantity]]*Table1[[#All],[Unit Price (?)]]</f>
        <v>5609.1</v>
      </c>
      <c r="P630" t="str">
        <f>TEXT(Table1[[#All],[Order Date]],"dddd")</f>
        <v>Wednesday</v>
      </c>
      <c r="Q630" t="str">
        <f>TEXT(Table1[[#All],[Order Date]],"mmm")</f>
        <v>Jun</v>
      </c>
      <c r="R630" t="str">
        <f>IF(Table1[[#All],[Total Price (?)]]&gt;1000,"High Value","Normal")</f>
        <v>High Value</v>
      </c>
    </row>
    <row r="631" spans="1:18" x14ac:dyDescent="0.3">
      <c r="A631" t="s">
        <v>692</v>
      </c>
      <c r="B631" s="1">
        <v>45796</v>
      </c>
      <c r="C631" t="s">
        <v>36</v>
      </c>
      <c r="D631" t="s">
        <v>39</v>
      </c>
      <c r="E631" t="s">
        <v>27</v>
      </c>
      <c r="F631" t="s">
        <v>79</v>
      </c>
      <c r="G631">
        <v>2</v>
      </c>
      <c r="H631">
        <v>3846.98</v>
      </c>
      <c r="I631">
        <v>0.15</v>
      </c>
      <c r="J631">
        <v>6539.87</v>
      </c>
      <c r="K631" t="s">
        <v>19</v>
      </c>
      <c r="L631" t="s">
        <v>29</v>
      </c>
      <c r="M631" t="s">
        <v>54</v>
      </c>
      <c r="N631" t="s">
        <v>37</v>
      </c>
      <c r="O631">
        <f>Table1[[#All],[Quantity]]*Table1[[#All],[Unit Price (?)]]</f>
        <v>7693.96</v>
      </c>
      <c r="P631" t="str">
        <f>TEXT(Table1[[#All],[Order Date]],"dddd")</f>
        <v>Monday</v>
      </c>
      <c r="Q631" t="str">
        <f>TEXT(Table1[[#All],[Order Date]],"mmm")</f>
        <v>May</v>
      </c>
      <c r="R631" t="str">
        <f>IF(Table1[[#All],[Total Price (?)]]&gt;1000,"High Value","Normal")</f>
        <v>High Value</v>
      </c>
    </row>
    <row r="632" spans="1:18" x14ac:dyDescent="0.3">
      <c r="A632" t="s">
        <v>693</v>
      </c>
      <c r="B632" s="1">
        <v>45680</v>
      </c>
      <c r="C632" t="s">
        <v>15</v>
      </c>
      <c r="D632" t="s">
        <v>39</v>
      </c>
      <c r="E632" t="s">
        <v>99</v>
      </c>
      <c r="F632" t="s">
        <v>111</v>
      </c>
      <c r="G632">
        <v>5</v>
      </c>
      <c r="H632">
        <v>1822.98</v>
      </c>
      <c r="I632">
        <v>0.04</v>
      </c>
      <c r="J632">
        <v>8750.2999999999993</v>
      </c>
      <c r="K632" t="s">
        <v>58</v>
      </c>
      <c r="L632" t="s">
        <v>29</v>
      </c>
      <c r="M632" t="s">
        <v>54</v>
      </c>
      <c r="N632" t="s">
        <v>22</v>
      </c>
      <c r="O632">
        <f>Table1[[#All],[Quantity]]*Table1[[#All],[Unit Price (?)]]</f>
        <v>9114.9</v>
      </c>
      <c r="P632" t="str">
        <f>TEXT(Table1[[#All],[Order Date]],"dddd")</f>
        <v>Thursday</v>
      </c>
      <c r="Q632" t="str">
        <f>TEXT(Table1[[#All],[Order Date]],"mmm")</f>
        <v>Jan</v>
      </c>
      <c r="R632" t="str">
        <f>IF(Table1[[#All],[Total Price (?)]]&gt;1000,"High Value","Normal")</f>
        <v>High Value</v>
      </c>
    </row>
    <row r="633" spans="1:18" x14ac:dyDescent="0.3">
      <c r="A633" t="s">
        <v>694</v>
      </c>
      <c r="B633" s="1">
        <v>45734</v>
      </c>
      <c r="C633" t="s">
        <v>15</v>
      </c>
      <c r="D633" t="s">
        <v>16</v>
      </c>
      <c r="E633" t="s">
        <v>49</v>
      </c>
      <c r="F633" t="s">
        <v>50</v>
      </c>
      <c r="G633">
        <v>2</v>
      </c>
      <c r="H633">
        <v>857.32</v>
      </c>
      <c r="I633">
        <v>0.06</v>
      </c>
      <c r="J633">
        <v>1611.76</v>
      </c>
      <c r="K633" t="s">
        <v>19</v>
      </c>
      <c r="L633" t="s">
        <v>20</v>
      </c>
      <c r="M633" t="s">
        <v>54</v>
      </c>
      <c r="N633" t="s">
        <v>22</v>
      </c>
      <c r="O633">
        <f>Table1[[#All],[Quantity]]*Table1[[#All],[Unit Price (?)]]</f>
        <v>1714.64</v>
      </c>
      <c r="P633" t="str">
        <f>TEXT(Table1[[#All],[Order Date]],"dddd")</f>
        <v>Tuesday</v>
      </c>
      <c r="Q633" t="str">
        <f>TEXT(Table1[[#All],[Order Date]],"mmm")</f>
        <v>Mar</v>
      </c>
      <c r="R633" t="str">
        <f>IF(Table1[[#All],[Total Price (?)]]&gt;1000,"High Value","Normal")</f>
        <v>High Value</v>
      </c>
    </row>
    <row r="634" spans="1:18" x14ac:dyDescent="0.3">
      <c r="A634" t="s">
        <v>695</v>
      </c>
      <c r="B634" s="1">
        <v>45829</v>
      </c>
      <c r="C634" t="s">
        <v>52</v>
      </c>
      <c r="D634" t="s">
        <v>39</v>
      </c>
      <c r="E634" t="s">
        <v>17</v>
      </c>
      <c r="F634" t="s">
        <v>18</v>
      </c>
      <c r="G634">
        <v>3</v>
      </c>
      <c r="H634">
        <v>1626.71</v>
      </c>
      <c r="I634">
        <v>0.09</v>
      </c>
      <c r="J634">
        <v>4440.92</v>
      </c>
      <c r="K634" t="s">
        <v>58</v>
      </c>
      <c r="L634" t="s">
        <v>34</v>
      </c>
      <c r="M634" t="s">
        <v>30</v>
      </c>
      <c r="N634" t="s">
        <v>22</v>
      </c>
      <c r="O634">
        <f>Table1[[#All],[Quantity]]*Table1[[#All],[Unit Price (?)]]</f>
        <v>4880.13</v>
      </c>
      <c r="P634" t="str">
        <f>TEXT(Table1[[#All],[Order Date]],"dddd")</f>
        <v>Saturday</v>
      </c>
      <c r="Q634" t="str">
        <f>TEXT(Table1[[#All],[Order Date]],"mmm")</f>
        <v>Jun</v>
      </c>
      <c r="R634" t="str">
        <f>IF(Table1[[#All],[Total Price (?)]]&gt;1000,"High Value","Normal")</f>
        <v>High Value</v>
      </c>
    </row>
    <row r="635" spans="1:18" x14ac:dyDescent="0.3">
      <c r="A635" t="s">
        <v>696</v>
      </c>
      <c r="B635" s="1">
        <v>45667</v>
      </c>
      <c r="C635" t="s">
        <v>24</v>
      </c>
      <c r="D635" t="s">
        <v>43</v>
      </c>
      <c r="E635" t="s">
        <v>99</v>
      </c>
      <c r="F635" t="s">
        <v>120</v>
      </c>
      <c r="G635">
        <v>2</v>
      </c>
      <c r="H635">
        <v>3471.43</v>
      </c>
      <c r="I635">
        <v>0.08</v>
      </c>
      <c r="J635">
        <v>6387.43</v>
      </c>
      <c r="K635" t="s">
        <v>19</v>
      </c>
      <c r="L635" t="s">
        <v>20</v>
      </c>
      <c r="M635" t="s">
        <v>54</v>
      </c>
      <c r="N635" t="s">
        <v>59</v>
      </c>
      <c r="O635">
        <f>Table1[[#All],[Quantity]]*Table1[[#All],[Unit Price (?)]]</f>
        <v>6942.86</v>
      </c>
      <c r="P635" t="str">
        <f>TEXT(Table1[[#All],[Order Date]],"dddd")</f>
        <v>Friday</v>
      </c>
      <c r="Q635" t="str">
        <f>TEXT(Table1[[#All],[Order Date]],"mmm")</f>
        <v>Jan</v>
      </c>
      <c r="R635" t="str">
        <f>IF(Table1[[#All],[Total Price (?)]]&gt;1000,"High Value","Normal")</f>
        <v>High Value</v>
      </c>
    </row>
    <row r="636" spans="1:18" x14ac:dyDescent="0.3">
      <c r="A636" t="s">
        <v>697</v>
      </c>
      <c r="B636" s="1">
        <v>45826</v>
      </c>
      <c r="C636" t="s">
        <v>24</v>
      </c>
      <c r="D636" t="s">
        <v>16</v>
      </c>
      <c r="E636" t="s">
        <v>49</v>
      </c>
      <c r="F636" t="s">
        <v>56</v>
      </c>
      <c r="G636">
        <v>4</v>
      </c>
      <c r="H636">
        <v>308.33</v>
      </c>
      <c r="I636">
        <v>0.03</v>
      </c>
      <c r="J636">
        <v>1196.32</v>
      </c>
      <c r="K636" t="s">
        <v>58</v>
      </c>
      <c r="L636" t="s">
        <v>34</v>
      </c>
      <c r="M636" t="s">
        <v>21</v>
      </c>
      <c r="N636" t="s">
        <v>22</v>
      </c>
      <c r="O636">
        <f>Table1[[#All],[Quantity]]*Table1[[#All],[Unit Price (?)]]</f>
        <v>1233.32</v>
      </c>
      <c r="P636" t="str">
        <f>TEXT(Table1[[#All],[Order Date]],"dddd")</f>
        <v>Wednesday</v>
      </c>
      <c r="Q636" t="str">
        <f>TEXT(Table1[[#All],[Order Date]],"mmm")</f>
        <v>Jun</v>
      </c>
      <c r="R636" t="str">
        <f>IF(Table1[[#All],[Total Price (?)]]&gt;1000,"High Value","Normal")</f>
        <v>High Value</v>
      </c>
    </row>
    <row r="637" spans="1:18" x14ac:dyDescent="0.3">
      <c r="A637" t="s">
        <v>698</v>
      </c>
      <c r="B637" s="1">
        <v>45751</v>
      </c>
      <c r="C637" t="s">
        <v>24</v>
      </c>
      <c r="D637" t="s">
        <v>43</v>
      </c>
      <c r="E637" t="s">
        <v>99</v>
      </c>
      <c r="F637" t="s">
        <v>120</v>
      </c>
      <c r="G637">
        <v>1</v>
      </c>
      <c r="H637">
        <v>3797.3</v>
      </c>
      <c r="I637">
        <v>0.2</v>
      </c>
      <c r="J637">
        <v>3037.84</v>
      </c>
      <c r="K637" t="s">
        <v>46</v>
      </c>
      <c r="L637" t="s">
        <v>29</v>
      </c>
      <c r="M637" t="s">
        <v>21</v>
      </c>
      <c r="N637" t="s">
        <v>22</v>
      </c>
      <c r="O637">
        <f>Table1[[#All],[Quantity]]*Table1[[#All],[Unit Price (?)]]</f>
        <v>3797.3</v>
      </c>
      <c r="P637" t="str">
        <f>TEXT(Table1[[#All],[Order Date]],"dddd")</f>
        <v>Friday</v>
      </c>
      <c r="Q637" t="str">
        <f>TEXT(Table1[[#All],[Order Date]],"mmm")</f>
        <v>Apr</v>
      </c>
      <c r="R637" t="str">
        <f>IF(Table1[[#All],[Total Price (?)]]&gt;1000,"High Value","Normal")</f>
        <v>High Value</v>
      </c>
    </row>
    <row r="638" spans="1:18" x14ac:dyDescent="0.3">
      <c r="A638" t="s">
        <v>699</v>
      </c>
      <c r="B638" s="1">
        <v>45703</v>
      </c>
      <c r="C638" t="s">
        <v>15</v>
      </c>
      <c r="D638" t="s">
        <v>39</v>
      </c>
      <c r="E638" t="s">
        <v>61</v>
      </c>
      <c r="F638" t="s">
        <v>75</v>
      </c>
      <c r="G638">
        <v>2</v>
      </c>
      <c r="H638">
        <v>4244.72</v>
      </c>
      <c r="I638">
        <v>0.24</v>
      </c>
      <c r="J638">
        <v>6451.97</v>
      </c>
      <c r="K638" t="s">
        <v>58</v>
      </c>
      <c r="L638" t="s">
        <v>20</v>
      </c>
      <c r="M638" t="s">
        <v>21</v>
      </c>
      <c r="N638" t="s">
        <v>22</v>
      </c>
      <c r="O638">
        <f>Table1[[#All],[Quantity]]*Table1[[#All],[Unit Price (?)]]</f>
        <v>8489.44</v>
      </c>
      <c r="P638" t="str">
        <f>TEXT(Table1[[#All],[Order Date]],"dddd")</f>
        <v>Saturday</v>
      </c>
      <c r="Q638" t="str">
        <f>TEXT(Table1[[#All],[Order Date]],"mmm")</f>
        <v>Feb</v>
      </c>
      <c r="R638" t="str">
        <f>IF(Table1[[#All],[Total Price (?)]]&gt;1000,"High Value","Normal")</f>
        <v>High Value</v>
      </c>
    </row>
    <row r="639" spans="1:18" x14ac:dyDescent="0.3">
      <c r="A639" t="s">
        <v>700</v>
      </c>
      <c r="B639" s="1">
        <v>45698</v>
      </c>
      <c r="C639" t="s">
        <v>36</v>
      </c>
      <c r="D639" t="s">
        <v>43</v>
      </c>
      <c r="E639" t="s">
        <v>27</v>
      </c>
      <c r="F639" t="s">
        <v>68</v>
      </c>
      <c r="G639">
        <v>1</v>
      </c>
      <c r="H639">
        <v>4115.97</v>
      </c>
      <c r="I639">
        <v>0.19</v>
      </c>
      <c r="J639">
        <v>3333.94</v>
      </c>
      <c r="K639" t="s">
        <v>33</v>
      </c>
      <c r="L639" t="s">
        <v>20</v>
      </c>
      <c r="M639" t="s">
        <v>21</v>
      </c>
      <c r="N639" t="s">
        <v>22</v>
      </c>
      <c r="O639">
        <f>Table1[[#All],[Quantity]]*Table1[[#All],[Unit Price (?)]]</f>
        <v>4115.97</v>
      </c>
      <c r="P639" t="str">
        <f>TEXT(Table1[[#All],[Order Date]],"dddd")</f>
        <v>Monday</v>
      </c>
      <c r="Q639" t="str">
        <f>TEXT(Table1[[#All],[Order Date]],"mmm")</f>
        <v>Feb</v>
      </c>
      <c r="R639" t="str">
        <f>IF(Table1[[#All],[Total Price (?)]]&gt;1000,"High Value","Normal")</f>
        <v>High Value</v>
      </c>
    </row>
    <row r="640" spans="1:18" x14ac:dyDescent="0.3">
      <c r="A640" t="s">
        <v>701</v>
      </c>
      <c r="B640" s="1">
        <v>45818</v>
      </c>
      <c r="C640" t="s">
        <v>36</v>
      </c>
      <c r="D640" t="s">
        <v>25</v>
      </c>
      <c r="E640" t="s">
        <v>99</v>
      </c>
      <c r="F640" t="s">
        <v>100</v>
      </c>
      <c r="G640">
        <v>1</v>
      </c>
      <c r="H640">
        <v>4628.74</v>
      </c>
      <c r="I640">
        <v>0.23</v>
      </c>
      <c r="J640">
        <v>3564.13</v>
      </c>
      <c r="K640" t="s">
        <v>58</v>
      </c>
      <c r="L640" t="s">
        <v>29</v>
      </c>
      <c r="M640" t="s">
        <v>21</v>
      </c>
      <c r="N640" t="s">
        <v>22</v>
      </c>
      <c r="O640">
        <f>Table1[[#All],[Quantity]]*Table1[[#All],[Unit Price (?)]]</f>
        <v>4628.74</v>
      </c>
      <c r="P640" t="str">
        <f>TEXT(Table1[[#All],[Order Date]],"dddd")</f>
        <v>Tuesday</v>
      </c>
      <c r="Q640" t="str">
        <f>TEXT(Table1[[#All],[Order Date]],"mmm")</f>
        <v>Jun</v>
      </c>
      <c r="R640" t="str">
        <f>IF(Table1[[#All],[Total Price (?)]]&gt;1000,"High Value","Normal")</f>
        <v>High Value</v>
      </c>
    </row>
    <row r="641" spans="1:18" x14ac:dyDescent="0.3">
      <c r="A641" t="s">
        <v>702</v>
      </c>
      <c r="B641" s="1">
        <v>45838</v>
      </c>
      <c r="C641" t="s">
        <v>48</v>
      </c>
      <c r="D641" t="s">
        <v>43</v>
      </c>
      <c r="E641" t="s">
        <v>27</v>
      </c>
      <c r="F641" t="s">
        <v>68</v>
      </c>
      <c r="G641">
        <v>3</v>
      </c>
      <c r="H641">
        <v>4908.38</v>
      </c>
      <c r="I641">
        <v>0.11</v>
      </c>
      <c r="J641">
        <v>13105.37</v>
      </c>
      <c r="K641" t="s">
        <v>58</v>
      </c>
      <c r="L641" t="s">
        <v>20</v>
      </c>
      <c r="M641" t="s">
        <v>21</v>
      </c>
      <c r="N641" t="s">
        <v>22</v>
      </c>
      <c r="O641">
        <f>Table1[[#All],[Quantity]]*Table1[[#All],[Unit Price (?)]]</f>
        <v>14725.14</v>
      </c>
      <c r="P641" t="str">
        <f>TEXT(Table1[[#All],[Order Date]],"dddd")</f>
        <v>Monday</v>
      </c>
      <c r="Q641" t="str">
        <f>TEXT(Table1[[#All],[Order Date]],"mmm")</f>
        <v>Jun</v>
      </c>
      <c r="R641" t="str">
        <f>IF(Table1[[#All],[Total Price (?)]]&gt;1000,"High Value","Normal")</f>
        <v>High Value</v>
      </c>
    </row>
    <row r="642" spans="1:18" x14ac:dyDescent="0.3">
      <c r="A642" t="s">
        <v>703</v>
      </c>
      <c r="B642" s="1">
        <v>45749</v>
      </c>
      <c r="C642" t="s">
        <v>48</v>
      </c>
      <c r="D642" t="s">
        <v>16</v>
      </c>
      <c r="E642" t="s">
        <v>99</v>
      </c>
      <c r="F642" t="s">
        <v>120</v>
      </c>
      <c r="G642">
        <v>2</v>
      </c>
      <c r="H642">
        <v>2529.5</v>
      </c>
      <c r="I642">
        <v>0.09</v>
      </c>
      <c r="J642">
        <v>4603.6899999999996</v>
      </c>
      <c r="K642" t="s">
        <v>58</v>
      </c>
      <c r="L642" t="s">
        <v>29</v>
      </c>
      <c r="M642" t="s">
        <v>30</v>
      </c>
      <c r="N642" t="s">
        <v>22</v>
      </c>
      <c r="O642">
        <f>Table1[[#All],[Quantity]]*Table1[[#All],[Unit Price (?)]]</f>
        <v>5059</v>
      </c>
      <c r="P642" t="str">
        <f>TEXT(Table1[[#All],[Order Date]],"dddd")</f>
        <v>Wednesday</v>
      </c>
      <c r="Q642" t="str">
        <f>TEXT(Table1[[#All],[Order Date]],"mmm")</f>
        <v>Apr</v>
      </c>
      <c r="R642" t="str">
        <f>IF(Table1[[#All],[Total Price (?)]]&gt;1000,"High Value","Normal")</f>
        <v>High Value</v>
      </c>
    </row>
    <row r="643" spans="1:18" x14ac:dyDescent="0.3">
      <c r="A643" t="s">
        <v>704</v>
      </c>
      <c r="B643" s="1">
        <v>45727</v>
      </c>
      <c r="C643" t="s">
        <v>48</v>
      </c>
      <c r="D643" t="s">
        <v>43</v>
      </c>
      <c r="E643" t="s">
        <v>49</v>
      </c>
      <c r="F643" t="s">
        <v>56</v>
      </c>
      <c r="G643">
        <v>5</v>
      </c>
      <c r="H643">
        <v>3707.25</v>
      </c>
      <c r="I643">
        <v>0.17</v>
      </c>
      <c r="J643">
        <v>15385.09</v>
      </c>
      <c r="K643" t="s">
        <v>46</v>
      </c>
      <c r="L643" t="s">
        <v>34</v>
      </c>
      <c r="M643" t="s">
        <v>30</v>
      </c>
      <c r="N643" t="s">
        <v>22</v>
      </c>
      <c r="O643">
        <f>Table1[[#All],[Quantity]]*Table1[[#All],[Unit Price (?)]]</f>
        <v>18536.25</v>
      </c>
      <c r="P643" t="str">
        <f>TEXT(Table1[[#All],[Order Date]],"dddd")</f>
        <v>Tuesday</v>
      </c>
      <c r="Q643" t="str">
        <f>TEXT(Table1[[#All],[Order Date]],"mmm")</f>
        <v>Mar</v>
      </c>
      <c r="R643" t="str">
        <f>IF(Table1[[#All],[Total Price (?)]]&gt;1000,"High Value","Normal")</f>
        <v>High Value</v>
      </c>
    </row>
    <row r="644" spans="1:18" x14ac:dyDescent="0.3">
      <c r="A644" t="s">
        <v>705</v>
      </c>
      <c r="B644" s="1">
        <v>45719</v>
      </c>
      <c r="C644" t="s">
        <v>52</v>
      </c>
      <c r="D644" t="s">
        <v>16</v>
      </c>
      <c r="E644" t="s">
        <v>99</v>
      </c>
      <c r="F644" t="s">
        <v>115</v>
      </c>
      <c r="G644">
        <v>3</v>
      </c>
      <c r="H644">
        <v>978.56</v>
      </c>
      <c r="I644">
        <v>0.25</v>
      </c>
      <c r="J644">
        <v>2201.7600000000002</v>
      </c>
      <c r="K644" t="s">
        <v>58</v>
      </c>
      <c r="L644" t="s">
        <v>34</v>
      </c>
      <c r="M644" t="s">
        <v>30</v>
      </c>
      <c r="N644" t="s">
        <v>22</v>
      </c>
      <c r="O644">
        <f>Table1[[#All],[Quantity]]*Table1[[#All],[Unit Price (?)]]</f>
        <v>2935.68</v>
      </c>
      <c r="P644" t="str">
        <f>TEXT(Table1[[#All],[Order Date]],"dddd")</f>
        <v>Monday</v>
      </c>
      <c r="Q644" t="str">
        <f>TEXT(Table1[[#All],[Order Date]],"mmm")</f>
        <v>Mar</v>
      </c>
      <c r="R644" t="str">
        <f>IF(Table1[[#All],[Total Price (?)]]&gt;1000,"High Value","Normal")</f>
        <v>High Value</v>
      </c>
    </row>
    <row r="645" spans="1:18" x14ac:dyDescent="0.3">
      <c r="A645" t="s">
        <v>706</v>
      </c>
      <c r="B645" s="1">
        <v>45819</v>
      </c>
      <c r="C645" t="s">
        <v>24</v>
      </c>
      <c r="D645" t="s">
        <v>43</v>
      </c>
      <c r="E645" t="s">
        <v>27</v>
      </c>
      <c r="F645" t="s">
        <v>79</v>
      </c>
      <c r="G645">
        <v>4</v>
      </c>
      <c r="H645">
        <v>3505.68</v>
      </c>
      <c r="I645">
        <v>0.24</v>
      </c>
      <c r="J645">
        <v>10657.27</v>
      </c>
      <c r="K645" t="s">
        <v>19</v>
      </c>
      <c r="L645" t="s">
        <v>34</v>
      </c>
      <c r="M645" t="s">
        <v>21</v>
      </c>
      <c r="N645" t="s">
        <v>22</v>
      </c>
      <c r="O645">
        <f>Table1[[#All],[Quantity]]*Table1[[#All],[Unit Price (?)]]</f>
        <v>14022.72</v>
      </c>
      <c r="P645" t="str">
        <f>TEXT(Table1[[#All],[Order Date]],"dddd")</f>
        <v>Wednesday</v>
      </c>
      <c r="Q645" t="str">
        <f>TEXT(Table1[[#All],[Order Date]],"mmm")</f>
        <v>Jun</v>
      </c>
      <c r="R645" t="str">
        <f>IF(Table1[[#All],[Total Price (?)]]&gt;1000,"High Value","Normal")</f>
        <v>High Value</v>
      </c>
    </row>
    <row r="646" spans="1:18" x14ac:dyDescent="0.3">
      <c r="A646" t="s">
        <v>707</v>
      </c>
      <c r="B646" s="1">
        <v>45814</v>
      </c>
      <c r="C646" t="s">
        <v>52</v>
      </c>
      <c r="D646" t="s">
        <v>39</v>
      </c>
      <c r="E646" t="s">
        <v>61</v>
      </c>
      <c r="F646" t="s">
        <v>66</v>
      </c>
      <c r="G646">
        <v>1</v>
      </c>
      <c r="H646">
        <v>1241.06</v>
      </c>
      <c r="I646">
        <v>0.11</v>
      </c>
      <c r="J646">
        <v>1104.54</v>
      </c>
      <c r="K646" t="s">
        <v>33</v>
      </c>
      <c r="L646" t="s">
        <v>34</v>
      </c>
      <c r="M646" t="s">
        <v>30</v>
      </c>
      <c r="N646" t="s">
        <v>88</v>
      </c>
      <c r="O646">
        <f>Table1[[#All],[Quantity]]*Table1[[#All],[Unit Price (?)]]</f>
        <v>1241.06</v>
      </c>
      <c r="P646" t="str">
        <f>TEXT(Table1[[#All],[Order Date]],"dddd")</f>
        <v>Friday</v>
      </c>
      <c r="Q646" t="str">
        <f>TEXT(Table1[[#All],[Order Date]],"mmm")</f>
        <v>Jun</v>
      </c>
      <c r="R646" t="str">
        <f>IF(Table1[[#All],[Total Price (?)]]&gt;1000,"High Value","Normal")</f>
        <v>High Value</v>
      </c>
    </row>
    <row r="647" spans="1:18" x14ac:dyDescent="0.3">
      <c r="A647" t="s">
        <v>708</v>
      </c>
      <c r="B647" s="1">
        <v>45829</v>
      </c>
      <c r="C647" t="s">
        <v>48</v>
      </c>
      <c r="D647" t="s">
        <v>39</v>
      </c>
      <c r="E647" t="s">
        <v>27</v>
      </c>
      <c r="F647" t="s">
        <v>28</v>
      </c>
      <c r="G647">
        <v>5</v>
      </c>
      <c r="H647">
        <v>4755.68</v>
      </c>
      <c r="I647">
        <v>0.25</v>
      </c>
      <c r="J647">
        <v>17833.8</v>
      </c>
      <c r="K647" t="s">
        <v>46</v>
      </c>
      <c r="L647" t="s">
        <v>34</v>
      </c>
      <c r="M647" t="s">
        <v>21</v>
      </c>
      <c r="N647" t="s">
        <v>22</v>
      </c>
      <c r="O647">
        <f>Table1[[#All],[Quantity]]*Table1[[#All],[Unit Price (?)]]</f>
        <v>23778.400000000001</v>
      </c>
      <c r="P647" t="str">
        <f>TEXT(Table1[[#All],[Order Date]],"dddd")</f>
        <v>Saturday</v>
      </c>
      <c r="Q647" t="str">
        <f>TEXT(Table1[[#All],[Order Date]],"mmm")</f>
        <v>Jun</v>
      </c>
      <c r="R647" t="str">
        <f>IF(Table1[[#All],[Total Price (?)]]&gt;1000,"High Value","Normal")</f>
        <v>High Value</v>
      </c>
    </row>
    <row r="648" spans="1:18" x14ac:dyDescent="0.3">
      <c r="A648" t="s">
        <v>709</v>
      </c>
      <c r="B648" s="1">
        <v>45704</v>
      </c>
      <c r="C648" t="s">
        <v>24</v>
      </c>
      <c r="D648" t="s">
        <v>16</v>
      </c>
      <c r="E648" t="s">
        <v>49</v>
      </c>
      <c r="F648" t="s">
        <v>56</v>
      </c>
      <c r="G648">
        <v>4</v>
      </c>
      <c r="H648">
        <v>1231.03</v>
      </c>
      <c r="I648">
        <v>0.24</v>
      </c>
      <c r="J648">
        <v>3742.33</v>
      </c>
      <c r="K648" t="s">
        <v>46</v>
      </c>
      <c r="L648" t="s">
        <v>34</v>
      </c>
      <c r="M648" t="s">
        <v>54</v>
      </c>
      <c r="N648" t="s">
        <v>22</v>
      </c>
      <c r="O648">
        <f>Table1[[#All],[Quantity]]*Table1[[#All],[Unit Price (?)]]</f>
        <v>4924.12</v>
      </c>
      <c r="P648" t="str">
        <f>TEXT(Table1[[#All],[Order Date]],"dddd")</f>
        <v>Sunday</v>
      </c>
      <c r="Q648" t="str">
        <f>TEXT(Table1[[#All],[Order Date]],"mmm")</f>
        <v>Feb</v>
      </c>
      <c r="R648" t="str">
        <f>IF(Table1[[#All],[Total Price (?)]]&gt;1000,"High Value","Normal")</f>
        <v>High Value</v>
      </c>
    </row>
    <row r="649" spans="1:18" x14ac:dyDescent="0.3">
      <c r="A649" t="s">
        <v>710</v>
      </c>
      <c r="B649" s="1">
        <v>45703</v>
      </c>
      <c r="C649" t="s">
        <v>24</v>
      </c>
      <c r="D649" t="s">
        <v>16</v>
      </c>
      <c r="E649" t="s">
        <v>17</v>
      </c>
      <c r="F649" t="s">
        <v>40</v>
      </c>
      <c r="G649">
        <v>5</v>
      </c>
      <c r="H649">
        <v>3428.1</v>
      </c>
      <c r="I649">
        <v>0.04</v>
      </c>
      <c r="J649">
        <v>16454.88</v>
      </c>
      <c r="K649" t="s">
        <v>19</v>
      </c>
      <c r="L649" t="s">
        <v>34</v>
      </c>
      <c r="M649" t="s">
        <v>21</v>
      </c>
      <c r="N649" t="s">
        <v>88</v>
      </c>
      <c r="O649">
        <f>Table1[[#All],[Quantity]]*Table1[[#All],[Unit Price (?)]]</f>
        <v>17140.5</v>
      </c>
      <c r="P649" t="str">
        <f>TEXT(Table1[[#All],[Order Date]],"dddd")</f>
        <v>Saturday</v>
      </c>
      <c r="Q649" t="str">
        <f>TEXT(Table1[[#All],[Order Date]],"mmm")</f>
        <v>Feb</v>
      </c>
      <c r="R649" t="str">
        <f>IF(Table1[[#All],[Total Price (?)]]&gt;1000,"High Value","Normal")</f>
        <v>High Value</v>
      </c>
    </row>
    <row r="650" spans="1:18" x14ac:dyDescent="0.3">
      <c r="A650" t="s">
        <v>711</v>
      </c>
      <c r="B650" s="1">
        <v>45664</v>
      </c>
      <c r="C650" t="s">
        <v>48</v>
      </c>
      <c r="D650" t="s">
        <v>16</v>
      </c>
      <c r="E650" t="s">
        <v>27</v>
      </c>
      <c r="F650" t="s">
        <v>87</v>
      </c>
      <c r="G650">
        <v>4</v>
      </c>
      <c r="H650">
        <v>2502.23</v>
      </c>
      <c r="I650">
        <v>7.0000000000000007E-2</v>
      </c>
      <c r="J650">
        <v>9308.2999999999993</v>
      </c>
      <c r="K650" t="s">
        <v>19</v>
      </c>
      <c r="L650" t="s">
        <v>34</v>
      </c>
      <c r="M650" t="s">
        <v>30</v>
      </c>
      <c r="N650" t="s">
        <v>59</v>
      </c>
      <c r="O650">
        <f>Table1[[#All],[Quantity]]*Table1[[#All],[Unit Price (?)]]</f>
        <v>10008.92</v>
      </c>
      <c r="P650" t="str">
        <f>TEXT(Table1[[#All],[Order Date]],"dddd")</f>
        <v>Tuesday</v>
      </c>
      <c r="Q650" t="str">
        <f>TEXT(Table1[[#All],[Order Date]],"mmm")</f>
        <v>Jan</v>
      </c>
      <c r="R650" t="str">
        <f>IF(Table1[[#All],[Total Price (?)]]&gt;1000,"High Value","Normal")</f>
        <v>High Value</v>
      </c>
    </row>
    <row r="651" spans="1:18" x14ac:dyDescent="0.3">
      <c r="A651" t="s">
        <v>712</v>
      </c>
      <c r="B651" s="1">
        <v>45788</v>
      </c>
      <c r="C651" t="s">
        <v>24</v>
      </c>
      <c r="D651" t="s">
        <v>16</v>
      </c>
      <c r="E651" t="s">
        <v>17</v>
      </c>
      <c r="F651" t="s">
        <v>40</v>
      </c>
      <c r="G651">
        <v>3</v>
      </c>
      <c r="H651">
        <v>4279.08</v>
      </c>
      <c r="I651">
        <v>0.11</v>
      </c>
      <c r="J651">
        <v>11425.14</v>
      </c>
      <c r="K651" t="s">
        <v>41</v>
      </c>
      <c r="L651" t="s">
        <v>34</v>
      </c>
      <c r="M651" t="s">
        <v>54</v>
      </c>
      <c r="N651" t="s">
        <v>22</v>
      </c>
      <c r="O651">
        <f>Table1[[#All],[Quantity]]*Table1[[#All],[Unit Price (?)]]</f>
        <v>12837.24</v>
      </c>
      <c r="P651" t="str">
        <f>TEXT(Table1[[#All],[Order Date]],"dddd")</f>
        <v>Sunday</v>
      </c>
      <c r="Q651" t="str">
        <f>TEXT(Table1[[#All],[Order Date]],"mmm")</f>
        <v>May</v>
      </c>
      <c r="R651" t="str">
        <f>IF(Table1[[#All],[Total Price (?)]]&gt;1000,"High Value","Normal")</f>
        <v>High Value</v>
      </c>
    </row>
    <row r="652" spans="1:18" x14ac:dyDescent="0.3">
      <c r="A652" t="s">
        <v>713</v>
      </c>
      <c r="B652" s="1">
        <v>45697</v>
      </c>
      <c r="C652" t="s">
        <v>48</v>
      </c>
      <c r="D652" t="s">
        <v>25</v>
      </c>
      <c r="E652" t="s">
        <v>99</v>
      </c>
      <c r="F652" t="s">
        <v>100</v>
      </c>
      <c r="G652">
        <v>3</v>
      </c>
      <c r="H652">
        <v>3607.04</v>
      </c>
      <c r="I652">
        <v>0.12</v>
      </c>
      <c r="J652">
        <v>9522.59</v>
      </c>
      <c r="K652" t="s">
        <v>41</v>
      </c>
      <c r="L652" t="s">
        <v>20</v>
      </c>
      <c r="M652" t="s">
        <v>54</v>
      </c>
      <c r="N652" t="s">
        <v>22</v>
      </c>
      <c r="O652">
        <f>Table1[[#All],[Quantity]]*Table1[[#All],[Unit Price (?)]]</f>
        <v>10821.119999999999</v>
      </c>
      <c r="P652" t="str">
        <f>TEXT(Table1[[#All],[Order Date]],"dddd")</f>
        <v>Sunday</v>
      </c>
      <c r="Q652" t="str">
        <f>TEXT(Table1[[#All],[Order Date]],"mmm")</f>
        <v>Feb</v>
      </c>
      <c r="R652" t="str">
        <f>IF(Table1[[#All],[Total Price (?)]]&gt;1000,"High Value","Normal")</f>
        <v>High Value</v>
      </c>
    </row>
    <row r="653" spans="1:18" x14ac:dyDescent="0.3">
      <c r="A653" t="s">
        <v>714</v>
      </c>
      <c r="B653" s="1">
        <v>45737</v>
      </c>
      <c r="C653" t="s">
        <v>48</v>
      </c>
      <c r="D653" t="s">
        <v>25</v>
      </c>
      <c r="E653" t="s">
        <v>27</v>
      </c>
      <c r="F653" t="s">
        <v>87</v>
      </c>
      <c r="G653">
        <v>5</v>
      </c>
      <c r="H653">
        <v>373.11</v>
      </c>
      <c r="I653">
        <v>7.0000000000000007E-2</v>
      </c>
      <c r="J653">
        <v>1734.96</v>
      </c>
      <c r="K653" t="s">
        <v>33</v>
      </c>
      <c r="L653" t="s">
        <v>20</v>
      </c>
      <c r="M653" t="s">
        <v>21</v>
      </c>
      <c r="N653" t="s">
        <v>22</v>
      </c>
      <c r="O653">
        <f>Table1[[#All],[Quantity]]*Table1[[#All],[Unit Price (?)]]</f>
        <v>1865.5500000000002</v>
      </c>
      <c r="P653" t="str">
        <f>TEXT(Table1[[#All],[Order Date]],"dddd")</f>
        <v>Friday</v>
      </c>
      <c r="Q653" t="str">
        <f>TEXT(Table1[[#All],[Order Date]],"mmm")</f>
        <v>Mar</v>
      </c>
      <c r="R653" t="str">
        <f>IF(Table1[[#All],[Total Price (?)]]&gt;1000,"High Value","Normal")</f>
        <v>High Value</v>
      </c>
    </row>
    <row r="654" spans="1:18" x14ac:dyDescent="0.3">
      <c r="A654" t="s">
        <v>715</v>
      </c>
      <c r="B654" s="1">
        <v>45723</v>
      </c>
      <c r="C654" t="s">
        <v>15</v>
      </c>
      <c r="D654" t="s">
        <v>16</v>
      </c>
      <c r="E654" t="s">
        <v>99</v>
      </c>
      <c r="F654" t="s">
        <v>111</v>
      </c>
      <c r="G654">
        <v>5</v>
      </c>
      <c r="H654">
        <v>321.08</v>
      </c>
      <c r="I654">
        <v>0.21</v>
      </c>
      <c r="J654">
        <v>1268.27</v>
      </c>
      <c r="K654" t="s">
        <v>58</v>
      </c>
      <c r="L654" t="s">
        <v>20</v>
      </c>
      <c r="M654" t="s">
        <v>30</v>
      </c>
      <c r="N654" t="s">
        <v>88</v>
      </c>
      <c r="O654">
        <f>Table1[[#All],[Quantity]]*Table1[[#All],[Unit Price (?)]]</f>
        <v>1605.3999999999999</v>
      </c>
      <c r="P654" t="str">
        <f>TEXT(Table1[[#All],[Order Date]],"dddd")</f>
        <v>Friday</v>
      </c>
      <c r="Q654" t="str">
        <f>TEXT(Table1[[#All],[Order Date]],"mmm")</f>
        <v>Mar</v>
      </c>
      <c r="R654" t="str">
        <f>IF(Table1[[#All],[Total Price (?)]]&gt;1000,"High Value","Normal")</f>
        <v>High Value</v>
      </c>
    </row>
    <row r="655" spans="1:18" x14ac:dyDescent="0.3">
      <c r="A655" t="s">
        <v>716</v>
      </c>
      <c r="B655" s="1">
        <v>45714</v>
      </c>
      <c r="C655" t="s">
        <v>24</v>
      </c>
      <c r="D655" t="s">
        <v>43</v>
      </c>
      <c r="E655" t="s">
        <v>99</v>
      </c>
      <c r="F655" t="s">
        <v>115</v>
      </c>
      <c r="G655">
        <v>3</v>
      </c>
      <c r="H655">
        <v>2118.46</v>
      </c>
      <c r="I655">
        <v>0.01</v>
      </c>
      <c r="J655">
        <v>6291.83</v>
      </c>
      <c r="K655" t="s">
        <v>41</v>
      </c>
      <c r="L655" t="s">
        <v>34</v>
      </c>
      <c r="M655" t="s">
        <v>54</v>
      </c>
      <c r="N655" t="s">
        <v>22</v>
      </c>
      <c r="O655">
        <f>Table1[[#All],[Quantity]]*Table1[[#All],[Unit Price (?)]]</f>
        <v>6355.38</v>
      </c>
      <c r="P655" t="str">
        <f>TEXT(Table1[[#All],[Order Date]],"dddd")</f>
        <v>Wednesday</v>
      </c>
      <c r="Q655" t="str">
        <f>TEXT(Table1[[#All],[Order Date]],"mmm")</f>
        <v>Feb</v>
      </c>
      <c r="R655" t="str">
        <f>IF(Table1[[#All],[Total Price (?)]]&gt;1000,"High Value","Normal")</f>
        <v>High Value</v>
      </c>
    </row>
    <row r="656" spans="1:18" x14ac:dyDescent="0.3">
      <c r="A656" t="s">
        <v>717</v>
      </c>
      <c r="B656" s="1">
        <v>45827</v>
      </c>
      <c r="C656" t="s">
        <v>24</v>
      </c>
      <c r="D656" t="s">
        <v>25</v>
      </c>
      <c r="E656" t="s">
        <v>99</v>
      </c>
      <c r="F656" t="s">
        <v>120</v>
      </c>
      <c r="G656">
        <v>3</v>
      </c>
      <c r="H656">
        <v>931.92</v>
      </c>
      <c r="I656">
        <v>0.13</v>
      </c>
      <c r="J656">
        <v>2432.31</v>
      </c>
      <c r="K656" t="s">
        <v>46</v>
      </c>
      <c r="L656" t="s">
        <v>20</v>
      </c>
      <c r="M656" t="s">
        <v>54</v>
      </c>
      <c r="N656" t="s">
        <v>22</v>
      </c>
      <c r="O656">
        <f>Table1[[#All],[Quantity]]*Table1[[#All],[Unit Price (?)]]</f>
        <v>2795.7599999999998</v>
      </c>
      <c r="P656" t="str">
        <f>TEXT(Table1[[#All],[Order Date]],"dddd")</f>
        <v>Thursday</v>
      </c>
      <c r="Q656" t="str">
        <f>TEXT(Table1[[#All],[Order Date]],"mmm")</f>
        <v>Jun</v>
      </c>
      <c r="R656" t="str">
        <f>IF(Table1[[#All],[Total Price (?)]]&gt;1000,"High Value","Normal")</f>
        <v>High Value</v>
      </c>
    </row>
    <row r="657" spans="1:18" x14ac:dyDescent="0.3">
      <c r="A657" t="s">
        <v>718</v>
      </c>
      <c r="B657" s="1">
        <v>45673</v>
      </c>
      <c r="C657" t="s">
        <v>15</v>
      </c>
      <c r="D657" t="s">
        <v>25</v>
      </c>
      <c r="E657" t="s">
        <v>49</v>
      </c>
      <c r="F657" t="s">
        <v>50</v>
      </c>
      <c r="G657">
        <v>4</v>
      </c>
      <c r="H657">
        <v>2981.15</v>
      </c>
      <c r="I657">
        <v>0.25</v>
      </c>
      <c r="J657">
        <v>8943.4500000000007</v>
      </c>
      <c r="K657" t="s">
        <v>58</v>
      </c>
      <c r="L657" t="s">
        <v>29</v>
      </c>
      <c r="M657" t="s">
        <v>30</v>
      </c>
      <c r="N657" t="s">
        <v>22</v>
      </c>
      <c r="O657">
        <f>Table1[[#All],[Quantity]]*Table1[[#All],[Unit Price (?)]]</f>
        <v>11924.6</v>
      </c>
      <c r="P657" t="str">
        <f>TEXT(Table1[[#All],[Order Date]],"dddd")</f>
        <v>Thursday</v>
      </c>
      <c r="Q657" t="str">
        <f>TEXT(Table1[[#All],[Order Date]],"mmm")</f>
        <v>Jan</v>
      </c>
      <c r="R657" t="str">
        <f>IF(Table1[[#All],[Total Price (?)]]&gt;1000,"High Value","Normal")</f>
        <v>High Value</v>
      </c>
    </row>
    <row r="658" spans="1:18" x14ac:dyDescent="0.3">
      <c r="A658" t="s">
        <v>719</v>
      </c>
      <c r="B658" s="1">
        <v>45810</v>
      </c>
      <c r="C658" t="s">
        <v>24</v>
      </c>
      <c r="D658" t="s">
        <v>43</v>
      </c>
      <c r="E658" t="s">
        <v>17</v>
      </c>
      <c r="F658" t="s">
        <v>40</v>
      </c>
      <c r="G658">
        <v>4</v>
      </c>
      <c r="H658">
        <v>2563.5700000000002</v>
      </c>
      <c r="I658">
        <v>0.19</v>
      </c>
      <c r="J658">
        <v>8305.9699999999993</v>
      </c>
      <c r="K658" t="s">
        <v>19</v>
      </c>
      <c r="L658" t="s">
        <v>34</v>
      </c>
      <c r="M658" t="s">
        <v>30</v>
      </c>
      <c r="N658" t="s">
        <v>22</v>
      </c>
      <c r="O658">
        <f>Table1[[#All],[Quantity]]*Table1[[#All],[Unit Price (?)]]</f>
        <v>10254.280000000001</v>
      </c>
      <c r="P658" t="str">
        <f>TEXT(Table1[[#All],[Order Date]],"dddd")</f>
        <v>Monday</v>
      </c>
      <c r="Q658" t="str">
        <f>TEXT(Table1[[#All],[Order Date]],"mmm")</f>
        <v>Jun</v>
      </c>
      <c r="R658" t="str">
        <f>IF(Table1[[#All],[Total Price (?)]]&gt;1000,"High Value","Normal")</f>
        <v>High Value</v>
      </c>
    </row>
    <row r="659" spans="1:18" x14ac:dyDescent="0.3">
      <c r="A659" t="s">
        <v>720</v>
      </c>
      <c r="B659" s="1">
        <v>45714</v>
      </c>
      <c r="C659" t="s">
        <v>52</v>
      </c>
      <c r="D659" t="s">
        <v>39</v>
      </c>
      <c r="E659" t="s">
        <v>99</v>
      </c>
      <c r="F659" t="s">
        <v>115</v>
      </c>
      <c r="G659">
        <v>1</v>
      </c>
      <c r="H659">
        <v>4217.8599999999997</v>
      </c>
      <c r="I659">
        <v>0.13</v>
      </c>
      <c r="J659">
        <v>3669.54</v>
      </c>
      <c r="K659" t="s">
        <v>41</v>
      </c>
      <c r="L659" t="s">
        <v>29</v>
      </c>
      <c r="M659" t="s">
        <v>30</v>
      </c>
      <c r="N659" t="s">
        <v>22</v>
      </c>
      <c r="O659">
        <f>Table1[[#All],[Quantity]]*Table1[[#All],[Unit Price (?)]]</f>
        <v>4217.8599999999997</v>
      </c>
      <c r="P659" t="str">
        <f>TEXT(Table1[[#All],[Order Date]],"dddd")</f>
        <v>Wednesday</v>
      </c>
      <c r="Q659" t="str">
        <f>TEXT(Table1[[#All],[Order Date]],"mmm")</f>
        <v>Feb</v>
      </c>
      <c r="R659" t="str">
        <f>IF(Table1[[#All],[Total Price (?)]]&gt;1000,"High Value","Normal")</f>
        <v>High Value</v>
      </c>
    </row>
    <row r="660" spans="1:18" x14ac:dyDescent="0.3">
      <c r="A660" t="s">
        <v>721</v>
      </c>
      <c r="B660" s="1">
        <v>45728</v>
      </c>
      <c r="C660" t="s">
        <v>52</v>
      </c>
      <c r="D660" t="s">
        <v>39</v>
      </c>
      <c r="E660" t="s">
        <v>27</v>
      </c>
      <c r="F660" t="s">
        <v>87</v>
      </c>
      <c r="G660">
        <v>1</v>
      </c>
      <c r="H660">
        <v>3616.76</v>
      </c>
      <c r="I660">
        <v>0.14000000000000001</v>
      </c>
      <c r="J660">
        <v>3110.41</v>
      </c>
      <c r="K660" t="s">
        <v>33</v>
      </c>
      <c r="L660" t="s">
        <v>29</v>
      </c>
      <c r="M660" t="s">
        <v>21</v>
      </c>
      <c r="N660" t="s">
        <v>22</v>
      </c>
      <c r="O660">
        <f>Table1[[#All],[Quantity]]*Table1[[#All],[Unit Price (?)]]</f>
        <v>3616.76</v>
      </c>
      <c r="P660" t="str">
        <f>TEXT(Table1[[#All],[Order Date]],"dddd")</f>
        <v>Wednesday</v>
      </c>
      <c r="Q660" t="str">
        <f>TEXT(Table1[[#All],[Order Date]],"mmm")</f>
        <v>Mar</v>
      </c>
      <c r="R660" t="str">
        <f>IF(Table1[[#All],[Total Price (?)]]&gt;1000,"High Value","Normal")</f>
        <v>High Value</v>
      </c>
    </row>
    <row r="661" spans="1:18" x14ac:dyDescent="0.3">
      <c r="A661" t="s">
        <v>722</v>
      </c>
      <c r="B661" s="1">
        <v>45784</v>
      </c>
      <c r="C661" t="s">
        <v>48</v>
      </c>
      <c r="D661" t="s">
        <v>25</v>
      </c>
      <c r="E661" t="s">
        <v>27</v>
      </c>
      <c r="F661" t="s">
        <v>87</v>
      </c>
      <c r="G661">
        <v>1</v>
      </c>
      <c r="H661">
        <v>3292.53</v>
      </c>
      <c r="I661">
        <v>0.08</v>
      </c>
      <c r="J661">
        <v>3029.13</v>
      </c>
      <c r="K661" t="s">
        <v>19</v>
      </c>
      <c r="L661" t="s">
        <v>34</v>
      </c>
      <c r="M661" t="s">
        <v>30</v>
      </c>
      <c r="N661" t="s">
        <v>22</v>
      </c>
      <c r="O661">
        <f>Table1[[#All],[Quantity]]*Table1[[#All],[Unit Price (?)]]</f>
        <v>3292.53</v>
      </c>
      <c r="P661" t="str">
        <f>TEXT(Table1[[#All],[Order Date]],"dddd")</f>
        <v>Wednesday</v>
      </c>
      <c r="Q661" t="str">
        <f>TEXT(Table1[[#All],[Order Date]],"mmm")</f>
        <v>May</v>
      </c>
      <c r="R661" t="str">
        <f>IF(Table1[[#All],[Total Price (?)]]&gt;1000,"High Value","Normal")</f>
        <v>High Value</v>
      </c>
    </row>
    <row r="662" spans="1:18" x14ac:dyDescent="0.3">
      <c r="A662" t="s">
        <v>723</v>
      </c>
      <c r="B662" s="1">
        <v>45758</v>
      </c>
      <c r="C662" t="s">
        <v>48</v>
      </c>
      <c r="D662" t="s">
        <v>43</v>
      </c>
      <c r="E662" t="s">
        <v>99</v>
      </c>
      <c r="F662" t="s">
        <v>100</v>
      </c>
      <c r="G662">
        <v>5</v>
      </c>
      <c r="H662">
        <v>2625.31</v>
      </c>
      <c r="I662">
        <v>0.17</v>
      </c>
      <c r="J662">
        <v>10895.04</v>
      </c>
      <c r="K662" t="s">
        <v>41</v>
      </c>
      <c r="L662" t="s">
        <v>34</v>
      </c>
      <c r="M662" t="s">
        <v>21</v>
      </c>
      <c r="N662" t="s">
        <v>37</v>
      </c>
      <c r="O662">
        <f>Table1[[#All],[Quantity]]*Table1[[#All],[Unit Price (?)]]</f>
        <v>13126.55</v>
      </c>
      <c r="P662" t="str">
        <f>TEXT(Table1[[#All],[Order Date]],"dddd")</f>
        <v>Friday</v>
      </c>
      <c r="Q662" t="str">
        <f>TEXT(Table1[[#All],[Order Date]],"mmm")</f>
        <v>Apr</v>
      </c>
      <c r="R662" t="str">
        <f>IF(Table1[[#All],[Total Price (?)]]&gt;1000,"High Value","Normal")</f>
        <v>High Value</v>
      </c>
    </row>
    <row r="663" spans="1:18" x14ac:dyDescent="0.3">
      <c r="A663" t="s">
        <v>724</v>
      </c>
      <c r="B663" s="1">
        <v>45737</v>
      </c>
      <c r="C663" t="s">
        <v>36</v>
      </c>
      <c r="D663" t="s">
        <v>25</v>
      </c>
      <c r="E663" t="s">
        <v>27</v>
      </c>
      <c r="F663" t="s">
        <v>68</v>
      </c>
      <c r="G663">
        <v>4</v>
      </c>
      <c r="H663">
        <v>1412.89</v>
      </c>
      <c r="I663">
        <v>0.16</v>
      </c>
      <c r="J663">
        <v>4747.3100000000004</v>
      </c>
      <c r="K663" t="s">
        <v>41</v>
      </c>
      <c r="L663" t="s">
        <v>20</v>
      </c>
      <c r="M663" t="s">
        <v>21</v>
      </c>
      <c r="N663" t="s">
        <v>37</v>
      </c>
      <c r="O663">
        <f>Table1[[#All],[Quantity]]*Table1[[#All],[Unit Price (?)]]</f>
        <v>5651.56</v>
      </c>
      <c r="P663" t="str">
        <f>TEXT(Table1[[#All],[Order Date]],"dddd")</f>
        <v>Friday</v>
      </c>
      <c r="Q663" t="str">
        <f>TEXT(Table1[[#All],[Order Date]],"mmm")</f>
        <v>Mar</v>
      </c>
      <c r="R663" t="str">
        <f>IF(Table1[[#All],[Total Price (?)]]&gt;1000,"High Value","Normal")</f>
        <v>High Value</v>
      </c>
    </row>
    <row r="664" spans="1:18" x14ac:dyDescent="0.3">
      <c r="A664" t="s">
        <v>725</v>
      </c>
      <c r="B664" s="1">
        <v>45791</v>
      </c>
      <c r="C664" t="s">
        <v>15</v>
      </c>
      <c r="D664" t="s">
        <v>25</v>
      </c>
      <c r="E664" t="s">
        <v>17</v>
      </c>
      <c r="F664" t="s">
        <v>44</v>
      </c>
      <c r="G664">
        <v>2</v>
      </c>
      <c r="H664">
        <v>837.32</v>
      </c>
      <c r="I664">
        <v>0.17</v>
      </c>
      <c r="J664">
        <v>1389.95</v>
      </c>
      <c r="K664" t="s">
        <v>41</v>
      </c>
      <c r="L664" t="s">
        <v>20</v>
      </c>
      <c r="M664" t="s">
        <v>30</v>
      </c>
      <c r="N664" t="s">
        <v>22</v>
      </c>
      <c r="O664">
        <f>Table1[[#All],[Quantity]]*Table1[[#All],[Unit Price (?)]]</f>
        <v>1674.64</v>
      </c>
      <c r="P664" t="str">
        <f>TEXT(Table1[[#All],[Order Date]],"dddd")</f>
        <v>Wednesday</v>
      </c>
      <c r="Q664" t="str">
        <f>TEXT(Table1[[#All],[Order Date]],"mmm")</f>
        <v>May</v>
      </c>
      <c r="R664" t="str">
        <f>IF(Table1[[#All],[Total Price (?)]]&gt;1000,"High Value","Normal")</f>
        <v>High Value</v>
      </c>
    </row>
    <row r="665" spans="1:18" x14ac:dyDescent="0.3">
      <c r="A665" t="s">
        <v>726</v>
      </c>
      <c r="B665" s="1">
        <v>45823</v>
      </c>
      <c r="C665" t="s">
        <v>48</v>
      </c>
      <c r="D665" t="s">
        <v>43</v>
      </c>
      <c r="E665" t="s">
        <v>17</v>
      </c>
      <c r="F665" t="s">
        <v>44</v>
      </c>
      <c r="G665">
        <v>2</v>
      </c>
      <c r="H665">
        <v>1356.59</v>
      </c>
      <c r="I665">
        <v>0.15</v>
      </c>
      <c r="J665">
        <v>2306.1999999999998</v>
      </c>
      <c r="K665" t="s">
        <v>46</v>
      </c>
      <c r="L665" t="s">
        <v>34</v>
      </c>
      <c r="M665" t="s">
        <v>30</v>
      </c>
      <c r="N665" t="s">
        <v>22</v>
      </c>
      <c r="O665">
        <f>Table1[[#All],[Quantity]]*Table1[[#All],[Unit Price (?)]]</f>
        <v>2713.18</v>
      </c>
      <c r="P665" t="str">
        <f>TEXT(Table1[[#All],[Order Date]],"dddd")</f>
        <v>Sunday</v>
      </c>
      <c r="Q665" t="str">
        <f>TEXT(Table1[[#All],[Order Date]],"mmm")</f>
        <v>Jun</v>
      </c>
      <c r="R665" t="str">
        <f>IF(Table1[[#All],[Total Price (?)]]&gt;1000,"High Value","Normal")</f>
        <v>High Value</v>
      </c>
    </row>
    <row r="666" spans="1:18" x14ac:dyDescent="0.3">
      <c r="A666" t="s">
        <v>727</v>
      </c>
      <c r="B666" s="1">
        <v>45764</v>
      </c>
      <c r="C666" t="s">
        <v>52</v>
      </c>
      <c r="D666" t="s">
        <v>16</v>
      </c>
      <c r="E666" t="s">
        <v>61</v>
      </c>
      <c r="F666" t="s">
        <v>62</v>
      </c>
      <c r="G666">
        <v>4</v>
      </c>
      <c r="H666">
        <v>2843.14</v>
      </c>
      <c r="I666">
        <v>0.11</v>
      </c>
      <c r="J666">
        <v>10121.58</v>
      </c>
      <c r="K666" t="s">
        <v>46</v>
      </c>
      <c r="L666" t="s">
        <v>34</v>
      </c>
      <c r="M666" t="s">
        <v>21</v>
      </c>
      <c r="N666" t="s">
        <v>22</v>
      </c>
      <c r="O666">
        <f>Table1[[#All],[Quantity]]*Table1[[#All],[Unit Price (?)]]</f>
        <v>11372.56</v>
      </c>
      <c r="P666" t="str">
        <f>TEXT(Table1[[#All],[Order Date]],"dddd")</f>
        <v>Thursday</v>
      </c>
      <c r="Q666" t="str">
        <f>TEXT(Table1[[#All],[Order Date]],"mmm")</f>
        <v>Apr</v>
      </c>
      <c r="R666" t="str">
        <f>IF(Table1[[#All],[Total Price (?)]]&gt;1000,"High Value","Normal")</f>
        <v>High Value</v>
      </c>
    </row>
    <row r="667" spans="1:18" x14ac:dyDescent="0.3">
      <c r="A667" t="s">
        <v>728</v>
      </c>
      <c r="B667" s="1">
        <v>45724</v>
      </c>
      <c r="C667" t="s">
        <v>24</v>
      </c>
      <c r="D667" t="s">
        <v>25</v>
      </c>
      <c r="E667" t="s">
        <v>99</v>
      </c>
      <c r="F667" t="s">
        <v>100</v>
      </c>
      <c r="G667">
        <v>5</v>
      </c>
      <c r="H667">
        <v>962.33</v>
      </c>
      <c r="I667">
        <v>0.21</v>
      </c>
      <c r="J667">
        <v>3801.2</v>
      </c>
      <c r="K667" t="s">
        <v>46</v>
      </c>
      <c r="L667" t="s">
        <v>34</v>
      </c>
      <c r="M667" t="s">
        <v>21</v>
      </c>
      <c r="N667" t="s">
        <v>88</v>
      </c>
      <c r="O667">
        <f>Table1[[#All],[Quantity]]*Table1[[#All],[Unit Price (?)]]</f>
        <v>4811.6500000000005</v>
      </c>
      <c r="P667" t="str">
        <f>TEXT(Table1[[#All],[Order Date]],"dddd")</f>
        <v>Saturday</v>
      </c>
      <c r="Q667" t="str">
        <f>TEXT(Table1[[#All],[Order Date]],"mmm")</f>
        <v>Mar</v>
      </c>
      <c r="R667" t="str">
        <f>IF(Table1[[#All],[Total Price (?)]]&gt;1000,"High Value","Normal")</f>
        <v>High Value</v>
      </c>
    </row>
    <row r="668" spans="1:18" x14ac:dyDescent="0.3">
      <c r="A668" t="s">
        <v>729</v>
      </c>
      <c r="B668" s="1">
        <v>45842</v>
      </c>
      <c r="C668" t="s">
        <v>15</v>
      </c>
      <c r="D668" t="s">
        <v>16</v>
      </c>
      <c r="E668" t="s">
        <v>17</v>
      </c>
      <c r="F668" t="s">
        <v>18</v>
      </c>
      <c r="G668">
        <v>1</v>
      </c>
      <c r="H668">
        <v>4512.82</v>
      </c>
      <c r="I668">
        <v>0.1</v>
      </c>
      <c r="J668">
        <v>4061.54</v>
      </c>
      <c r="K668" t="s">
        <v>33</v>
      </c>
      <c r="L668" t="s">
        <v>34</v>
      </c>
      <c r="M668" t="s">
        <v>30</v>
      </c>
      <c r="N668" t="s">
        <v>22</v>
      </c>
      <c r="O668">
        <f>Table1[[#All],[Quantity]]*Table1[[#All],[Unit Price (?)]]</f>
        <v>4512.82</v>
      </c>
      <c r="P668" t="str">
        <f>TEXT(Table1[[#All],[Order Date]],"dddd")</f>
        <v>Friday</v>
      </c>
      <c r="Q668" t="str">
        <f>TEXT(Table1[[#All],[Order Date]],"mmm")</f>
        <v>Jul</v>
      </c>
      <c r="R668" t="str">
        <f>IF(Table1[[#All],[Total Price (?)]]&gt;1000,"High Value","Normal")</f>
        <v>High Value</v>
      </c>
    </row>
    <row r="669" spans="1:18" x14ac:dyDescent="0.3">
      <c r="A669" t="s">
        <v>730</v>
      </c>
      <c r="B669" s="1">
        <v>45665</v>
      </c>
      <c r="C669" t="s">
        <v>24</v>
      </c>
      <c r="D669" t="s">
        <v>39</v>
      </c>
      <c r="E669" t="s">
        <v>61</v>
      </c>
      <c r="F669" t="s">
        <v>75</v>
      </c>
      <c r="G669">
        <v>5</v>
      </c>
      <c r="H669">
        <v>4671.38</v>
      </c>
      <c r="I669">
        <v>0.13</v>
      </c>
      <c r="J669">
        <v>20320.5</v>
      </c>
      <c r="K669" t="s">
        <v>33</v>
      </c>
      <c r="L669" t="s">
        <v>29</v>
      </c>
      <c r="M669" t="s">
        <v>21</v>
      </c>
      <c r="N669" t="s">
        <v>22</v>
      </c>
      <c r="O669">
        <f>Table1[[#All],[Quantity]]*Table1[[#All],[Unit Price (?)]]</f>
        <v>23356.9</v>
      </c>
      <c r="P669" t="str">
        <f>TEXT(Table1[[#All],[Order Date]],"dddd")</f>
        <v>Wednesday</v>
      </c>
      <c r="Q669" t="str">
        <f>TEXT(Table1[[#All],[Order Date]],"mmm")</f>
        <v>Jan</v>
      </c>
      <c r="R669" t="str">
        <f>IF(Table1[[#All],[Total Price (?)]]&gt;1000,"High Value","Normal")</f>
        <v>High Value</v>
      </c>
    </row>
    <row r="670" spans="1:18" x14ac:dyDescent="0.3">
      <c r="A670" t="s">
        <v>731</v>
      </c>
      <c r="B670" s="1">
        <v>45682</v>
      </c>
      <c r="C670" t="s">
        <v>36</v>
      </c>
      <c r="D670" t="s">
        <v>43</v>
      </c>
      <c r="E670" t="s">
        <v>17</v>
      </c>
      <c r="F670" t="s">
        <v>44</v>
      </c>
      <c r="G670">
        <v>3</v>
      </c>
      <c r="H670">
        <v>4178.4399999999996</v>
      </c>
      <c r="I670">
        <v>0.18</v>
      </c>
      <c r="J670">
        <v>10278.959999999999</v>
      </c>
      <c r="K670" t="s">
        <v>58</v>
      </c>
      <c r="L670" t="s">
        <v>34</v>
      </c>
      <c r="M670" t="s">
        <v>21</v>
      </c>
      <c r="N670" t="s">
        <v>37</v>
      </c>
      <c r="O670">
        <f>Table1[[#All],[Quantity]]*Table1[[#All],[Unit Price (?)]]</f>
        <v>12535.32</v>
      </c>
      <c r="P670" t="str">
        <f>TEXT(Table1[[#All],[Order Date]],"dddd")</f>
        <v>Saturday</v>
      </c>
      <c r="Q670" t="str">
        <f>TEXT(Table1[[#All],[Order Date]],"mmm")</f>
        <v>Jan</v>
      </c>
      <c r="R670" t="str">
        <f>IF(Table1[[#All],[Total Price (?)]]&gt;1000,"High Value","Normal")</f>
        <v>High Value</v>
      </c>
    </row>
    <row r="671" spans="1:18" x14ac:dyDescent="0.3">
      <c r="A671" t="s">
        <v>732</v>
      </c>
      <c r="B671" s="1">
        <v>45830</v>
      </c>
      <c r="C671" t="s">
        <v>24</v>
      </c>
      <c r="D671" t="s">
        <v>16</v>
      </c>
      <c r="E671" t="s">
        <v>61</v>
      </c>
      <c r="F671" t="s">
        <v>75</v>
      </c>
      <c r="G671">
        <v>3</v>
      </c>
      <c r="H671">
        <v>2253.4299999999998</v>
      </c>
      <c r="I671">
        <v>0.06</v>
      </c>
      <c r="J671">
        <v>6354.67</v>
      </c>
      <c r="K671" t="s">
        <v>19</v>
      </c>
      <c r="L671" t="s">
        <v>20</v>
      </c>
      <c r="M671" t="s">
        <v>21</v>
      </c>
      <c r="N671" t="s">
        <v>22</v>
      </c>
      <c r="O671">
        <f>Table1[[#All],[Quantity]]*Table1[[#All],[Unit Price (?)]]</f>
        <v>6760.2899999999991</v>
      </c>
      <c r="P671" t="str">
        <f>TEXT(Table1[[#All],[Order Date]],"dddd")</f>
        <v>Sunday</v>
      </c>
      <c r="Q671" t="str">
        <f>TEXT(Table1[[#All],[Order Date]],"mmm")</f>
        <v>Jun</v>
      </c>
      <c r="R671" t="str">
        <f>IF(Table1[[#All],[Total Price (?)]]&gt;1000,"High Value","Normal")</f>
        <v>High Value</v>
      </c>
    </row>
    <row r="672" spans="1:18" x14ac:dyDescent="0.3">
      <c r="A672" t="s">
        <v>733</v>
      </c>
      <c r="B672" s="1">
        <v>45710</v>
      </c>
      <c r="C672" t="s">
        <v>15</v>
      </c>
      <c r="D672" t="s">
        <v>39</v>
      </c>
      <c r="E672" t="s">
        <v>99</v>
      </c>
      <c r="F672" t="s">
        <v>120</v>
      </c>
      <c r="G672">
        <v>4</v>
      </c>
      <c r="H672">
        <v>3445.42</v>
      </c>
      <c r="I672">
        <v>0.24</v>
      </c>
      <c r="J672">
        <v>10474.08</v>
      </c>
      <c r="K672" t="s">
        <v>33</v>
      </c>
      <c r="L672" t="s">
        <v>34</v>
      </c>
      <c r="M672" t="s">
        <v>54</v>
      </c>
      <c r="N672" t="s">
        <v>22</v>
      </c>
      <c r="O672">
        <f>Table1[[#All],[Quantity]]*Table1[[#All],[Unit Price (?)]]</f>
        <v>13781.68</v>
      </c>
      <c r="P672" t="str">
        <f>TEXT(Table1[[#All],[Order Date]],"dddd")</f>
        <v>Saturday</v>
      </c>
      <c r="Q672" t="str">
        <f>TEXT(Table1[[#All],[Order Date]],"mmm")</f>
        <v>Feb</v>
      </c>
      <c r="R672" t="str">
        <f>IF(Table1[[#All],[Total Price (?)]]&gt;1000,"High Value","Normal")</f>
        <v>High Value</v>
      </c>
    </row>
    <row r="673" spans="1:18" x14ac:dyDescent="0.3">
      <c r="A673" t="s">
        <v>734</v>
      </c>
      <c r="B673" s="1">
        <v>45694</v>
      </c>
      <c r="C673" t="s">
        <v>24</v>
      </c>
      <c r="D673" t="s">
        <v>39</v>
      </c>
      <c r="E673" t="s">
        <v>99</v>
      </c>
      <c r="F673" t="s">
        <v>111</v>
      </c>
      <c r="G673">
        <v>1</v>
      </c>
      <c r="H673">
        <v>3484.34</v>
      </c>
      <c r="I673">
        <v>0.2</v>
      </c>
      <c r="J673">
        <v>2787.47</v>
      </c>
      <c r="K673" t="s">
        <v>33</v>
      </c>
      <c r="L673" t="s">
        <v>20</v>
      </c>
      <c r="M673" t="s">
        <v>54</v>
      </c>
      <c r="N673" t="s">
        <v>22</v>
      </c>
      <c r="O673">
        <f>Table1[[#All],[Quantity]]*Table1[[#All],[Unit Price (?)]]</f>
        <v>3484.34</v>
      </c>
      <c r="P673" t="str">
        <f>TEXT(Table1[[#All],[Order Date]],"dddd")</f>
        <v>Thursday</v>
      </c>
      <c r="Q673" t="str">
        <f>TEXT(Table1[[#All],[Order Date]],"mmm")</f>
        <v>Feb</v>
      </c>
      <c r="R673" t="str">
        <f>IF(Table1[[#All],[Total Price (?)]]&gt;1000,"High Value","Normal")</f>
        <v>High Value</v>
      </c>
    </row>
    <row r="674" spans="1:18" x14ac:dyDescent="0.3">
      <c r="A674" t="s">
        <v>735</v>
      </c>
      <c r="B674" s="1">
        <v>45772</v>
      </c>
      <c r="C674" t="s">
        <v>24</v>
      </c>
      <c r="D674" t="s">
        <v>39</v>
      </c>
      <c r="E674" t="s">
        <v>99</v>
      </c>
      <c r="F674" t="s">
        <v>111</v>
      </c>
      <c r="G674">
        <v>4</v>
      </c>
      <c r="H674">
        <v>2003.51</v>
      </c>
      <c r="I674">
        <v>0.23</v>
      </c>
      <c r="J674">
        <v>6170.81</v>
      </c>
      <c r="K674" t="s">
        <v>33</v>
      </c>
      <c r="L674" t="s">
        <v>20</v>
      </c>
      <c r="M674" t="s">
        <v>30</v>
      </c>
      <c r="N674" t="s">
        <v>22</v>
      </c>
      <c r="O674">
        <f>Table1[[#All],[Quantity]]*Table1[[#All],[Unit Price (?)]]</f>
        <v>8014.04</v>
      </c>
      <c r="P674" t="str">
        <f>TEXT(Table1[[#All],[Order Date]],"dddd")</f>
        <v>Friday</v>
      </c>
      <c r="Q674" t="str">
        <f>TEXT(Table1[[#All],[Order Date]],"mmm")</f>
        <v>Apr</v>
      </c>
      <c r="R674" t="str">
        <f>IF(Table1[[#All],[Total Price (?)]]&gt;1000,"High Value","Normal")</f>
        <v>High Value</v>
      </c>
    </row>
    <row r="675" spans="1:18" x14ac:dyDescent="0.3">
      <c r="A675" t="s">
        <v>736</v>
      </c>
      <c r="B675" s="1">
        <v>45711</v>
      </c>
      <c r="C675" t="s">
        <v>52</v>
      </c>
      <c r="D675" t="s">
        <v>16</v>
      </c>
      <c r="E675" t="s">
        <v>61</v>
      </c>
      <c r="F675" t="s">
        <v>66</v>
      </c>
      <c r="G675">
        <v>3</v>
      </c>
      <c r="H675">
        <v>4409.3900000000003</v>
      </c>
      <c r="I675">
        <v>0.19</v>
      </c>
      <c r="J675">
        <v>10714.82</v>
      </c>
      <c r="K675" t="s">
        <v>19</v>
      </c>
      <c r="L675" t="s">
        <v>34</v>
      </c>
      <c r="M675" t="s">
        <v>30</v>
      </c>
      <c r="N675" t="s">
        <v>22</v>
      </c>
      <c r="O675">
        <f>Table1[[#All],[Quantity]]*Table1[[#All],[Unit Price (?)]]</f>
        <v>13228.170000000002</v>
      </c>
      <c r="P675" t="str">
        <f>TEXT(Table1[[#All],[Order Date]],"dddd")</f>
        <v>Sunday</v>
      </c>
      <c r="Q675" t="str">
        <f>TEXT(Table1[[#All],[Order Date]],"mmm")</f>
        <v>Feb</v>
      </c>
      <c r="R675" t="str">
        <f>IF(Table1[[#All],[Total Price (?)]]&gt;1000,"High Value","Normal")</f>
        <v>High Value</v>
      </c>
    </row>
    <row r="676" spans="1:18" x14ac:dyDescent="0.3">
      <c r="A676" t="s">
        <v>737</v>
      </c>
      <c r="B676" s="1">
        <v>45667</v>
      </c>
      <c r="C676" t="s">
        <v>48</v>
      </c>
      <c r="D676" t="s">
        <v>39</v>
      </c>
      <c r="E676" t="s">
        <v>17</v>
      </c>
      <c r="F676" t="s">
        <v>40</v>
      </c>
      <c r="G676">
        <v>4</v>
      </c>
      <c r="H676">
        <v>4396.13</v>
      </c>
      <c r="I676">
        <v>0.21</v>
      </c>
      <c r="J676">
        <v>13891.77</v>
      </c>
      <c r="K676" t="s">
        <v>41</v>
      </c>
      <c r="L676" t="s">
        <v>34</v>
      </c>
      <c r="M676" t="s">
        <v>54</v>
      </c>
      <c r="N676" t="s">
        <v>22</v>
      </c>
      <c r="O676">
        <f>Table1[[#All],[Quantity]]*Table1[[#All],[Unit Price (?)]]</f>
        <v>17584.52</v>
      </c>
      <c r="P676" t="str">
        <f>TEXT(Table1[[#All],[Order Date]],"dddd")</f>
        <v>Friday</v>
      </c>
      <c r="Q676" t="str">
        <f>TEXT(Table1[[#All],[Order Date]],"mmm")</f>
        <v>Jan</v>
      </c>
      <c r="R676" t="str">
        <f>IF(Table1[[#All],[Total Price (?)]]&gt;1000,"High Value","Normal")</f>
        <v>High Value</v>
      </c>
    </row>
    <row r="677" spans="1:18" x14ac:dyDescent="0.3">
      <c r="A677" t="s">
        <v>738</v>
      </c>
      <c r="B677" s="1">
        <v>45681</v>
      </c>
      <c r="C677" t="s">
        <v>36</v>
      </c>
      <c r="D677" t="s">
        <v>43</v>
      </c>
      <c r="E677" t="s">
        <v>99</v>
      </c>
      <c r="F677" t="s">
        <v>115</v>
      </c>
      <c r="G677">
        <v>3</v>
      </c>
      <c r="H677">
        <v>2320.98</v>
      </c>
      <c r="I677">
        <v>0.01</v>
      </c>
      <c r="J677">
        <v>6893.31</v>
      </c>
      <c r="K677" t="s">
        <v>33</v>
      </c>
      <c r="L677" t="s">
        <v>29</v>
      </c>
      <c r="M677" t="s">
        <v>54</v>
      </c>
      <c r="N677" t="s">
        <v>22</v>
      </c>
      <c r="O677">
        <f>Table1[[#All],[Quantity]]*Table1[[#All],[Unit Price (?)]]</f>
        <v>6962.9400000000005</v>
      </c>
      <c r="P677" t="str">
        <f>TEXT(Table1[[#All],[Order Date]],"dddd")</f>
        <v>Friday</v>
      </c>
      <c r="Q677" t="str">
        <f>TEXT(Table1[[#All],[Order Date]],"mmm")</f>
        <v>Jan</v>
      </c>
      <c r="R677" t="str">
        <f>IF(Table1[[#All],[Total Price (?)]]&gt;1000,"High Value","Normal")</f>
        <v>High Value</v>
      </c>
    </row>
    <row r="678" spans="1:18" x14ac:dyDescent="0.3">
      <c r="A678" t="s">
        <v>739</v>
      </c>
      <c r="B678" s="1">
        <v>45775</v>
      </c>
      <c r="C678" t="s">
        <v>48</v>
      </c>
      <c r="D678" t="s">
        <v>43</v>
      </c>
      <c r="E678" t="s">
        <v>61</v>
      </c>
      <c r="F678" t="s">
        <v>62</v>
      </c>
      <c r="G678">
        <v>3</v>
      </c>
      <c r="H678">
        <v>1637.24</v>
      </c>
      <c r="I678">
        <v>0.02</v>
      </c>
      <c r="J678">
        <v>4813.49</v>
      </c>
      <c r="K678" t="s">
        <v>19</v>
      </c>
      <c r="L678" t="s">
        <v>29</v>
      </c>
      <c r="M678" t="s">
        <v>54</v>
      </c>
      <c r="N678" t="s">
        <v>22</v>
      </c>
      <c r="O678">
        <f>Table1[[#All],[Quantity]]*Table1[[#All],[Unit Price (?)]]</f>
        <v>4911.72</v>
      </c>
      <c r="P678" t="str">
        <f>TEXT(Table1[[#All],[Order Date]],"dddd")</f>
        <v>Monday</v>
      </c>
      <c r="Q678" t="str">
        <f>TEXT(Table1[[#All],[Order Date]],"mmm")</f>
        <v>Apr</v>
      </c>
      <c r="R678" t="str">
        <f>IF(Table1[[#All],[Total Price (?)]]&gt;1000,"High Value","Normal")</f>
        <v>High Value</v>
      </c>
    </row>
    <row r="679" spans="1:18" x14ac:dyDescent="0.3">
      <c r="A679" t="s">
        <v>740</v>
      </c>
      <c r="B679" s="1">
        <v>45744</v>
      </c>
      <c r="C679" t="s">
        <v>15</v>
      </c>
      <c r="D679" t="s">
        <v>39</v>
      </c>
      <c r="E679" t="s">
        <v>61</v>
      </c>
      <c r="F679" t="s">
        <v>92</v>
      </c>
      <c r="G679">
        <v>2</v>
      </c>
      <c r="H679">
        <v>1377.33</v>
      </c>
      <c r="I679">
        <v>0.17</v>
      </c>
      <c r="J679">
        <v>2286.37</v>
      </c>
      <c r="K679" t="s">
        <v>41</v>
      </c>
      <c r="L679" t="s">
        <v>34</v>
      </c>
      <c r="M679" t="s">
        <v>30</v>
      </c>
      <c r="N679" t="s">
        <v>22</v>
      </c>
      <c r="O679">
        <f>Table1[[#All],[Quantity]]*Table1[[#All],[Unit Price (?)]]</f>
        <v>2754.66</v>
      </c>
      <c r="P679" t="str">
        <f>TEXT(Table1[[#All],[Order Date]],"dddd")</f>
        <v>Friday</v>
      </c>
      <c r="Q679" t="str">
        <f>TEXT(Table1[[#All],[Order Date]],"mmm")</f>
        <v>Mar</v>
      </c>
      <c r="R679" t="str">
        <f>IF(Table1[[#All],[Total Price (?)]]&gt;1000,"High Value","Normal")</f>
        <v>High Value</v>
      </c>
    </row>
    <row r="680" spans="1:18" x14ac:dyDescent="0.3">
      <c r="A680" t="s">
        <v>741</v>
      </c>
      <c r="B680" s="1">
        <v>45727</v>
      </c>
      <c r="C680" t="s">
        <v>52</v>
      </c>
      <c r="D680" t="s">
        <v>43</v>
      </c>
      <c r="E680" t="s">
        <v>49</v>
      </c>
      <c r="F680" t="s">
        <v>53</v>
      </c>
      <c r="G680">
        <v>5</v>
      </c>
      <c r="H680">
        <v>1199.99</v>
      </c>
      <c r="I680">
        <v>0.24</v>
      </c>
      <c r="J680">
        <v>4559.96</v>
      </c>
      <c r="K680" t="s">
        <v>41</v>
      </c>
      <c r="L680" t="s">
        <v>34</v>
      </c>
      <c r="M680" t="s">
        <v>21</v>
      </c>
      <c r="N680" t="s">
        <v>37</v>
      </c>
      <c r="O680">
        <f>Table1[[#All],[Quantity]]*Table1[[#All],[Unit Price (?)]]</f>
        <v>5999.95</v>
      </c>
      <c r="P680" t="str">
        <f>TEXT(Table1[[#All],[Order Date]],"dddd")</f>
        <v>Tuesday</v>
      </c>
      <c r="Q680" t="str">
        <f>TEXT(Table1[[#All],[Order Date]],"mmm")</f>
        <v>Mar</v>
      </c>
      <c r="R680" t="str">
        <f>IF(Table1[[#All],[Total Price (?)]]&gt;1000,"High Value","Normal")</f>
        <v>High Value</v>
      </c>
    </row>
    <row r="681" spans="1:18" x14ac:dyDescent="0.3">
      <c r="A681" t="s">
        <v>742</v>
      </c>
      <c r="B681" s="1">
        <v>45801</v>
      </c>
      <c r="C681" t="s">
        <v>15</v>
      </c>
      <c r="D681" t="s">
        <v>16</v>
      </c>
      <c r="E681" t="s">
        <v>49</v>
      </c>
      <c r="F681" t="s">
        <v>73</v>
      </c>
      <c r="G681">
        <v>4</v>
      </c>
      <c r="H681">
        <v>3128.22</v>
      </c>
      <c r="I681">
        <v>0.15</v>
      </c>
      <c r="J681">
        <v>10635.95</v>
      </c>
      <c r="K681" t="s">
        <v>19</v>
      </c>
      <c r="L681" t="s">
        <v>20</v>
      </c>
      <c r="M681" t="s">
        <v>54</v>
      </c>
      <c r="N681" t="s">
        <v>59</v>
      </c>
      <c r="O681">
        <f>Table1[[#All],[Quantity]]*Table1[[#All],[Unit Price (?)]]</f>
        <v>12512.88</v>
      </c>
      <c r="P681" t="str">
        <f>TEXT(Table1[[#All],[Order Date]],"dddd")</f>
        <v>Saturday</v>
      </c>
      <c r="Q681" t="str">
        <f>TEXT(Table1[[#All],[Order Date]],"mmm")</f>
        <v>May</v>
      </c>
      <c r="R681" t="str">
        <f>IF(Table1[[#All],[Total Price (?)]]&gt;1000,"High Value","Normal")</f>
        <v>High Value</v>
      </c>
    </row>
    <row r="682" spans="1:18" x14ac:dyDescent="0.3">
      <c r="A682" t="s">
        <v>743</v>
      </c>
      <c r="B682" s="1">
        <v>45812</v>
      </c>
      <c r="C682" t="s">
        <v>24</v>
      </c>
      <c r="D682" t="s">
        <v>43</v>
      </c>
      <c r="E682" t="s">
        <v>61</v>
      </c>
      <c r="F682" t="s">
        <v>62</v>
      </c>
      <c r="G682">
        <v>4</v>
      </c>
      <c r="H682">
        <v>4153.5600000000004</v>
      </c>
      <c r="I682">
        <v>0.12</v>
      </c>
      <c r="J682">
        <v>14620.53</v>
      </c>
      <c r="K682" t="s">
        <v>33</v>
      </c>
      <c r="L682" t="s">
        <v>34</v>
      </c>
      <c r="M682" t="s">
        <v>54</v>
      </c>
      <c r="N682" t="s">
        <v>22</v>
      </c>
      <c r="O682">
        <f>Table1[[#All],[Quantity]]*Table1[[#All],[Unit Price (?)]]</f>
        <v>16614.240000000002</v>
      </c>
      <c r="P682" t="str">
        <f>TEXT(Table1[[#All],[Order Date]],"dddd")</f>
        <v>Wednesday</v>
      </c>
      <c r="Q682" t="str">
        <f>TEXT(Table1[[#All],[Order Date]],"mmm")</f>
        <v>Jun</v>
      </c>
      <c r="R682" t="str">
        <f>IF(Table1[[#All],[Total Price (?)]]&gt;1000,"High Value","Normal")</f>
        <v>High Value</v>
      </c>
    </row>
    <row r="683" spans="1:18" x14ac:dyDescent="0.3">
      <c r="A683" t="s">
        <v>744</v>
      </c>
      <c r="B683" s="1">
        <v>45720</v>
      </c>
      <c r="C683" t="s">
        <v>48</v>
      </c>
      <c r="D683" t="s">
        <v>43</v>
      </c>
      <c r="E683" t="s">
        <v>99</v>
      </c>
      <c r="F683" t="s">
        <v>111</v>
      </c>
      <c r="G683">
        <v>4</v>
      </c>
      <c r="H683">
        <v>4296.05</v>
      </c>
      <c r="I683">
        <v>0.15</v>
      </c>
      <c r="J683">
        <v>14606.57</v>
      </c>
      <c r="K683" t="s">
        <v>41</v>
      </c>
      <c r="L683" t="s">
        <v>20</v>
      </c>
      <c r="M683" t="s">
        <v>30</v>
      </c>
      <c r="N683" t="s">
        <v>22</v>
      </c>
      <c r="O683">
        <f>Table1[[#All],[Quantity]]*Table1[[#All],[Unit Price (?)]]</f>
        <v>17184.2</v>
      </c>
      <c r="P683" t="str">
        <f>TEXT(Table1[[#All],[Order Date]],"dddd")</f>
        <v>Tuesday</v>
      </c>
      <c r="Q683" t="str">
        <f>TEXT(Table1[[#All],[Order Date]],"mmm")</f>
        <v>Mar</v>
      </c>
      <c r="R683" t="str">
        <f>IF(Table1[[#All],[Total Price (?)]]&gt;1000,"High Value","Normal")</f>
        <v>High Value</v>
      </c>
    </row>
    <row r="684" spans="1:18" x14ac:dyDescent="0.3">
      <c r="A684" t="s">
        <v>745</v>
      </c>
      <c r="B684" s="1">
        <v>45744</v>
      </c>
      <c r="C684" t="s">
        <v>24</v>
      </c>
      <c r="D684" t="s">
        <v>25</v>
      </c>
      <c r="E684" t="s">
        <v>49</v>
      </c>
      <c r="F684" t="s">
        <v>73</v>
      </c>
      <c r="G684">
        <v>2</v>
      </c>
      <c r="H684">
        <v>3126.63</v>
      </c>
      <c r="I684">
        <v>0.23</v>
      </c>
      <c r="J684">
        <v>4815.01</v>
      </c>
      <c r="K684" t="s">
        <v>46</v>
      </c>
      <c r="L684" t="s">
        <v>34</v>
      </c>
      <c r="M684" t="s">
        <v>30</v>
      </c>
      <c r="N684" t="s">
        <v>22</v>
      </c>
      <c r="O684">
        <f>Table1[[#All],[Quantity]]*Table1[[#All],[Unit Price (?)]]</f>
        <v>6253.26</v>
      </c>
      <c r="P684" t="str">
        <f>TEXT(Table1[[#All],[Order Date]],"dddd")</f>
        <v>Friday</v>
      </c>
      <c r="Q684" t="str">
        <f>TEXT(Table1[[#All],[Order Date]],"mmm")</f>
        <v>Mar</v>
      </c>
      <c r="R684" t="str">
        <f>IF(Table1[[#All],[Total Price (?)]]&gt;1000,"High Value","Normal")</f>
        <v>High Value</v>
      </c>
    </row>
    <row r="685" spans="1:18" x14ac:dyDescent="0.3">
      <c r="A685" t="s">
        <v>746</v>
      </c>
      <c r="B685" s="1">
        <v>45777</v>
      </c>
      <c r="C685" t="s">
        <v>15</v>
      </c>
      <c r="D685" t="s">
        <v>39</v>
      </c>
      <c r="E685" t="s">
        <v>49</v>
      </c>
      <c r="F685" t="s">
        <v>73</v>
      </c>
      <c r="G685">
        <v>2</v>
      </c>
      <c r="H685">
        <v>3595.35</v>
      </c>
      <c r="I685">
        <v>0.18</v>
      </c>
      <c r="J685">
        <v>5896.37</v>
      </c>
      <c r="K685" t="s">
        <v>41</v>
      </c>
      <c r="L685" t="s">
        <v>29</v>
      </c>
      <c r="M685" t="s">
        <v>21</v>
      </c>
      <c r="N685" t="s">
        <v>22</v>
      </c>
      <c r="O685">
        <f>Table1[[#All],[Quantity]]*Table1[[#All],[Unit Price (?)]]</f>
        <v>7190.7</v>
      </c>
      <c r="P685" t="str">
        <f>TEXT(Table1[[#All],[Order Date]],"dddd")</f>
        <v>Wednesday</v>
      </c>
      <c r="Q685" t="str">
        <f>TEXT(Table1[[#All],[Order Date]],"mmm")</f>
        <v>Apr</v>
      </c>
      <c r="R685" t="str">
        <f>IF(Table1[[#All],[Total Price (?)]]&gt;1000,"High Value","Normal")</f>
        <v>High Value</v>
      </c>
    </row>
    <row r="686" spans="1:18" x14ac:dyDescent="0.3">
      <c r="A686" t="s">
        <v>747</v>
      </c>
      <c r="B686" s="1">
        <v>45759</v>
      </c>
      <c r="C686" t="s">
        <v>24</v>
      </c>
      <c r="D686" t="s">
        <v>16</v>
      </c>
      <c r="E686" t="s">
        <v>27</v>
      </c>
      <c r="F686" t="s">
        <v>79</v>
      </c>
      <c r="G686">
        <v>4</v>
      </c>
      <c r="H686">
        <v>4550.3100000000004</v>
      </c>
      <c r="I686">
        <v>0.25</v>
      </c>
      <c r="J686">
        <v>13650.93</v>
      </c>
      <c r="K686" t="s">
        <v>46</v>
      </c>
      <c r="L686" t="s">
        <v>20</v>
      </c>
      <c r="M686" t="s">
        <v>21</v>
      </c>
      <c r="N686" t="s">
        <v>22</v>
      </c>
      <c r="O686">
        <f>Table1[[#All],[Quantity]]*Table1[[#All],[Unit Price (?)]]</f>
        <v>18201.240000000002</v>
      </c>
      <c r="P686" t="str">
        <f>TEXT(Table1[[#All],[Order Date]],"dddd")</f>
        <v>Saturday</v>
      </c>
      <c r="Q686" t="str">
        <f>TEXT(Table1[[#All],[Order Date]],"mmm")</f>
        <v>Apr</v>
      </c>
      <c r="R686" t="str">
        <f>IF(Table1[[#All],[Total Price (?)]]&gt;1000,"High Value","Normal")</f>
        <v>High Value</v>
      </c>
    </row>
    <row r="687" spans="1:18" x14ac:dyDescent="0.3">
      <c r="A687" t="s">
        <v>748</v>
      </c>
      <c r="B687" s="1">
        <v>45682</v>
      </c>
      <c r="C687" t="s">
        <v>15</v>
      </c>
      <c r="D687" t="s">
        <v>43</v>
      </c>
      <c r="E687" t="s">
        <v>27</v>
      </c>
      <c r="F687" t="s">
        <v>87</v>
      </c>
      <c r="G687">
        <v>3</v>
      </c>
      <c r="H687">
        <v>747.97</v>
      </c>
      <c r="I687">
        <v>0.22</v>
      </c>
      <c r="J687">
        <v>1750.25</v>
      </c>
      <c r="K687" t="s">
        <v>41</v>
      </c>
      <c r="L687" t="s">
        <v>29</v>
      </c>
      <c r="M687" t="s">
        <v>54</v>
      </c>
      <c r="N687" t="s">
        <v>22</v>
      </c>
      <c r="O687">
        <f>Table1[[#All],[Quantity]]*Table1[[#All],[Unit Price (?)]]</f>
        <v>2243.91</v>
      </c>
      <c r="P687" t="str">
        <f>TEXT(Table1[[#All],[Order Date]],"dddd")</f>
        <v>Saturday</v>
      </c>
      <c r="Q687" t="str">
        <f>TEXT(Table1[[#All],[Order Date]],"mmm")</f>
        <v>Jan</v>
      </c>
      <c r="R687" t="str">
        <f>IF(Table1[[#All],[Total Price (?)]]&gt;1000,"High Value","Normal")</f>
        <v>High Value</v>
      </c>
    </row>
    <row r="688" spans="1:18" x14ac:dyDescent="0.3">
      <c r="A688" t="s">
        <v>749</v>
      </c>
      <c r="B688" s="1">
        <v>45734</v>
      </c>
      <c r="C688" t="s">
        <v>15</v>
      </c>
      <c r="D688" t="s">
        <v>39</v>
      </c>
      <c r="E688" t="s">
        <v>27</v>
      </c>
      <c r="F688" t="s">
        <v>87</v>
      </c>
      <c r="G688">
        <v>1</v>
      </c>
      <c r="H688">
        <v>1654.86</v>
      </c>
      <c r="I688">
        <v>0.13</v>
      </c>
      <c r="J688">
        <v>1439.73</v>
      </c>
      <c r="K688" t="s">
        <v>41</v>
      </c>
      <c r="L688" t="s">
        <v>20</v>
      </c>
      <c r="M688" t="s">
        <v>54</v>
      </c>
      <c r="N688" t="s">
        <v>22</v>
      </c>
      <c r="O688">
        <f>Table1[[#All],[Quantity]]*Table1[[#All],[Unit Price (?)]]</f>
        <v>1654.86</v>
      </c>
      <c r="P688" t="str">
        <f>TEXT(Table1[[#All],[Order Date]],"dddd")</f>
        <v>Tuesday</v>
      </c>
      <c r="Q688" t="str">
        <f>TEXT(Table1[[#All],[Order Date]],"mmm")</f>
        <v>Mar</v>
      </c>
      <c r="R688" t="str">
        <f>IF(Table1[[#All],[Total Price (?)]]&gt;1000,"High Value","Normal")</f>
        <v>High Value</v>
      </c>
    </row>
    <row r="689" spans="1:18" x14ac:dyDescent="0.3">
      <c r="A689" t="s">
        <v>750</v>
      </c>
      <c r="B689" s="1">
        <v>45834</v>
      </c>
      <c r="C689" t="s">
        <v>48</v>
      </c>
      <c r="D689" t="s">
        <v>39</v>
      </c>
      <c r="E689" t="s">
        <v>17</v>
      </c>
      <c r="F689" t="s">
        <v>44</v>
      </c>
      <c r="G689">
        <v>3</v>
      </c>
      <c r="H689">
        <v>4638.5600000000004</v>
      </c>
      <c r="I689">
        <v>7.0000000000000007E-2</v>
      </c>
      <c r="J689">
        <v>12941.58</v>
      </c>
      <c r="K689" t="s">
        <v>46</v>
      </c>
      <c r="L689" t="s">
        <v>29</v>
      </c>
      <c r="M689" t="s">
        <v>30</v>
      </c>
      <c r="N689" t="s">
        <v>22</v>
      </c>
      <c r="O689">
        <f>Table1[[#All],[Quantity]]*Table1[[#All],[Unit Price (?)]]</f>
        <v>13915.68</v>
      </c>
      <c r="P689" t="str">
        <f>TEXT(Table1[[#All],[Order Date]],"dddd")</f>
        <v>Thursday</v>
      </c>
      <c r="Q689" t="str">
        <f>TEXT(Table1[[#All],[Order Date]],"mmm")</f>
        <v>Jun</v>
      </c>
      <c r="R689" t="str">
        <f>IF(Table1[[#All],[Total Price (?)]]&gt;1000,"High Value","Normal")</f>
        <v>High Value</v>
      </c>
    </row>
    <row r="690" spans="1:18" x14ac:dyDescent="0.3">
      <c r="A690" t="s">
        <v>751</v>
      </c>
      <c r="B690" s="1">
        <v>45771</v>
      </c>
      <c r="C690" t="s">
        <v>15</v>
      </c>
      <c r="D690" t="s">
        <v>16</v>
      </c>
      <c r="E690" t="s">
        <v>49</v>
      </c>
      <c r="F690" t="s">
        <v>73</v>
      </c>
      <c r="G690">
        <v>5</v>
      </c>
      <c r="H690">
        <v>4279.8599999999997</v>
      </c>
      <c r="I690">
        <v>0.16</v>
      </c>
      <c r="J690">
        <v>17975.41</v>
      </c>
      <c r="K690" t="s">
        <v>41</v>
      </c>
      <c r="L690" t="s">
        <v>20</v>
      </c>
      <c r="M690" t="s">
        <v>30</v>
      </c>
      <c r="N690" t="s">
        <v>22</v>
      </c>
      <c r="O690">
        <f>Table1[[#All],[Quantity]]*Table1[[#All],[Unit Price (?)]]</f>
        <v>21399.3</v>
      </c>
      <c r="P690" t="str">
        <f>TEXT(Table1[[#All],[Order Date]],"dddd")</f>
        <v>Thursday</v>
      </c>
      <c r="Q690" t="str">
        <f>TEXT(Table1[[#All],[Order Date]],"mmm")</f>
        <v>Apr</v>
      </c>
      <c r="R690" t="str">
        <f>IF(Table1[[#All],[Total Price (?)]]&gt;1000,"High Value","Normal")</f>
        <v>High Value</v>
      </c>
    </row>
    <row r="691" spans="1:18" x14ac:dyDescent="0.3">
      <c r="A691" t="s">
        <v>752</v>
      </c>
      <c r="B691" s="1">
        <v>45696</v>
      </c>
      <c r="C691" t="s">
        <v>52</v>
      </c>
      <c r="D691" t="s">
        <v>25</v>
      </c>
      <c r="E691" t="s">
        <v>17</v>
      </c>
      <c r="F691" t="s">
        <v>44</v>
      </c>
      <c r="G691">
        <v>3</v>
      </c>
      <c r="H691">
        <v>901.42</v>
      </c>
      <c r="I691">
        <v>0.12</v>
      </c>
      <c r="J691">
        <v>2379.75</v>
      </c>
      <c r="K691" t="s">
        <v>58</v>
      </c>
      <c r="L691" t="s">
        <v>34</v>
      </c>
      <c r="M691" t="s">
        <v>54</v>
      </c>
      <c r="N691" t="s">
        <v>22</v>
      </c>
      <c r="O691">
        <f>Table1[[#All],[Quantity]]*Table1[[#All],[Unit Price (?)]]</f>
        <v>2704.2599999999998</v>
      </c>
      <c r="P691" t="str">
        <f>TEXT(Table1[[#All],[Order Date]],"dddd")</f>
        <v>Saturday</v>
      </c>
      <c r="Q691" t="str">
        <f>TEXT(Table1[[#All],[Order Date]],"mmm")</f>
        <v>Feb</v>
      </c>
      <c r="R691" t="str">
        <f>IF(Table1[[#All],[Total Price (?)]]&gt;1000,"High Value","Normal")</f>
        <v>High Value</v>
      </c>
    </row>
    <row r="692" spans="1:18" x14ac:dyDescent="0.3">
      <c r="A692" t="s">
        <v>753</v>
      </c>
      <c r="B692" s="1">
        <v>45709</v>
      </c>
      <c r="C692" t="s">
        <v>48</v>
      </c>
      <c r="D692" t="s">
        <v>43</v>
      </c>
      <c r="E692" t="s">
        <v>99</v>
      </c>
      <c r="F692" t="s">
        <v>115</v>
      </c>
      <c r="G692">
        <v>2</v>
      </c>
      <c r="H692">
        <v>705.91</v>
      </c>
      <c r="I692">
        <v>0.02</v>
      </c>
      <c r="J692">
        <v>1383.58</v>
      </c>
      <c r="K692" t="s">
        <v>41</v>
      </c>
      <c r="L692" t="s">
        <v>20</v>
      </c>
      <c r="M692" t="s">
        <v>30</v>
      </c>
      <c r="N692" t="s">
        <v>88</v>
      </c>
      <c r="O692">
        <f>Table1[[#All],[Quantity]]*Table1[[#All],[Unit Price (?)]]</f>
        <v>1411.82</v>
      </c>
      <c r="P692" t="str">
        <f>TEXT(Table1[[#All],[Order Date]],"dddd")</f>
        <v>Friday</v>
      </c>
      <c r="Q692" t="str">
        <f>TEXT(Table1[[#All],[Order Date]],"mmm")</f>
        <v>Feb</v>
      </c>
      <c r="R692" t="str">
        <f>IF(Table1[[#All],[Total Price (?)]]&gt;1000,"High Value","Normal")</f>
        <v>High Value</v>
      </c>
    </row>
    <row r="693" spans="1:18" x14ac:dyDescent="0.3">
      <c r="A693" t="s">
        <v>754</v>
      </c>
      <c r="B693" s="1">
        <v>45668</v>
      </c>
      <c r="C693" t="s">
        <v>36</v>
      </c>
      <c r="D693" t="s">
        <v>43</v>
      </c>
      <c r="E693" t="s">
        <v>27</v>
      </c>
      <c r="F693" t="s">
        <v>28</v>
      </c>
      <c r="G693">
        <v>5</v>
      </c>
      <c r="H693">
        <v>4990.22</v>
      </c>
      <c r="I693">
        <v>0</v>
      </c>
      <c r="J693">
        <v>24951.1</v>
      </c>
      <c r="K693" t="s">
        <v>33</v>
      </c>
      <c r="L693" t="s">
        <v>20</v>
      </c>
      <c r="M693" t="s">
        <v>21</v>
      </c>
      <c r="N693" t="s">
        <v>22</v>
      </c>
      <c r="O693">
        <f>Table1[[#All],[Quantity]]*Table1[[#All],[Unit Price (?)]]</f>
        <v>24951.100000000002</v>
      </c>
      <c r="P693" t="str">
        <f>TEXT(Table1[[#All],[Order Date]],"dddd")</f>
        <v>Saturday</v>
      </c>
      <c r="Q693" t="str">
        <f>TEXT(Table1[[#All],[Order Date]],"mmm")</f>
        <v>Jan</v>
      </c>
      <c r="R693" t="str">
        <f>IF(Table1[[#All],[Total Price (?)]]&gt;1000,"High Value","Normal")</f>
        <v>High Value</v>
      </c>
    </row>
    <row r="694" spans="1:18" x14ac:dyDescent="0.3">
      <c r="A694" t="s">
        <v>755</v>
      </c>
      <c r="B694" s="1">
        <v>45797</v>
      </c>
      <c r="C694" t="s">
        <v>48</v>
      </c>
      <c r="D694" t="s">
        <v>25</v>
      </c>
      <c r="E694" t="s">
        <v>17</v>
      </c>
      <c r="F694" t="s">
        <v>44</v>
      </c>
      <c r="G694">
        <v>1</v>
      </c>
      <c r="H694">
        <v>1492.98</v>
      </c>
      <c r="I694">
        <v>0.25</v>
      </c>
      <c r="J694">
        <v>1119.74</v>
      </c>
      <c r="K694" t="s">
        <v>58</v>
      </c>
      <c r="L694" t="s">
        <v>34</v>
      </c>
      <c r="M694" t="s">
        <v>54</v>
      </c>
      <c r="N694" t="s">
        <v>22</v>
      </c>
      <c r="O694">
        <f>Table1[[#All],[Quantity]]*Table1[[#All],[Unit Price (?)]]</f>
        <v>1492.98</v>
      </c>
      <c r="P694" t="str">
        <f>TEXT(Table1[[#All],[Order Date]],"dddd")</f>
        <v>Tuesday</v>
      </c>
      <c r="Q694" t="str">
        <f>TEXT(Table1[[#All],[Order Date]],"mmm")</f>
        <v>May</v>
      </c>
      <c r="R694" t="str">
        <f>IF(Table1[[#All],[Total Price (?)]]&gt;1000,"High Value","Normal")</f>
        <v>High Value</v>
      </c>
    </row>
    <row r="695" spans="1:18" x14ac:dyDescent="0.3">
      <c r="A695" t="s">
        <v>756</v>
      </c>
      <c r="B695" s="1">
        <v>45744</v>
      </c>
      <c r="C695" t="s">
        <v>52</v>
      </c>
      <c r="D695" t="s">
        <v>39</v>
      </c>
      <c r="E695" t="s">
        <v>17</v>
      </c>
      <c r="F695" t="s">
        <v>32</v>
      </c>
      <c r="G695">
        <v>4</v>
      </c>
      <c r="H695">
        <v>4170.43</v>
      </c>
      <c r="I695">
        <v>0.16</v>
      </c>
      <c r="J695">
        <v>14012.64</v>
      </c>
      <c r="K695" t="s">
        <v>58</v>
      </c>
      <c r="L695" t="s">
        <v>20</v>
      </c>
      <c r="M695" t="s">
        <v>30</v>
      </c>
      <c r="N695" t="s">
        <v>22</v>
      </c>
      <c r="O695">
        <f>Table1[[#All],[Quantity]]*Table1[[#All],[Unit Price (?)]]</f>
        <v>16681.72</v>
      </c>
      <c r="P695" t="str">
        <f>TEXT(Table1[[#All],[Order Date]],"dddd")</f>
        <v>Friday</v>
      </c>
      <c r="Q695" t="str">
        <f>TEXT(Table1[[#All],[Order Date]],"mmm")</f>
        <v>Mar</v>
      </c>
      <c r="R695" t="str">
        <f>IF(Table1[[#All],[Total Price (?)]]&gt;1000,"High Value","Normal")</f>
        <v>High Value</v>
      </c>
    </row>
    <row r="696" spans="1:18" x14ac:dyDescent="0.3">
      <c r="A696" t="s">
        <v>757</v>
      </c>
      <c r="B696" s="1">
        <v>45660</v>
      </c>
      <c r="C696" t="s">
        <v>24</v>
      </c>
      <c r="D696" t="s">
        <v>43</v>
      </c>
      <c r="E696" t="s">
        <v>17</v>
      </c>
      <c r="F696" t="s">
        <v>32</v>
      </c>
      <c r="G696">
        <v>3</v>
      </c>
      <c r="H696">
        <v>4742.3500000000004</v>
      </c>
      <c r="I696">
        <v>0.25</v>
      </c>
      <c r="J696">
        <v>10670.29</v>
      </c>
      <c r="K696" t="s">
        <v>33</v>
      </c>
      <c r="L696" t="s">
        <v>34</v>
      </c>
      <c r="M696" t="s">
        <v>21</v>
      </c>
      <c r="N696" t="s">
        <v>22</v>
      </c>
      <c r="O696">
        <f>Table1[[#All],[Quantity]]*Table1[[#All],[Unit Price (?)]]</f>
        <v>14227.050000000001</v>
      </c>
      <c r="P696" t="str">
        <f>TEXT(Table1[[#All],[Order Date]],"dddd")</f>
        <v>Friday</v>
      </c>
      <c r="Q696" t="str">
        <f>TEXT(Table1[[#All],[Order Date]],"mmm")</f>
        <v>Jan</v>
      </c>
      <c r="R696" t="str">
        <f>IF(Table1[[#All],[Total Price (?)]]&gt;1000,"High Value","Normal")</f>
        <v>High Value</v>
      </c>
    </row>
    <row r="697" spans="1:18" x14ac:dyDescent="0.3">
      <c r="A697" t="s">
        <v>758</v>
      </c>
      <c r="B697" s="1">
        <v>45760</v>
      </c>
      <c r="C697" t="s">
        <v>15</v>
      </c>
      <c r="D697" t="s">
        <v>25</v>
      </c>
      <c r="E697" t="s">
        <v>17</v>
      </c>
      <c r="F697" t="s">
        <v>32</v>
      </c>
      <c r="G697">
        <v>1</v>
      </c>
      <c r="H697">
        <v>2781.07</v>
      </c>
      <c r="I697">
        <v>0.15</v>
      </c>
      <c r="J697">
        <v>2363.91</v>
      </c>
      <c r="K697" t="s">
        <v>58</v>
      </c>
      <c r="L697" t="s">
        <v>29</v>
      </c>
      <c r="M697" t="s">
        <v>54</v>
      </c>
      <c r="N697" t="s">
        <v>22</v>
      </c>
      <c r="O697">
        <f>Table1[[#All],[Quantity]]*Table1[[#All],[Unit Price (?)]]</f>
        <v>2781.07</v>
      </c>
      <c r="P697" t="str">
        <f>TEXT(Table1[[#All],[Order Date]],"dddd")</f>
        <v>Sunday</v>
      </c>
      <c r="Q697" t="str">
        <f>TEXT(Table1[[#All],[Order Date]],"mmm")</f>
        <v>Apr</v>
      </c>
      <c r="R697" t="str">
        <f>IF(Table1[[#All],[Total Price (?)]]&gt;1000,"High Value","Normal")</f>
        <v>High Value</v>
      </c>
    </row>
    <row r="698" spans="1:18" x14ac:dyDescent="0.3">
      <c r="A698" t="s">
        <v>759</v>
      </c>
      <c r="B698" s="1">
        <v>45839</v>
      </c>
      <c r="C698" t="s">
        <v>24</v>
      </c>
      <c r="D698" t="s">
        <v>43</v>
      </c>
      <c r="E698" t="s">
        <v>61</v>
      </c>
      <c r="F698" t="s">
        <v>92</v>
      </c>
      <c r="G698">
        <v>2</v>
      </c>
      <c r="H698">
        <v>2003.66</v>
      </c>
      <c r="I698">
        <v>0.1</v>
      </c>
      <c r="J698">
        <v>3606.59</v>
      </c>
      <c r="K698" t="s">
        <v>58</v>
      </c>
      <c r="L698" t="s">
        <v>20</v>
      </c>
      <c r="M698" t="s">
        <v>21</v>
      </c>
      <c r="N698" t="s">
        <v>22</v>
      </c>
      <c r="O698">
        <f>Table1[[#All],[Quantity]]*Table1[[#All],[Unit Price (?)]]</f>
        <v>4007.32</v>
      </c>
      <c r="P698" t="str">
        <f>TEXT(Table1[[#All],[Order Date]],"dddd")</f>
        <v>Tuesday</v>
      </c>
      <c r="Q698" t="str">
        <f>TEXT(Table1[[#All],[Order Date]],"mmm")</f>
        <v>Jul</v>
      </c>
      <c r="R698" t="str">
        <f>IF(Table1[[#All],[Total Price (?)]]&gt;1000,"High Value","Normal")</f>
        <v>High Value</v>
      </c>
    </row>
    <row r="699" spans="1:18" x14ac:dyDescent="0.3">
      <c r="A699" t="s">
        <v>760</v>
      </c>
      <c r="B699" s="1">
        <v>45816</v>
      </c>
      <c r="C699" t="s">
        <v>15</v>
      </c>
      <c r="D699" t="s">
        <v>43</v>
      </c>
      <c r="E699" t="s">
        <v>49</v>
      </c>
      <c r="F699" t="s">
        <v>50</v>
      </c>
      <c r="G699">
        <v>3</v>
      </c>
      <c r="H699">
        <v>3361.05</v>
      </c>
      <c r="I699">
        <v>0.21</v>
      </c>
      <c r="J699">
        <v>7965.69</v>
      </c>
      <c r="K699" t="s">
        <v>33</v>
      </c>
      <c r="L699" t="s">
        <v>20</v>
      </c>
      <c r="M699" t="s">
        <v>21</v>
      </c>
      <c r="N699" t="s">
        <v>22</v>
      </c>
      <c r="O699">
        <f>Table1[[#All],[Quantity]]*Table1[[#All],[Unit Price (?)]]</f>
        <v>10083.150000000001</v>
      </c>
      <c r="P699" t="str">
        <f>TEXT(Table1[[#All],[Order Date]],"dddd")</f>
        <v>Sunday</v>
      </c>
      <c r="Q699" t="str">
        <f>TEXT(Table1[[#All],[Order Date]],"mmm")</f>
        <v>Jun</v>
      </c>
      <c r="R699" t="str">
        <f>IF(Table1[[#All],[Total Price (?)]]&gt;1000,"High Value","Normal")</f>
        <v>High Value</v>
      </c>
    </row>
    <row r="700" spans="1:18" x14ac:dyDescent="0.3">
      <c r="A700" t="s">
        <v>761</v>
      </c>
      <c r="B700" s="1">
        <v>45764</v>
      </c>
      <c r="C700" t="s">
        <v>15</v>
      </c>
      <c r="D700" t="s">
        <v>43</v>
      </c>
      <c r="E700" t="s">
        <v>49</v>
      </c>
      <c r="F700" t="s">
        <v>50</v>
      </c>
      <c r="G700">
        <v>4</v>
      </c>
      <c r="H700">
        <v>542.09</v>
      </c>
      <c r="I700">
        <v>0.11</v>
      </c>
      <c r="J700">
        <v>1929.84</v>
      </c>
      <c r="K700" t="s">
        <v>33</v>
      </c>
      <c r="L700" t="s">
        <v>29</v>
      </c>
      <c r="M700" t="s">
        <v>30</v>
      </c>
      <c r="N700" t="s">
        <v>22</v>
      </c>
      <c r="O700">
        <f>Table1[[#All],[Quantity]]*Table1[[#All],[Unit Price (?)]]</f>
        <v>2168.36</v>
      </c>
      <c r="P700" t="str">
        <f>TEXT(Table1[[#All],[Order Date]],"dddd")</f>
        <v>Thursday</v>
      </c>
      <c r="Q700" t="str">
        <f>TEXT(Table1[[#All],[Order Date]],"mmm")</f>
        <v>Apr</v>
      </c>
      <c r="R700" t="str">
        <f>IF(Table1[[#All],[Total Price (?)]]&gt;1000,"High Value","Normal")</f>
        <v>High Value</v>
      </c>
    </row>
    <row r="701" spans="1:18" x14ac:dyDescent="0.3">
      <c r="A701" t="s">
        <v>762</v>
      </c>
      <c r="B701" s="1">
        <v>45793</v>
      </c>
      <c r="C701" t="s">
        <v>24</v>
      </c>
      <c r="D701" t="s">
        <v>43</v>
      </c>
      <c r="E701" t="s">
        <v>49</v>
      </c>
      <c r="F701" t="s">
        <v>56</v>
      </c>
      <c r="G701">
        <v>4</v>
      </c>
      <c r="H701">
        <v>3414.56</v>
      </c>
      <c r="I701">
        <v>0.16</v>
      </c>
      <c r="J701">
        <v>11472.92</v>
      </c>
      <c r="K701" t="s">
        <v>33</v>
      </c>
      <c r="L701" t="s">
        <v>34</v>
      </c>
      <c r="M701" t="s">
        <v>21</v>
      </c>
      <c r="N701" t="s">
        <v>37</v>
      </c>
      <c r="O701">
        <f>Table1[[#All],[Quantity]]*Table1[[#All],[Unit Price (?)]]</f>
        <v>13658.24</v>
      </c>
      <c r="P701" t="str">
        <f>TEXT(Table1[[#All],[Order Date]],"dddd")</f>
        <v>Friday</v>
      </c>
      <c r="Q701" t="str">
        <f>TEXT(Table1[[#All],[Order Date]],"mmm")</f>
        <v>May</v>
      </c>
      <c r="R701" t="str">
        <f>IF(Table1[[#All],[Total Price (?)]]&gt;1000,"High Value","Normal")</f>
        <v>High Value</v>
      </c>
    </row>
    <row r="702" spans="1:18" x14ac:dyDescent="0.3">
      <c r="A702" t="s">
        <v>763</v>
      </c>
      <c r="B702" s="1">
        <v>45799</v>
      </c>
      <c r="C702" t="s">
        <v>15</v>
      </c>
      <c r="D702" t="s">
        <v>43</v>
      </c>
      <c r="E702" t="s">
        <v>27</v>
      </c>
      <c r="F702" t="s">
        <v>79</v>
      </c>
      <c r="G702">
        <v>1</v>
      </c>
      <c r="H702">
        <v>4545.32</v>
      </c>
      <c r="I702">
        <v>0.12</v>
      </c>
      <c r="J702">
        <v>3999.88</v>
      </c>
      <c r="K702" t="s">
        <v>41</v>
      </c>
      <c r="L702" t="s">
        <v>34</v>
      </c>
      <c r="M702" t="s">
        <v>54</v>
      </c>
      <c r="N702" t="s">
        <v>22</v>
      </c>
      <c r="O702">
        <f>Table1[[#All],[Quantity]]*Table1[[#All],[Unit Price (?)]]</f>
        <v>4545.32</v>
      </c>
      <c r="P702" t="str">
        <f>TEXT(Table1[[#All],[Order Date]],"dddd")</f>
        <v>Thursday</v>
      </c>
      <c r="Q702" t="str">
        <f>TEXT(Table1[[#All],[Order Date]],"mmm")</f>
        <v>May</v>
      </c>
      <c r="R702" t="str">
        <f>IF(Table1[[#All],[Total Price (?)]]&gt;1000,"High Value","Normal")</f>
        <v>High Value</v>
      </c>
    </row>
    <row r="703" spans="1:18" x14ac:dyDescent="0.3">
      <c r="A703" t="s">
        <v>764</v>
      </c>
      <c r="B703" s="1">
        <v>45842</v>
      </c>
      <c r="C703" t="s">
        <v>36</v>
      </c>
      <c r="D703" t="s">
        <v>16</v>
      </c>
      <c r="E703" t="s">
        <v>99</v>
      </c>
      <c r="F703" t="s">
        <v>100</v>
      </c>
      <c r="G703">
        <v>5</v>
      </c>
      <c r="H703">
        <v>333.87</v>
      </c>
      <c r="I703">
        <v>0.02</v>
      </c>
      <c r="J703">
        <v>1635.96</v>
      </c>
      <c r="K703" t="s">
        <v>41</v>
      </c>
      <c r="L703" t="s">
        <v>34</v>
      </c>
      <c r="M703" t="s">
        <v>54</v>
      </c>
      <c r="N703" t="s">
        <v>22</v>
      </c>
      <c r="O703">
        <f>Table1[[#All],[Quantity]]*Table1[[#All],[Unit Price (?)]]</f>
        <v>1669.35</v>
      </c>
      <c r="P703" t="str">
        <f>TEXT(Table1[[#All],[Order Date]],"dddd")</f>
        <v>Friday</v>
      </c>
      <c r="Q703" t="str">
        <f>TEXT(Table1[[#All],[Order Date]],"mmm")</f>
        <v>Jul</v>
      </c>
      <c r="R703" t="str">
        <f>IF(Table1[[#All],[Total Price (?)]]&gt;1000,"High Value","Normal")</f>
        <v>High Value</v>
      </c>
    </row>
    <row r="704" spans="1:18" x14ac:dyDescent="0.3">
      <c r="A704" t="s">
        <v>765</v>
      </c>
      <c r="B704" s="1">
        <v>45804</v>
      </c>
      <c r="C704" t="s">
        <v>48</v>
      </c>
      <c r="D704" t="s">
        <v>16</v>
      </c>
      <c r="E704" t="s">
        <v>49</v>
      </c>
      <c r="F704" t="s">
        <v>56</v>
      </c>
      <c r="G704">
        <v>3</v>
      </c>
      <c r="H704">
        <v>1348.82</v>
      </c>
      <c r="I704">
        <v>0.02</v>
      </c>
      <c r="J704">
        <v>3965.53</v>
      </c>
      <c r="K704" t="s">
        <v>33</v>
      </c>
      <c r="L704" t="s">
        <v>34</v>
      </c>
      <c r="M704" t="s">
        <v>21</v>
      </c>
      <c r="N704" t="s">
        <v>22</v>
      </c>
      <c r="O704">
        <f>Table1[[#All],[Quantity]]*Table1[[#All],[Unit Price (?)]]</f>
        <v>4046.46</v>
      </c>
      <c r="P704" t="str">
        <f>TEXT(Table1[[#All],[Order Date]],"dddd")</f>
        <v>Tuesday</v>
      </c>
      <c r="Q704" t="str">
        <f>TEXT(Table1[[#All],[Order Date]],"mmm")</f>
        <v>May</v>
      </c>
      <c r="R704" t="str">
        <f>IF(Table1[[#All],[Total Price (?)]]&gt;1000,"High Value","Normal")</f>
        <v>High Value</v>
      </c>
    </row>
    <row r="705" spans="1:18" x14ac:dyDescent="0.3">
      <c r="A705" t="s">
        <v>766</v>
      </c>
      <c r="B705" s="1">
        <v>45803</v>
      </c>
      <c r="C705" t="s">
        <v>52</v>
      </c>
      <c r="D705" t="s">
        <v>25</v>
      </c>
      <c r="E705" t="s">
        <v>49</v>
      </c>
      <c r="F705" t="s">
        <v>73</v>
      </c>
      <c r="G705">
        <v>1</v>
      </c>
      <c r="H705">
        <v>2139.63</v>
      </c>
      <c r="I705">
        <v>0.18</v>
      </c>
      <c r="J705">
        <v>1754.5</v>
      </c>
      <c r="K705" t="s">
        <v>41</v>
      </c>
      <c r="L705" t="s">
        <v>20</v>
      </c>
      <c r="M705" t="s">
        <v>30</v>
      </c>
      <c r="N705" t="s">
        <v>88</v>
      </c>
      <c r="O705">
        <f>Table1[[#All],[Quantity]]*Table1[[#All],[Unit Price (?)]]</f>
        <v>2139.63</v>
      </c>
      <c r="P705" t="str">
        <f>TEXT(Table1[[#All],[Order Date]],"dddd")</f>
        <v>Monday</v>
      </c>
      <c r="Q705" t="str">
        <f>TEXT(Table1[[#All],[Order Date]],"mmm")</f>
        <v>May</v>
      </c>
      <c r="R705" t="str">
        <f>IF(Table1[[#All],[Total Price (?)]]&gt;1000,"High Value","Normal")</f>
        <v>High Value</v>
      </c>
    </row>
    <row r="706" spans="1:18" x14ac:dyDescent="0.3">
      <c r="A706" t="s">
        <v>767</v>
      </c>
      <c r="B706" s="1">
        <v>45790</v>
      </c>
      <c r="C706" t="s">
        <v>15</v>
      </c>
      <c r="D706" t="s">
        <v>16</v>
      </c>
      <c r="E706" t="s">
        <v>49</v>
      </c>
      <c r="F706" t="s">
        <v>53</v>
      </c>
      <c r="G706">
        <v>2</v>
      </c>
      <c r="H706">
        <v>483.28</v>
      </c>
      <c r="I706">
        <v>0.25</v>
      </c>
      <c r="J706">
        <v>724.92</v>
      </c>
      <c r="K706" t="s">
        <v>19</v>
      </c>
      <c r="L706" t="s">
        <v>20</v>
      </c>
      <c r="M706" t="s">
        <v>30</v>
      </c>
      <c r="N706" t="s">
        <v>22</v>
      </c>
      <c r="O706">
        <f>Table1[[#All],[Quantity]]*Table1[[#All],[Unit Price (?)]]</f>
        <v>966.56</v>
      </c>
      <c r="P706" t="str">
        <f>TEXT(Table1[[#All],[Order Date]],"dddd")</f>
        <v>Tuesday</v>
      </c>
      <c r="Q706" t="str">
        <f>TEXT(Table1[[#All],[Order Date]],"mmm")</f>
        <v>May</v>
      </c>
      <c r="R706" t="str">
        <f>IF(Table1[[#All],[Total Price (?)]]&gt;1000,"High Value","Normal")</f>
        <v>Normal</v>
      </c>
    </row>
    <row r="707" spans="1:18" x14ac:dyDescent="0.3">
      <c r="A707" t="s">
        <v>768</v>
      </c>
      <c r="B707" s="1">
        <v>45698</v>
      </c>
      <c r="C707" t="s">
        <v>48</v>
      </c>
      <c r="D707" t="s">
        <v>25</v>
      </c>
      <c r="E707" t="s">
        <v>17</v>
      </c>
      <c r="F707" t="s">
        <v>18</v>
      </c>
      <c r="G707">
        <v>2</v>
      </c>
      <c r="H707">
        <v>3313.42</v>
      </c>
      <c r="I707">
        <v>0.12</v>
      </c>
      <c r="J707">
        <v>5831.62</v>
      </c>
      <c r="K707" t="s">
        <v>58</v>
      </c>
      <c r="L707" t="s">
        <v>20</v>
      </c>
      <c r="M707" t="s">
        <v>30</v>
      </c>
      <c r="N707" t="s">
        <v>22</v>
      </c>
      <c r="O707">
        <f>Table1[[#All],[Quantity]]*Table1[[#All],[Unit Price (?)]]</f>
        <v>6626.84</v>
      </c>
      <c r="P707" t="str">
        <f>TEXT(Table1[[#All],[Order Date]],"dddd")</f>
        <v>Monday</v>
      </c>
      <c r="Q707" t="str">
        <f>TEXT(Table1[[#All],[Order Date]],"mmm")</f>
        <v>Feb</v>
      </c>
      <c r="R707" t="str">
        <f>IF(Table1[[#All],[Total Price (?)]]&gt;1000,"High Value","Normal")</f>
        <v>High Value</v>
      </c>
    </row>
    <row r="708" spans="1:18" x14ac:dyDescent="0.3">
      <c r="A708" t="s">
        <v>769</v>
      </c>
      <c r="B708" s="1">
        <v>45730</v>
      </c>
      <c r="C708" t="s">
        <v>48</v>
      </c>
      <c r="D708" t="s">
        <v>43</v>
      </c>
      <c r="E708" t="s">
        <v>27</v>
      </c>
      <c r="F708" t="s">
        <v>28</v>
      </c>
      <c r="G708">
        <v>2</v>
      </c>
      <c r="H708">
        <v>762.06</v>
      </c>
      <c r="I708">
        <v>0.05</v>
      </c>
      <c r="J708">
        <v>1447.91</v>
      </c>
      <c r="K708" t="s">
        <v>46</v>
      </c>
      <c r="L708" t="s">
        <v>20</v>
      </c>
      <c r="M708" t="s">
        <v>54</v>
      </c>
      <c r="N708" t="s">
        <v>37</v>
      </c>
      <c r="O708">
        <f>Table1[[#All],[Quantity]]*Table1[[#All],[Unit Price (?)]]</f>
        <v>1524.12</v>
      </c>
      <c r="P708" t="str">
        <f>TEXT(Table1[[#All],[Order Date]],"dddd")</f>
        <v>Friday</v>
      </c>
      <c r="Q708" t="str">
        <f>TEXT(Table1[[#All],[Order Date]],"mmm")</f>
        <v>Mar</v>
      </c>
      <c r="R708" t="str">
        <f>IF(Table1[[#All],[Total Price (?)]]&gt;1000,"High Value","Normal")</f>
        <v>High Value</v>
      </c>
    </row>
    <row r="709" spans="1:18" x14ac:dyDescent="0.3">
      <c r="A709" t="s">
        <v>770</v>
      </c>
      <c r="B709" s="1">
        <v>45743</v>
      </c>
      <c r="C709" t="s">
        <v>52</v>
      </c>
      <c r="D709" t="s">
        <v>43</v>
      </c>
      <c r="E709" t="s">
        <v>61</v>
      </c>
      <c r="F709" t="s">
        <v>92</v>
      </c>
      <c r="G709">
        <v>5</v>
      </c>
      <c r="H709">
        <v>1035.48</v>
      </c>
      <c r="I709">
        <v>0.08</v>
      </c>
      <c r="J709">
        <v>4763.21</v>
      </c>
      <c r="K709" t="s">
        <v>19</v>
      </c>
      <c r="L709" t="s">
        <v>34</v>
      </c>
      <c r="M709" t="s">
        <v>30</v>
      </c>
      <c r="N709" t="s">
        <v>22</v>
      </c>
      <c r="O709">
        <f>Table1[[#All],[Quantity]]*Table1[[#All],[Unit Price (?)]]</f>
        <v>5177.3999999999996</v>
      </c>
      <c r="P709" t="str">
        <f>TEXT(Table1[[#All],[Order Date]],"dddd")</f>
        <v>Thursday</v>
      </c>
      <c r="Q709" t="str">
        <f>TEXT(Table1[[#All],[Order Date]],"mmm")</f>
        <v>Mar</v>
      </c>
      <c r="R709" t="str">
        <f>IF(Table1[[#All],[Total Price (?)]]&gt;1000,"High Value","Normal")</f>
        <v>High Value</v>
      </c>
    </row>
    <row r="710" spans="1:18" x14ac:dyDescent="0.3">
      <c r="A710" t="s">
        <v>771</v>
      </c>
      <c r="B710" s="1">
        <v>45673</v>
      </c>
      <c r="C710" t="s">
        <v>52</v>
      </c>
      <c r="D710" t="s">
        <v>43</v>
      </c>
      <c r="E710" t="s">
        <v>17</v>
      </c>
      <c r="F710" t="s">
        <v>18</v>
      </c>
      <c r="G710">
        <v>4</v>
      </c>
      <c r="H710">
        <v>4822.95</v>
      </c>
      <c r="I710">
        <v>0.12</v>
      </c>
      <c r="J710">
        <v>16976.78</v>
      </c>
      <c r="K710" t="s">
        <v>19</v>
      </c>
      <c r="L710" t="s">
        <v>29</v>
      </c>
      <c r="M710" t="s">
        <v>30</v>
      </c>
      <c r="N710" t="s">
        <v>22</v>
      </c>
      <c r="O710">
        <f>Table1[[#All],[Quantity]]*Table1[[#All],[Unit Price (?)]]</f>
        <v>19291.8</v>
      </c>
      <c r="P710" t="str">
        <f>TEXT(Table1[[#All],[Order Date]],"dddd")</f>
        <v>Thursday</v>
      </c>
      <c r="Q710" t="str">
        <f>TEXT(Table1[[#All],[Order Date]],"mmm")</f>
        <v>Jan</v>
      </c>
      <c r="R710" t="str">
        <f>IF(Table1[[#All],[Total Price (?)]]&gt;1000,"High Value","Normal")</f>
        <v>High Value</v>
      </c>
    </row>
    <row r="711" spans="1:18" x14ac:dyDescent="0.3">
      <c r="A711" t="s">
        <v>772</v>
      </c>
      <c r="B711" s="1">
        <v>45788</v>
      </c>
      <c r="C711" t="s">
        <v>24</v>
      </c>
      <c r="D711" t="s">
        <v>25</v>
      </c>
      <c r="E711" t="s">
        <v>27</v>
      </c>
      <c r="F711" t="s">
        <v>87</v>
      </c>
      <c r="G711">
        <v>1</v>
      </c>
      <c r="H711">
        <v>3189.01</v>
      </c>
      <c r="I711">
        <v>0.18</v>
      </c>
      <c r="J711">
        <v>2614.9899999999998</v>
      </c>
      <c r="K711" t="s">
        <v>46</v>
      </c>
      <c r="L711" t="s">
        <v>20</v>
      </c>
      <c r="M711" t="s">
        <v>30</v>
      </c>
      <c r="N711" t="s">
        <v>22</v>
      </c>
      <c r="O711">
        <f>Table1[[#All],[Quantity]]*Table1[[#All],[Unit Price (?)]]</f>
        <v>3189.01</v>
      </c>
      <c r="P711" t="str">
        <f>TEXT(Table1[[#All],[Order Date]],"dddd")</f>
        <v>Sunday</v>
      </c>
      <c r="Q711" t="str">
        <f>TEXT(Table1[[#All],[Order Date]],"mmm")</f>
        <v>May</v>
      </c>
      <c r="R711" t="str">
        <f>IF(Table1[[#All],[Total Price (?)]]&gt;1000,"High Value","Normal")</f>
        <v>High Value</v>
      </c>
    </row>
    <row r="712" spans="1:18" x14ac:dyDescent="0.3">
      <c r="A712" t="s">
        <v>773</v>
      </c>
      <c r="B712" s="1">
        <v>45838</v>
      </c>
      <c r="C712" t="s">
        <v>24</v>
      </c>
      <c r="D712" t="s">
        <v>25</v>
      </c>
      <c r="E712" t="s">
        <v>27</v>
      </c>
      <c r="F712" t="s">
        <v>28</v>
      </c>
      <c r="G712">
        <v>4</v>
      </c>
      <c r="H712">
        <v>2615.44</v>
      </c>
      <c r="I712">
        <v>0.18</v>
      </c>
      <c r="J712">
        <v>8578.64</v>
      </c>
      <c r="K712" t="s">
        <v>41</v>
      </c>
      <c r="L712" t="s">
        <v>34</v>
      </c>
      <c r="M712" t="s">
        <v>21</v>
      </c>
      <c r="N712" t="s">
        <v>22</v>
      </c>
      <c r="O712">
        <f>Table1[[#All],[Quantity]]*Table1[[#All],[Unit Price (?)]]</f>
        <v>10461.76</v>
      </c>
      <c r="P712" t="str">
        <f>TEXT(Table1[[#All],[Order Date]],"dddd")</f>
        <v>Monday</v>
      </c>
      <c r="Q712" t="str">
        <f>TEXT(Table1[[#All],[Order Date]],"mmm")</f>
        <v>Jun</v>
      </c>
      <c r="R712" t="str">
        <f>IF(Table1[[#All],[Total Price (?)]]&gt;1000,"High Value","Normal")</f>
        <v>High Value</v>
      </c>
    </row>
    <row r="713" spans="1:18" x14ac:dyDescent="0.3">
      <c r="A713" t="s">
        <v>774</v>
      </c>
      <c r="B713" s="1">
        <v>45724</v>
      </c>
      <c r="C713" t="s">
        <v>48</v>
      </c>
      <c r="D713" t="s">
        <v>25</v>
      </c>
      <c r="E713" t="s">
        <v>17</v>
      </c>
      <c r="F713" t="s">
        <v>18</v>
      </c>
      <c r="G713">
        <v>5</v>
      </c>
      <c r="H713">
        <v>411.2</v>
      </c>
      <c r="I713">
        <v>0.22</v>
      </c>
      <c r="J713">
        <v>1603.68</v>
      </c>
      <c r="K713" t="s">
        <v>33</v>
      </c>
      <c r="L713" t="s">
        <v>34</v>
      </c>
      <c r="M713" t="s">
        <v>30</v>
      </c>
      <c r="N713" t="s">
        <v>22</v>
      </c>
      <c r="O713">
        <f>Table1[[#All],[Quantity]]*Table1[[#All],[Unit Price (?)]]</f>
        <v>2056</v>
      </c>
      <c r="P713" t="str">
        <f>TEXT(Table1[[#All],[Order Date]],"dddd")</f>
        <v>Saturday</v>
      </c>
      <c r="Q713" t="str">
        <f>TEXT(Table1[[#All],[Order Date]],"mmm")</f>
        <v>Mar</v>
      </c>
      <c r="R713" t="str">
        <f>IF(Table1[[#All],[Total Price (?)]]&gt;1000,"High Value","Normal")</f>
        <v>High Value</v>
      </c>
    </row>
    <row r="714" spans="1:18" x14ac:dyDescent="0.3">
      <c r="A714" t="s">
        <v>775</v>
      </c>
      <c r="B714" s="1">
        <v>45781</v>
      </c>
      <c r="C714" t="s">
        <v>48</v>
      </c>
      <c r="D714" t="s">
        <v>25</v>
      </c>
      <c r="E714" t="s">
        <v>27</v>
      </c>
      <c r="F714" t="s">
        <v>28</v>
      </c>
      <c r="G714">
        <v>2</v>
      </c>
      <c r="H714">
        <v>1511.25</v>
      </c>
      <c r="I714">
        <v>0.05</v>
      </c>
      <c r="J714">
        <v>2871.38</v>
      </c>
      <c r="K714" t="s">
        <v>41</v>
      </c>
      <c r="L714" t="s">
        <v>20</v>
      </c>
      <c r="M714" t="s">
        <v>30</v>
      </c>
      <c r="N714" t="s">
        <v>22</v>
      </c>
      <c r="O714">
        <f>Table1[[#All],[Quantity]]*Table1[[#All],[Unit Price (?)]]</f>
        <v>3022.5</v>
      </c>
      <c r="P714" t="str">
        <f>TEXT(Table1[[#All],[Order Date]],"dddd")</f>
        <v>Sunday</v>
      </c>
      <c r="Q714" t="str">
        <f>TEXT(Table1[[#All],[Order Date]],"mmm")</f>
        <v>May</v>
      </c>
      <c r="R714" t="str">
        <f>IF(Table1[[#All],[Total Price (?)]]&gt;1000,"High Value","Normal")</f>
        <v>High Value</v>
      </c>
    </row>
    <row r="715" spans="1:18" x14ac:dyDescent="0.3">
      <c r="A715" t="s">
        <v>776</v>
      </c>
      <c r="B715" s="1">
        <v>45720</v>
      </c>
      <c r="C715" t="s">
        <v>36</v>
      </c>
      <c r="D715" t="s">
        <v>39</v>
      </c>
      <c r="E715" t="s">
        <v>61</v>
      </c>
      <c r="F715" t="s">
        <v>66</v>
      </c>
      <c r="G715">
        <v>3</v>
      </c>
      <c r="H715">
        <v>3642.68</v>
      </c>
      <c r="I715">
        <v>0.1</v>
      </c>
      <c r="J715">
        <v>9835.24</v>
      </c>
      <c r="K715" t="s">
        <v>41</v>
      </c>
      <c r="L715" t="s">
        <v>20</v>
      </c>
      <c r="M715" t="s">
        <v>30</v>
      </c>
      <c r="N715" t="s">
        <v>88</v>
      </c>
      <c r="O715">
        <f>Table1[[#All],[Quantity]]*Table1[[#All],[Unit Price (?)]]</f>
        <v>10928.039999999999</v>
      </c>
      <c r="P715" t="str">
        <f>TEXT(Table1[[#All],[Order Date]],"dddd")</f>
        <v>Tuesday</v>
      </c>
      <c r="Q715" t="str">
        <f>TEXT(Table1[[#All],[Order Date]],"mmm")</f>
        <v>Mar</v>
      </c>
      <c r="R715" t="str">
        <f>IF(Table1[[#All],[Total Price (?)]]&gt;1000,"High Value","Normal")</f>
        <v>High Value</v>
      </c>
    </row>
    <row r="716" spans="1:18" x14ac:dyDescent="0.3">
      <c r="A716" t="s">
        <v>777</v>
      </c>
      <c r="B716" s="1">
        <v>45788</v>
      </c>
      <c r="C716" t="s">
        <v>15</v>
      </c>
      <c r="D716" t="s">
        <v>25</v>
      </c>
      <c r="E716" t="s">
        <v>61</v>
      </c>
      <c r="F716" t="s">
        <v>75</v>
      </c>
      <c r="G716">
        <v>4</v>
      </c>
      <c r="H716">
        <v>732.57</v>
      </c>
      <c r="I716">
        <v>0.05</v>
      </c>
      <c r="J716">
        <v>2783.77</v>
      </c>
      <c r="K716" t="s">
        <v>58</v>
      </c>
      <c r="L716" t="s">
        <v>29</v>
      </c>
      <c r="M716" t="s">
        <v>21</v>
      </c>
      <c r="N716" t="s">
        <v>22</v>
      </c>
      <c r="O716">
        <f>Table1[[#All],[Quantity]]*Table1[[#All],[Unit Price (?)]]</f>
        <v>2930.28</v>
      </c>
      <c r="P716" t="str">
        <f>TEXT(Table1[[#All],[Order Date]],"dddd")</f>
        <v>Sunday</v>
      </c>
      <c r="Q716" t="str">
        <f>TEXT(Table1[[#All],[Order Date]],"mmm")</f>
        <v>May</v>
      </c>
      <c r="R716" t="str">
        <f>IF(Table1[[#All],[Total Price (?)]]&gt;1000,"High Value","Normal")</f>
        <v>High Value</v>
      </c>
    </row>
    <row r="717" spans="1:18" x14ac:dyDescent="0.3">
      <c r="A717" t="s">
        <v>778</v>
      </c>
      <c r="B717" s="1">
        <v>45824</v>
      </c>
      <c r="C717" t="s">
        <v>15</v>
      </c>
      <c r="D717" t="s">
        <v>39</v>
      </c>
      <c r="E717" t="s">
        <v>49</v>
      </c>
      <c r="F717" t="s">
        <v>50</v>
      </c>
      <c r="G717">
        <v>5</v>
      </c>
      <c r="H717">
        <v>330.54</v>
      </c>
      <c r="I717">
        <v>0</v>
      </c>
      <c r="J717">
        <v>1652.7</v>
      </c>
      <c r="K717" t="s">
        <v>19</v>
      </c>
      <c r="L717" t="s">
        <v>20</v>
      </c>
      <c r="M717" t="s">
        <v>30</v>
      </c>
      <c r="N717" t="s">
        <v>22</v>
      </c>
      <c r="O717">
        <f>Table1[[#All],[Quantity]]*Table1[[#All],[Unit Price (?)]]</f>
        <v>1652.7</v>
      </c>
      <c r="P717" t="str">
        <f>TEXT(Table1[[#All],[Order Date]],"dddd")</f>
        <v>Monday</v>
      </c>
      <c r="Q717" t="str">
        <f>TEXT(Table1[[#All],[Order Date]],"mmm")</f>
        <v>Jun</v>
      </c>
      <c r="R717" t="str">
        <f>IF(Table1[[#All],[Total Price (?)]]&gt;1000,"High Value","Normal")</f>
        <v>High Value</v>
      </c>
    </row>
    <row r="718" spans="1:18" x14ac:dyDescent="0.3">
      <c r="A718" t="s">
        <v>779</v>
      </c>
      <c r="B718" s="1">
        <v>45684</v>
      </c>
      <c r="C718" t="s">
        <v>24</v>
      </c>
      <c r="D718" t="s">
        <v>25</v>
      </c>
      <c r="E718" t="s">
        <v>61</v>
      </c>
      <c r="F718" t="s">
        <v>62</v>
      </c>
      <c r="G718">
        <v>1</v>
      </c>
      <c r="H718">
        <v>3126.06</v>
      </c>
      <c r="I718">
        <v>0.03</v>
      </c>
      <c r="J718">
        <v>3032.28</v>
      </c>
      <c r="K718" t="s">
        <v>46</v>
      </c>
      <c r="L718" t="s">
        <v>34</v>
      </c>
      <c r="M718" t="s">
        <v>54</v>
      </c>
      <c r="N718" t="s">
        <v>22</v>
      </c>
      <c r="O718">
        <f>Table1[[#All],[Quantity]]*Table1[[#All],[Unit Price (?)]]</f>
        <v>3126.06</v>
      </c>
      <c r="P718" t="str">
        <f>TEXT(Table1[[#All],[Order Date]],"dddd")</f>
        <v>Monday</v>
      </c>
      <c r="Q718" t="str">
        <f>TEXT(Table1[[#All],[Order Date]],"mmm")</f>
        <v>Jan</v>
      </c>
      <c r="R718" t="str">
        <f>IF(Table1[[#All],[Total Price (?)]]&gt;1000,"High Value","Normal")</f>
        <v>High Value</v>
      </c>
    </row>
    <row r="719" spans="1:18" x14ac:dyDescent="0.3">
      <c r="A719" t="s">
        <v>780</v>
      </c>
      <c r="B719" s="1">
        <v>45799</v>
      </c>
      <c r="C719" t="s">
        <v>24</v>
      </c>
      <c r="D719" t="s">
        <v>16</v>
      </c>
      <c r="E719" t="s">
        <v>99</v>
      </c>
      <c r="F719" t="s">
        <v>111</v>
      </c>
      <c r="G719">
        <v>2</v>
      </c>
      <c r="H719">
        <v>4281.7</v>
      </c>
      <c r="I719">
        <v>0.22</v>
      </c>
      <c r="J719">
        <v>6679.45</v>
      </c>
      <c r="K719" t="s">
        <v>33</v>
      </c>
      <c r="L719" t="s">
        <v>34</v>
      </c>
      <c r="M719" t="s">
        <v>21</v>
      </c>
      <c r="N719" t="s">
        <v>22</v>
      </c>
      <c r="O719">
        <f>Table1[[#All],[Quantity]]*Table1[[#All],[Unit Price (?)]]</f>
        <v>8563.4</v>
      </c>
      <c r="P719" t="str">
        <f>TEXT(Table1[[#All],[Order Date]],"dddd")</f>
        <v>Thursday</v>
      </c>
      <c r="Q719" t="str">
        <f>TEXT(Table1[[#All],[Order Date]],"mmm")</f>
        <v>May</v>
      </c>
      <c r="R719" t="str">
        <f>IF(Table1[[#All],[Total Price (?)]]&gt;1000,"High Value","Normal")</f>
        <v>High Value</v>
      </c>
    </row>
    <row r="720" spans="1:18" x14ac:dyDescent="0.3">
      <c r="A720" t="s">
        <v>781</v>
      </c>
      <c r="B720" s="1">
        <v>45834</v>
      </c>
      <c r="C720" t="s">
        <v>24</v>
      </c>
      <c r="D720" t="s">
        <v>16</v>
      </c>
      <c r="E720" t="s">
        <v>49</v>
      </c>
      <c r="F720" t="s">
        <v>50</v>
      </c>
      <c r="G720">
        <v>5</v>
      </c>
      <c r="H720">
        <v>3932.57</v>
      </c>
      <c r="I720">
        <v>0.24</v>
      </c>
      <c r="J720">
        <v>14943.77</v>
      </c>
      <c r="K720" t="s">
        <v>58</v>
      </c>
      <c r="L720" t="s">
        <v>29</v>
      </c>
      <c r="M720" t="s">
        <v>21</v>
      </c>
      <c r="N720" t="s">
        <v>22</v>
      </c>
      <c r="O720">
        <f>Table1[[#All],[Quantity]]*Table1[[#All],[Unit Price (?)]]</f>
        <v>19662.850000000002</v>
      </c>
      <c r="P720" t="str">
        <f>TEXT(Table1[[#All],[Order Date]],"dddd")</f>
        <v>Thursday</v>
      </c>
      <c r="Q720" t="str">
        <f>TEXT(Table1[[#All],[Order Date]],"mmm")</f>
        <v>Jun</v>
      </c>
      <c r="R720" t="str">
        <f>IF(Table1[[#All],[Total Price (?)]]&gt;1000,"High Value","Normal")</f>
        <v>High Value</v>
      </c>
    </row>
    <row r="721" spans="1:18" x14ac:dyDescent="0.3">
      <c r="A721" t="s">
        <v>782</v>
      </c>
      <c r="B721" s="1">
        <v>45718</v>
      </c>
      <c r="C721" t="s">
        <v>52</v>
      </c>
      <c r="D721" t="s">
        <v>16</v>
      </c>
      <c r="E721" t="s">
        <v>61</v>
      </c>
      <c r="F721" t="s">
        <v>62</v>
      </c>
      <c r="G721">
        <v>3</v>
      </c>
      <c r="H721">
        <v>3570</v>
      </c>
      <c r="I721">
        <v>0.19</v>
      </c>
      <c r="J721">
        <v>8675.1</v>
      </c>
      <c r="K721" t="s">
        <v>46</v>
      </c>
      <c r="L721" t="s">
        <v>20</v>
      </c>
      <c r="M721" t="s">
        <v>30</v>
      </c>
      <c r="N721" t="s">
        <v>22</v>
      </c>
      <c r="O721">
        <f>Table1[[#All],[Quantity]]*Table1[[#All],[Unit Price (?)]]</f>
        <v>10710</v>
      </c>
      <c r="P721" t="str">
        <f>TEXT(Table1[[#All],[Order Date]],"dddd")</f>
        <v>Sunday</v>
      </c>
      <c r="Q721" t="str">
        <f>TEXT(Table1[[#All],[Order Date]],"mmm")</f>
        <v>Mar</v>
      </c>
      <c r="R721" t="str">
        <f>IF(Table1[[#All],[Total Price (?)]]&gt;1000,"High Value","Normal")</f>
        <v>High Value</v>
      </c>
    </row>
    <row r="722" spans="1:18" x14ac:dyDescent="0.3">
      <c r="A722" t="s">
        <v>783</v>
      </c>
      <c r="B722" s="1">
        <v>45758</v>
      </c>
      <c r="C722" t="s">
        <v>52</v>
      </c>
      <c r="D722" t="s">
        <v>43</v>
      </c>
      <c r="E722" t="s">
        <v>99</v>
      </c>
      <c r="F722" t="s">
        <v>111</v>
      </c>
      <c r="G722">
        <v>4</v>
      </c>
      <c r="H722">
        <v>4851.22</v>
      </c>
      <c r="I722">
        <v>0.19</v>
      </c>
      <c r="J722">
        <v>15717.95</v>
      </c>
      <c r="K722" t="s">
        <v>58</v>
      </c>
      <c r="L722" t="s">
        <v>20</v>
      </c>
      <c r="M722" t="s">
        <v>54</v>
      </c>
      <c r="N722" t="s">
        <v>88</v>
      </c>
      <c r="O722">
        <f>Table1[[#All],[Quantity]]*Table1[[#All],[Unit Price (?)]]</f>
        <v>19404.88</v>
      </c>
      <c r="P722" t="str">
        <f>TEXT(Table1[[#All],[Order Date]],"dddd")</f>
        <v>Friday</v>
      </c>
      <c r="Q722" t="str">
        <f>TEXT(Table1[[#All],[Order Date]],"mmm")</f>
        <v>Apr</v>
      </c>
      <c r="R722" t="str">
        <f>IF(Table1[[#All],[Total Price (?)]]&gt;1000,"High Value","Normal")</f>
        <v>High Value</v>
      </c>
    </row>
    <row r="723" spans="1:18" x14ac:dyDescent="0.3">
      <c r="A723" t="s">
        <v>784</v>
      </c>
      <c r="B723" s="1">
        <v>45720</v>
      </c>
      <c r="C723" t="s">
        <v>15</v>
      </c>
      <c r="D723" t="s">
        <v>39</v>
      </c>
      <c r="E723" t="s">
        <v>49</v>
      </c>
      <c r="F723" t="s">
        <v>53</v>
      </c>
      <c r="G723">
        <v>1</v>
      </c>
      <c r="H723">
        <v>1403.48</v>
      </c>
      <c r="I723">
        <v>0.18</v>
      </c>
      <c r="J723">
        <v>1150.8499999999999</v>
      </c>
      <c r="K723" t="s">
        <v>33</v>
      </c>
      <c r="L723" t="s">
        <v>20</v>
      </c>
      <c r="M723" t="s">
        <v>30</v>
      </c>
      <c r="N723" t="s">
        <v>22</v>
      </c>
      <c r="O723">
        <f>Table1[[#All],[Quantity]]*Table1[[#All],[Unit Price (?)]]</f>
        <v>1403.48</v>
      </c>
      <c r="P723" t="str">
        <f>TEXT(Table1[[#All],[Order Date]],"dddd")</f>
        <v>Tuesday</v>
      </c>
      <c r="Q723" t="str">
        <f>TEXT(Table1[[#All],[Order Date]],"mmm")</f>
        <v>Mar</v>
      </c>
      <c r="R723" t="str">
        <f>IF(Table1[[#All],[Total Price (?)]]&gt;1000,"High Value","Normal")</f>
        <v>High Value</v>
      </c>
    </row>
    <row r="724" spans="1:18" x14ac:dyDescent="0.3">
      <c r="A724" t="s">
        <v>785</v>
      </c>
      <c r="B724" s="1">
        <v>45789</v>
      </c>
      <c r="C724" t="s">
        <v>36</v>
      </c>
      <c r="D724" t="s">
        <v>25</v>
      </c>
      <c r="E724" t="s">
        <v>61</v>
      </c>
      <c r="F724" t="s">
        <v>75</v>
      </c>
      <c r="G724">
        <v>2</v>
      </c>
      <c r="H724">
        <v>4028.67</v>
      </c>
      <c r="I724">
        <v>0.1</v>
      </c>
      <c r="J724">
        <v>7251.61</v>
      </c>
      <c r="K724" t="s">
        <v>41</v>
      </c>
      <c r="L724" t="s">
        <v>20</v>
      </c>
      <c r="M724" t="s">
        <v>30</v>
      </c>
      <c r="N724" t="s">
        <v>59</v>
      </c>
      <c r="O724">
        <f>Table1[[#All],[Quantity]]*Table1[[#All],[Unit Price (?)]]</f>
        <v>8057.34</v>
      </c>
      <c r="P724" t="str">
        <f>TEXT(Table1[[#All],[Order Date]],"dddd")</f>
        <v>Monday</v>
      </c>
      <c r="Q724" t="str">
        <f>TEXT(Table1[[#All],[Order Date]],"mmm")</f>
        <v>May</v>
      </c>
      <c r="R724" t="str">
        <f>IF(Table1[[#All],[Total Price (?)]]&gt;1000,"High Value","Normal")</f>
        <v>High Value</v>
      </c>
    </row>
    <row r="725" spans="1:18" x14ac:dyDescent="0.3">
      <c r="A725" t="s">
        <v>786</v>
      </c>
      <c r="B725" s="1">
        <v>45739</v>
      </c>
      <c r="C725" t="s">
        <v>24</v>
      </c>
      <c r="D725" t="s">
        <v>16</v>
      </c>
      <c r="E725" t="s">
        <v>27</v>
      </c>
      <c r="F725" t="s">
        <v>28</v>
      </c>
      <c r="G725">
        <v>1</v>
      </c>
      <c r="H725">
        <v>3616.37</v>
      </c>
      <c r="I725">
        <v>0.13</v>
      </c>
      <c r="J725">
        <v>3146.24</v>
      </c>
      <c r="K725" t="s">
        <v>41</v>
      </c>
      <c r="L725" t="s">
        <v>20</v>
      </c>
      <c r="M725" t="s">
        <v>54</v>
      </c>
      <c r="N725" t="s">
        <v>22</v>
      </c>
      <c r="O725">
        <f>Table1[[#All],[Quantity]]*Table1[[#All],[Unit Price (?)]]</f>
        <v>3616.37</v>
      </c>
      <c r="P725" t="str">
        <f>TEXT(Table1[[#All],[Order Date]],"dddd")</f>
        <v>Sunday</v>
      </c>
      <c r="Q725" t="str">
        <f>TEXT(Table1[[#All],[Order Date]],"mmm")</f>
        <v>Mar</v>
      </c>
      <c r="R725" t="str">
        <f>IF(Table1[[#All],[Total Price (?)]]&gt;1000,"High Value","Normal")</f>
        <v>High Value</v>
      </c>
    </row>
    <row r="726" spans="1:18" x14ac:dyDescent="0.3">
      <c r="A726" t="s">
        <v>787</v>
      </c>
      <c r="B726" s="1">
        <v>45723</v>
      </c>
      <c r="C726" t="s">
        <v>48</v>
      </c>
      <c r="D726" t="s">
        <v>16</v>
      </c>
      <c r="E726" t="s">
        <v>49</v>
      </c>
      <c r="F726" t="s">
        <v>73</v>
      </c>
      <c r="G726">
        <v>1</v>
      </c>
      <c r="H726">
        <v>3334.86</v>
      </c>
      <c r="I726">
        <v>0.16</v>
      </c>
      <c r="J726">
        <v>2801.28</v>
      </c>
      <c r="K726" t="s">
        <v>58</v>
      </c>
      <c r="L726" t="s">
        <v>34</v>
      </c>
      <c r="M726" t="s">
        <v>21</v>
      </c>
      <c r="N726" t="s">
        <v>59</v>
      </c>
      <c r="O726">
        <f>Table1[[#All],[Quantity]]*Table1[[#All],[Unit Price (?)]]</f>
        <v>3334.86</v>
      </c>
      <c r="P726" t="str">
        <f>TEXT(Table1[[#All],[Order Date]],"dddd")</f>
        <v>Friday</v>
      </c>
      <c r="Q726" t="str">
        <f>TEXT(Table1[[#All],[Order Date]],"mmm")</f>
        <v>Mar</v>
      </c>
      <c r="R726" t="str">
        <f>IF(Table1[[#All],[Total Price (?)]]&gt;1000,"High Value","Normal")</f>
        <v>High Value</v>
      </c>
    </row>
    <row r="727" spans="1:18" x14ac:dyDescent="0.3">
      <c r="A727" t="s">
        <v>788</v>
      </c>
      <c r="B727" s="1">
        <v>45738</v>
      </c>
      <c r="C727" t="s">
        <v>48</v>
      </c>
      <c r="D727" t="s">
        <v>39</v>
      </c>
      <c r="E727" t="s">
        <v>27</v>
      </c>
      <c r="F727" t="s">
        <v>28</v>
      </c>
      <c r="G727">
        <v>5</v>
      </c>
      <c r="H727">
        <v>4380.38</v>
      </c>
      <c r="I727">
        <v>0.18</v>
      </c>
      <c r="J727">
        <v>17959.560000000001</v>
      </c>
      <c r="K727" t="s">
        <v>41</v>
      </c>
      <c r="L727" t="s">
        <v>29</v>
      </c>
      <c r="M727" t="s">
        <v>30</v>
      </c>
      <c r="N727" t="s">
        <v>22</v>
      </c>
      <c r="O727">
        <f>Table1[[#All],[Quantity]]*Table1[[#All],[Unit Price (?)]]</f>
        <v>21901.9</v>
      </c>
      <c r="P727" t="str">
        <f>TEXT(Table1[[#All],[Order Date]],"dddd")</f>
        <v>Saturday</v>
      </c>
      <c r="Q727" t="str">
        <f>TEXT(Table1[[#All],[Order Date]],"mmm")</f>
        <v>Mar</v>
      </c>
      <c r="R727" t="str">
        <f>IF(Table1[[#All],[Total Price (?)]]&gt;1000,"High Value","Normal")</f>
        <v>High Value</v>
      </c>
    </row>
    <row r="728" spans="1:18" x14ac:dyDescent="0.3">
      <c r="A728" t="s">
        <v>789</v>
      </c>
      <c r="B728" s="1">
        <v>45795</v>
      </c>
      <c r="C728" t="s">
        <v>48</v>
      </c>
      <c r="D728" t="s">
        <v>25</v>
      </c>
      <c r="E728" t="s">
        <v>99</v>
      </c>
      <c r="F728" t="s">
        <v>100</v>
      </c>
      <c r="G728">
        <v>2</v>
      </c>
      <c r="H728">
        <v>4449.1400000000003</v>
      </c>
      <c r="I728">
        <v>0.16</v>
      </c>
      <c r="J728">
        <v>7474.56</v>
      </c>
      <c r="K728" t="s">
        <v>41</v>
      </c>
      <c r="L728" t="s">
        <v>29</v>
      </c>
      <c r="M728" t="s">
        <v>21</v>
      </c>
      <c r="N728" t="s">
        <v>22</v>
      </c>
      <c r="O728">
        <f>Table1[[#All],[Quantity]]*Table1[[#All],[Unit Price (?)]]</f>
        <v>8898.2800000000007</v>
      </c>
      <c r="P728" t="str">
        <f>TEXT(Table1[[#All],[Order Date]],"dddd")</f>
        <v>Sunday</v>
      </c>
      <c r="Q728" t="str">
        <f>TEXT(Table1[[#All],[Order Date]],"mmm")</f>
        <v>May</v>
      </c>
      <c r="R728" t="str">
        <f>IF(Table1[[#All],[Total Price (?)]]&gt;1000,"High Value","Normal")</f>
        <v>High Value</v>
      </c>
    </row>
    <row r="729" spans="1:18" x14ac:dyDescent="0.3">
      <c r="A729" t="s">
        <v>790</v>
      </c>
      <c r="B729" s="1">
        <v>45717</v>
      </c>
      <c r="C729" t="s">
        <v>15</v>
      </c>
      <c r="D729" t="s">
        <v>43</v>
      </c>
      <c r="E729" t="s">
        <v>49</v>
      </c>
      <c r="F729" t="s">
        <v>73</v>
      </c>
      <c r="G729">
        <v>5</v>
      </c>
      <c r="H729">
        <v>1739.02</v>
      </c>
      <c r="I729">
        <v>0.18</v>
      </c>
      <c r="J729">
        <v>7129.98</v>
      </c>
      <c r="K729" t="s">
        <v>58</v>
      </c>
      <c r="L729" t="s">
        <v>20</v>
      </c>
      <c r="M729" t="s">
        <v>21</v>
      </c>
      <c r="N729" t="s">
        <v>22</v>
      </c>
      <c r="O729">
        <f>Table1[[#All],[Quantity]]*Table1[[#All],[Unit Price (?)]]</f>
        <v>8695.1</v>
      </c>
      <c r="P729" t="str">
        <f>TEXT(Table1[[#All],[Order Date]],"dddd")</f>
        <v>Saturday</v>
      </c>
      <c r="Q729" t="str">
        <f>TEXT(Table1[[#All],[Order Date]],"mmm")</f>
        <v>Mar</v>
      </c>
      <c r="R729" t="str">
        <f>IF(Table1[[#All],[Total Price (?)]]&gt;1000,"High Value","Normal")</f>
        <v>High Value</v>
      </c>
    </row>
    <row r="730" spans="1:18" x14ac:dyDescent="0.3">
      <c r="A730" t="s">
        <v>791</v>
      </c>
      <c r="B730" s="1">
        <v>45767</v>
      </c>
      <c r="C730" t="s">
        <v>52</v>
      </c>
      <c r="D730" t="s">
        <v>43</v>
      </c>
      <c r="E730" t="s">
        <v>27</v>
      </c>
      <c r="F730" t="s">
        <v>28</v>
      </c>
      <c r="G730">
        <v>5</v>
      </c>
      <c r="H730">
        <v>1630.04</v>
      </c>
      <c r="I730">
        <v>0.09</v>
      </c>
      <c r="J730">
        <v>7416.68</v>
      </c>
      <c r="K730" t="s">
        <v>58</v>
      </c>
      <c r="L730" t="s">
        <v>29</v>
      </c>
      <c r="M730" t="s">
        <v>21</v>
      </c>
      <c r="N730" t="s">
        <v>22</v>
      </c>
      <c r="O730">
        <f>Table1[[#All],[Quantity]]*Table1[[#All],[Unit Price (?)]]</f>
        <v>8150.2</v>
      </c>
      <c r="P730" t="str">
        <f>TEXT(Table1[[#All],[Order Date]],"dddd")</f>
        <v>Sunday</v>
      </c>
      <c r="Q730" t="str">
        <f>TEXT(Table1[[#All],[Order Date]],"mmm")</f>
        <v>Apr</v>
      </c>
      <c r="R730" t="str">
        <f>IF(Table1[[#All],[Total Price (?)]]&gt;1000,"High Value","Normal")</f>
        <v>High Value</v>
      </c>
    </row>
    <row r="731" spans="1:18" x14ac:dyDescent="0.3">
      <c r="A731" t="s">
        <v>792</v>
      </c>
      <c r="B731" s="1">
        <v>45684</v>
      </c>
      <c r="C731" t="s">
        <v>52</v>
      </c>
      <c r="D731" t="s">
        <v>39</v>
      </c>
      <c r="E731" t="s">
        <v>27</v>
      </c>
      <c r="F731" t="s">
        <v>28</v>
      </c>
      <c r="G731">
        <v>4</v>
      </c>
      <c r="H731">
        <v>4936.08</v>
      </c>
      <c r="I731">
        <v>0.03</v>
      </c>
      <c r="J731">
        <v>19151.990000000002</v>
      </c>
      <c r="K731" t="s">
        <v>46</v>
      </c>
      <c r="L731" t="s">
        <v>29</v>
      </c>
      <c r="M731" t="s">
        <v>54</v>
      </c>
      <c r="N731" t="s">
        <v>22</v>
      </c>
      <c r="O731">
        <f>Table1[[#All],[Quantity]]*Table1[[#All],[Unit Price (?)]]</f>
        <v>19744.32</v>
      </c>
      <c r="P731" t="str">
        <f>TEXT(Table1[[#All],[Order Date]],"dddd")</f>
        <v>Monday</v>
      </c>
      <c r="Q731" t="str">
        <f>TEXT(Table1[[#All],[Order Date]],"mmm")</f>
        <v>Jan</v>
      </c>
      <c r="R731" t="str">
        <f>IF(Table1[[#All],[Total Price (?)]]&gt;1000,"High Value","Normal")</f>
        <v>High Value</v>
      </c>
    </row>
    <row r="732" spans="1:18" x14ac:dyDescent="0.3">
      <c r="A732" t="s">
        <v>793</v>
      </c>
      <c r="B732" s="1">
        <v>45697</v>
      </c>
      <c r="C732" t="s">
        <v>24</v>
      </c>
      <c r="D732" t="s">
        <v>25</v>
      </c>
      <c r="E732" t="s">
        <v>27</v>
      </c>
      <c r="F732" t="s">
        <v>28</v>
      </c>
      <c r="G732">
        <v>1</v>
      </c>
      <c r="H732">
        <v>2298.81</v>
      </c>
      <c r="I732">
        <v>0.14000000000000001</v>
      </c>
      <c r="J732">
        <v>1976.98</v>
      </c>
      <c r="K732" t="s">
        <v>58</v>
      </c>
      <c r="L732" t="s">
        <v>29</v>
      </c>
      <c r="M732" t="s">
        <v>54</v>
      </c>
      <c r="N732" t="s">
        <v>22</v>
      </c>
      <c r="O732">
        <f>Table1[[#All],[Quantity]]*Table1[[#All],[Unit Price (?)]]</f>
        <v>2298.81</v>
      </c>
      <c r="P732" t="str">
        <f>TEXT(Table1[[#All],[Order Date]],"dddd")</f>
        <v>Sunday</v>
      </c>
      <c r="Q732" t="str">
        <f>TEXT(Table1[[#All],[Order Date]],"mmm")</f>
        <v>Feb</v>
      </c>
      <c r="R732" t="str">
        <f>IF(Table1[[#All],[Total Price (?)]]&gt;1000,"High Value","Normal")</f>
        <v>High Value</v>
      </c>
    </row>
    <row r="733" spans="1:18" x14ac:dyDescent="0.3">
      <c r="A733" t="s">
        <v>794</v>
      </c>
      <c r="B733" s="1">
        <v>45741</v>
      </c>
      <c r="C733" t="s">
        <v>15</v>
      </c>
      <c r="D733" t="s">
        <v>43</v>
      </c>
      <c r="E733" t="s">
        <v>61</v>
      </c>
      <c r="F733" t="s">
        <v>75</v>
      </c>
      <c r="G733">
        <v>5</v>
      </c>
      <c r="H733">
        <v>3394.93</v>
      </c>
      <c r="I733">
        <v>0.18</v>
      </c>
      <c r="J733">
        <v>13919.21</v>
      </c>
      <c r="K733" t="s">
        <v>46</v>
      </c>
      <c r="L733" t="s">
        <v>34</v>
      </c>
      <c r="M733" t="s">
        <v>21</v>
      </c>
      <c r="N733" t="s">
        <v>22</v>
      </c>
      <c r="O733">
        <f>Table1[[#All],[Quantity]]*Table1[[#All],[Unit Price (?)]]</f>
        <v>16974.649999999998</v>
      </c>
      <c r="P733" t="str">
        <f>TEXT(Table1[[#All],[Order Date]],"dddd")</f>
        <v>Tuesday</v>
      </c>
      <c r="Q733" t="str">
        <f>TEXT(Table1[[#All],[Order Date]],"mmm")</f>
        <v>Mar</v>
      </c>
      <c r="R733" t="str">
        <f>IF(Table1[[#All],[Total Price (?)]]&gt;1000,"High Value","Normal")</f>
        <v>High Value</v>
      </c>
    </row>
    <row r="734" spans="1:18" x14ac:dyDescent="0.3">
      <c r="A734" t="s">
        <v>795</v>
      </c>
      <c r="B734" s="1">
        <v>45789</v>
      </c>
      <c r="C734" t="s">
        <v>15</v>
      </c>
      <c r="D734" t="s">
        <v>16</v>
      </c>
      <c r="E734" t="s">
        <v>27</v>
      </c>
      <c r="F734" t="s">
        <v>68</v>
      </c>
      <c r="G734">
        <v>2</v>
      </c>
      <c r="H734">
        <v>3587.04</v>
      </c>
      <c r="I734">
        <v>0.21</v>
      </c>
      <c r="J734">
        <v>5667.52</v>
      </c>
      <c r="K734" t="s">
        <v>41</v>
      </c>
      <c r="L734" t="s">
        <v>20</v>
      </c>
      <c r="M734" t="s">
        <v>54</v>
      </c>
      <c r="N734" t="s">
        <v>22</v>
      </c>
      <c r="O734">
        <f>Table1[[#All],[Quantity]]*Table1[[#All],[Unit Price (?)]]</f>
        <v>7174.08</v>
      </c>
      <c r="P734" t="str">
        <f>TEXT(Table1[[#All],[Order Date]],"dddd")</f>
        <v>Monday</v>
      </c>
      <c r="Q734" t="str">
        <f>TEXT(Table1[[#All],[Order Date]],"mmm")</f>
        <v>May</v>
      </c>
      <c r="R734" t="str">
        <f>IF(Table1[[#All],[Total Price (?)]]&gt;1000,"High Value","Normal")</f>
        <v>High Value</v>
      </c>
    </row>
    <row r="735" spans="1:18" x14ac:dyDescent="0.3">
      <c r="A735" t="s">
        <v>796</v>
      </c>
      <c r="B735" s="1">
        <v>45842</v>
      </c>
      <c r="C735" t="s">
        <v>52</v>
      </c>
      <c r="D735" t="s">
        <v>25</v>
      </c>
      <c r="E735" t="s">
        <v>61</v>
      </c>
      <c r="F735" t="s">
        <v>92</v>
      </c>
      <c r="G735">
        <v>3</v>
      </c>
      <c r="H735">
        <v>3416.43</v>
      </c>
      <c r="I735">
        <v>0.1</v>
      </c>
      <c r="J735">
        <v>9224.36</v>
      </c>
      <c r="K735" t="s">
        <v>41</v>
      </c>
      <c r="L735" t="s">
        <v>20</v>
      </c>
      <c r="M735" t="s">
        <v>21</v>
      </c>
      <c r="N735" t="s">
        <v>37</v>
      </c>
      <c r="O735">
        <f>Table1[[#All],[Quantity]]*Table1[[#All],[Unit Price (?)]]</f>
        <v>10249.289999999999</v>
      </c>
      <c r="P735" t="str">
        <f>TEXT(Table1[[#All],[Order Date]],"dddd")</f>
        <v>Friday</v>
      </c>
      <c r="Q735" t="str">
        <f>TEXT(Table1[[#All],[Order Date]],"mmm")</f>
        <v>Jul</v>
      </c>
      <c r="R735" t="str">
        <f>IF(Table1[[#All],[Total Price (?)]]&gt;1000,"High Value","Normal")</f>
        <v>High Value</v>
      </c>
    </row>
    <row r="736" spans="1:18" x14ac:dyDescent="0.3">
      <c r="A736" t="s">
        <v>797</v>
      </c>
      <c r="B736" s="1">
        <v>45733</v>
      </c>
      <c r="C736" t="s">
        <v>48</v>
      </c>
      <c r="D736" t="s">
        <v>43</v>
      </c>
      <c r="E736" t="s">
        <v>27</v>
      </c>
      <c r="F736" t="s">
        <v>87</v>
      </c>
      <c r="G736">
        <v>4</v>
      </c>
      <c r="H736">
        <v>3685.41</v>
      </c>
      <c r="I736">
        <v>0.1</v>
      </c>
      <c r="J736">
        <v>13267.48</v>
      </c>
      <c r="K736" t="s">
        <v>41</v>
      </c>
      <c r="L736" t="s">
        <v>29</v>
      </c>
      <c r="M736" t="s">
        <v>54</v>
      </c>
      <c r="N736" t="s">
        <v>22</v>
      </c>
      <c r="O736">
        <f>Table1[[#All],[Quantity]]*Table1[[#All],[Unit Price (?)]]</f>
        <v>14741.64</v>
      </c>
      <c r="P736" t="str">
        <f>TEXT(Table1[[#All],[Order Date]],"dddd")</f>
        <v>Monday</v>
      </c>
      <c r="Q736" t="str">
        <f>TEXT(Table1[[#All],[Order Date]],"mmm")</f>
        <v>Mar</v>
      </c>
      <c r="R736" t="str">
        <f>IF(Table1[[#All],[Total Price (?)]]&gt;1000,"High Value","Normal")</f>
        <v>High Value</v>
      </c>
    </row>
    <row r="737" spans="1:18" x14ac:dyDescent="0.3">
      <c r="A737" t="s">
        <v>798</v>
      </c>
      <c r="B737" s="1">
        <v>45791</v>
      </c>
      <c r="C737" t="s">
        <v>52</v>
      </c>
      <c r="D737" t="s">
        <v>43</v>
      </c>
      <c r="E737" t="s">
        <v>49</v>
      </c>
      <c r="F737" t="s">
        <v>50</v>
      </c>
      <c r="G737">
        <v>1</v>
      </c>
      <c r="H737">
        <v>3502.91</v>
      </c>
      <c r="I737">
        <v>0.11</v>
      </c>
      <c r="J737">
        <v>3117.59</v>
      </c>
      <c r="K737" t="s">
        <v>33</v>
      </c>
      <c r="L737" t="s">
        <v>29</v>
      </c>
      <c r="M737" t="s">
        <v>54</v>
      </c>
      <c r="N737" t="s">
        <v>37</v>
      </c>
      <c r="O737">
        <f>Table1[[#All],[Quantity]]*Table1[[#All],[Unit Price (?)]]</f>
        <v>3502.91</v>
      </c>
      <c r="P737" t="str">
        <f>TEXT(Table1[[#All],[Order Date]],"dddd")</f>
        <v>Wednesday</v>
      </c>
      <c r="Q737" t="str">
        <f>TEXT(Table1[[#All],[Order Date]],"mmm")</f>
        <v>May</v>
      </c>
      <c r="R737" t="str">
        <f>IF(Table1[[#All],[Total Price (?)]]&gt;1000,"High Value","Normal")</f>
        <v>High Value</v>
      </c>
    </row>
    <row r="738" spans="1:18" x14ac:dyDescent="0.3">
      <c r="A738" t="s">
        <v>799</v>
      </c>
      <c r="B738" s="1">
        <v>45805</v>
      </c>
      <c r="C738" t="s">
        <v>36</v>
      </c>
      <c r="D738" t="s">
        <v>43</v>
      </c>
      <c r="E738" t="s">
        <v>99</v>
      </c>
      <c r="F738" t="s">
        <v>120</v>
      </c>
      <c r="G738">
        <v>1</v>
      </c>
      <c r="H738">
        <v>1910.97</v>
      </c>
      <c r="I738">
        <v>7.0000000000000007E-2</v>
      </c>
      <c r="J738">
        <v>1777.2</v>
      </c>
      <c r="K738" t="s">
        <v>41</v>
      </c>
      <c r="L738" t="s">
        <v>20</v>
      </c>
      <c r="M738" t="s">
        <v>21</v>
      </c>
      <c r="N738" t="s">
        <v>22</v>
      </c>
      <c r="O738">
        <f>Table1[[#All],[Quantity]]*Table1[[#All],[Unit Price (?)]]</f>
        <v>1910.97</v>
      </c>
      <c r="P738" t="str">
        <f>TEXT(Table1[[#All],[Order Date]],"dddd")</f>
        <v>Wednesday</v>
      </c>
      <c r="Q738" t="str">
        <f>TEXT(Table1[[#All],[Order Date]],"mmm")</f>
        <v>May</v>
      </c>
      <c r="R738" t="str">
        <f>IF(Table1[[#All],[Total Price (?)]]&gt;1000,"High Value","Normal")</f>
        <v>High Value</v>
      </c>
    </row>
    <row r="739" spans="1:18" x14ac:dyDescent="0.3">
      <c r="A739" t="s">
        <v>800</v>
      </c>
      <c r="B739" s="1">
        <v>45835</v>
      </c>
      <c r="C739" t="s">
        <v>15</v>
      </c>
      <c r="D739" t="s">
        <v>25</v>
      </c>
      <c r="E739" t="s">
        <v>99</v>
      </c>
      <c r="F739" t="s">
        <v>111</v>
      </c>
      <c r="G739">
        <v>1</v>
      </c>
      <c r="H739">
        <v>3976.9</v>
      </c>
      <c r="I739">
        <v>0.04</v>
      </c>
      <c r="J739">
        <v>3817.82</v>
      </c>
      <c r="K739" t="s">
        <v>46</v>
      </c>
      <c r="L739" t="s">
        <v>34</v>
      </c>
      <c r="M739" t="s">
        <v>21</v>
      </c>
      <c r="N739" t="s">
        <v>22</v>
      </c>
      <c r="O739">
        <f>Table1[[#All],[Quantity]]*Table1[[#All],[Unit Price (?)]]</f>
        <v>3976.9</v>
      </c>
      <c r="P739" t="str">
        <f>TEXT(Table1[[#All],[Order Date]],"dddd")</f>
        <v>Friday</v>
      </c>
      <c r="Q739" t="str">
        <f>TEXT(Table1[[#All],[Order Date]],"mmm")</f>
        <v>Jun</v>
      </c>
      <c r="R739" t="str">
        <f>IF(Table1[[#All],[Total Price (?)]]&gt;1000,"High Value","Normal")</f>
        <v>High Value</v>
      </c>
    </row>
    <row r="740" spans="1:18" x14ac:dyDescent="0.3">
      <c r="A740" t="s">
        <v>801</v>
      </c>
      <c r="B740" s="1">
        <v>45693</v>
      </c>
      <c r="C740" t="s">
        <v>52</v>
      </c>
      <c r="D740" t="s">
        <v>16</v>
      </c>
      <c r="E740" t="s">
        <v>99</v>
      </c>
      <c r="F740" t="s">
        <v>111</v>
      </c>
      <c r="G740">
        <v>4</v>
      </c>
      <c r="H740">
        <v>110.22</v>
      </c>
      <c r="I740">
        <v>0.14000000000000001</v>
      </c>
      <c r="J740">
        <v>379.16</v>
      </c>
      <c r="K740" t="s">
        <v>19</v>
      </c>
      <c r="L740" t="s">
        <v>29</v>
      </c>
      <c r="M740" t="s">
        <v>54</v>
      </c>
      <c r="N740" t="s">
        <v>22</v>
      </c>
      <c r="O740">
        <f>Table1[[#All],[Quantity]]*Table1[[#All],[Unit Price (?)]]</f>
        <v>440.88</v>
      </c>
      <c r="P740" t="str">
        <f>TEXT(Table1[[#All],[Order Date]],"dddd")</f>
        <v>Wednesday</v>
      </c>
      <c r="Q740" t="str">
        <f>TEXT(Table1[[#All],[Order Date]],"mmm")</f>
        <v>Feb</v>
      </c>
      <c r="R740" t="str">
        <f>IF(Table1[[#All],[Total Price (?)]]&gt;1000,"High Value","Normal")</f>
        <v>Normal</v>
      </c>
    </row>
    <row r="741" spans="1:18" x14ac:dyDescent="0.3">
      <c r="A741" t="s">
        <v>802</v>
      </c>
      <c r="B741" s="1">
        <v>45779</v>
      </c>
      <c r="C741" t="s">
        <v>36</v>
      </c>
      <c r="D741" t="s">
        <v>43</v>
      </c>
      <c r="E741" t="s">
        <v>27</v>
      </c>
      <c r="F741" t="s">
        <v>28</v>
      </c>
      <c r="G741">
        <v>4</v>
      </c>
      <c r="H741">
        <v>2428.61</v>
      </c>
      <c r="I741">
        <v>0.18</v>
      </c>
      <c r="J741">
        <v>7965.84</v>
      </c>
      <c r="K741" t="s">
        <v>41</v>
      </c>
      <c r="L741" t="s">
        <v>34</v>
      </c>
      <c r="M741" t="s">
        <v>21</v>
      </c>
      <c r="N741" t="s">
        <v>88</v>
      </c>
      <c r="O741">
        <f>Table1[[#All],[Quantity]]*Table1[[#All],[Unit Price (?)]]</f>
        <v>9714.44</v>
      </c>
      <c r="P741" t="str">
        <f>TEXT(Table1[[#All],[Order Date]],"dddd")</f>
        <v>Friday</v>
      </c>
      <c r="Q741" t="str">
        <f>TEXT(Table1[[#All],[Order Date]],"mmm")</f>
        <v>May</v>
      </c>
      <c r="R741" t="str">
        <f>IF(Table1[[#All],[Total Price (?)]]&gt;1000,"High Value","Normal")</f>
        <v>High Value</v>
      </c>
    </row>
    <row r="742" spans="1:18" x14ac:dyDescent="0.3">
      <c r="A742" t="s">
        <v>803</v>
      </c>
      <c r="B742" s="1">
        <v>45770</v>
      </c>
      <c r="C742" t="s">
        <v>48</v>
      </c>
      <c r="D742" t="s">
        <v>25</v>
      </c>
      <c r="E742" t="s">
        <v>27</v>
      </c>
      <c r="F742" t="s">
        <v>87</v>
      </c>
      <c r="G742">
        <v>3</v>
      </c>
      <c r="H742">
        <v>537.64</v>
      </c>
      <c r="I742">
        <v>0.16</v>
      </c>
      <c r="J742">
        <v>1354.85</v>
      </c>
      <c r="K742" t="s">
        <v>41</v>
      </c>
      <c r="L742" t="s">
        <v>20</v>
      </c>
      <c r="M742" t="s">
        <v>21</v>
      </c>
      <c r="N742" t="s">
        <v>22</v>
      </c>
      <c r="O742">
        <f>Table1[[#All],[Quantity]]*Table1[[#All],[Unit Price (?)]]</f>
        <v>1612.92</v>
      </c>
      <c r="P742" t="str">
        <f>TEXT(Table1[[#All],[Order Date]],"dddd")</f>
        <v>Wednesday</v>
      </c>
      <c r="Q742" t="str">
        <f>TEXT(Table1[[#All],[Order Date]],"mmm")</f>
        <v>Apr</v>
      </c>
      <c r="R742" t="str">
        <f>IF(Table1[[#All],[Total Price (?)]]&gt;1000,"High Value","Normal")</f>
        <v>High Value</v>
      </c>
    </row>
    <row r="743" spans="1:18" x14ac:dyDescent="0.3">
      <c r="A743" t="s">
        <v>804</v>
      </c>
      <c r="B743" s="1">
        <v>45718</v>
      </c>
      <c r="C743" t="s">
        <v>36</v>
      </c>
      <c r="D743" t="s">
        <v>16</v>
      </c>
      <c r="E743" t="s">
        <v>49</v>
      </c>
      <c r="F743" t="s">
        <v>53</v>
      </c>
      <c r="G743">
        <v>4</v>
      </c>
      <c r="H743">
        <v>3705.97</v>
      </c>
      <c r="I743">
        <v>0.16</v>
      </c>
      <c r="J743">
        <v>12452.06</v>
      </c>
      <c r="K743" t="s">
        <v>58</v>
      </c>
      <c r="L743" t="s">
        <v>29</v>
      </c>
      <c r="M743" t="s">
        <v>54</v>
      </c>
      <c r="N743" t="s">
        <v>22</v>
      </c>
      <c r="O743">
        <f>Table1[[#All],[Quantity]]*Table1[[#All],[Unit Price (?)]]</f>
        <v>14823.88</v>
      </c>
      <c r="P743" t="str">
        <f>TEXT(Table1[[#All],[Order Date]],"dddd")</f>
        <v>Sunday</v>
      </c>
      <c r="Q743" t="str">
        <f>TEXT(Table1[[#All],[Order Date]],"mmm")</f>
        <v>Mar</v>
      </c>
      <c r="R743" t="str">
        <f>IF(Table1[[#All],[Total Price (?)]]&gt;1000,"High Value","Normal")</f>
        <v>High Value</v>
      </c>
    </row>
    <row r="744" spans="1:18" x14ac:dyDescent="0.3">
      <c r="A744" t="s">
        <v>805</v>
      </c>
      <c r="B744" s="1">
        <v>45738</v>
      </c>
      <c r="C744" t="s">
        <v>36</v>
      </c>
      <c r="D744" t="s">
        <v>43</v>
      </c>
      <c r="E744" t="s">
        <v>99</v>
      </c>
      <c r="F744" t="s">
        <v>120</v>
      </c>
      <c r="G744">
        <v>5</v>
      </c>
      <c r="H744">
        <v>2754.99</v>
      </c>
      <c r="I744">
        <v>0.19</v>
      </c>
      <c r="J744">
        <v>11157.71</v>
      </c>
      <c r="K744" t="s">
        <v>58</v>
      </c>
      <c r="L744" t="s">
        <v>20</v>
      </c>
      <c r="M744" t="s">
        <v>21</v>
      </c>
      <c r="N744" t="s">
        <v>88</v>
      </c>
      <c r="O744">
        <f>Table1[[#All],[Quantity]]*Table1[[#All],[Unit Price (?)]]</f>
        <v>13774.949999999999</v>
      </c>
      <c r="P744" t="str">
        <f>TEXT(Table1[[#All],[Order Date]],"dddd")</f>
        <v>Saturday</v>
      </c>
      <c r="Q744" t="str">
        <f>TEXT(Table1[[#All],[Order Date]],"mmm")</f>
        <v>Mar</v>
      </c>
      <c r="R744" t="str">
        <f>IF(Table1[[#All],[Total Price (?)]]&gt;1000,"High Value","Normal")</f>
        <v>High Value</v>
      </c>
    </row>
    <row r="745" spans="1:18" x14ac:dyDescent="0.3">
      <c r="A745" t="s">
        <v>806</v>
      </c>
      <c r="B745" s="1">
        <v>45766</v>
      </c>
      <c r="C745" t="s">
        <v>24</v>
      </c>
      <c r="D745" t="s">
        <v>25</v>
      </c>
      <c r="E745" t="s">
        <v>27</v>
      </c>
      <c r="F745" t="s">
        <v>79</v>
      </c>
      <c r="G745">
        <v>1</v>
      </c>
      <c r="H745">
        <v>1447.32</v>
      </c>
      <c r="I745">
        <v>0.05</v>
      </c>
      <c r="J745">
        <v>1374.95</v>
      </c>
      <c r="K745" t="s">
        <v>33</v>
      </c>
      <c r="L745" t="s">
        <v>20</v>
      </c>
      <c r="M745" t="s">
        <v>21</v>
      </c>
      <c r="N745" t="s">
        <v>22</v>
      </c>
      <c r="O745">
        <f>Table1[[#All],[Quantity]]*Table1[[#All],[Unit Price (?)]]</f>
        <v>1447.32</v>
      </c>
      <c r="P745" t="str">
        <f>TEXT(Table1[[#All],[Order Date]],"dddd")</f>
        <v>Saturday</v>
      </c>
      <c r="Q745" t="str">
        <f>TEXT(Table1[[#All],[Order Date]],"mmm")</f>
        <v>Apr</v>
      </c>
      <c r="R745" t="str">
        <f>IF(Table1[[#All],[Total Price (?)]]&gt;1000,"High Value","Normal")</f>
        <v>High Value</v>
      </c>
    </row>
    <row r="746" spans="1:18" x14ac:dyDescent="0.3">
      <c r="A746" t="s">
        <v>807</v>
      </c>
      <c r="B746" s="1">
        <v>45821</v>
      </c>
      <c r="C746" t="s">
        <v>48</v>
      </c>
      <c r="D746" t="s">
        <v>43</v>
      </c>
      <c r="E746" t="s">
        <v>27</v>
      </c>
      <c r="F746" t="s">
        <v>28</v>
      </c>
      <c r="G746">
        <v>4</v>
      </c>
      <c r="H746">
        <v>4323.67</v>
      </c>
      <c r="I746">
        <v>0.01</v>
      </c>
      <c r="J746">
        <v>17121.73</v>
      </c>
      <c r="K746" t="s">
        <v>33</v>
      </c>
      <c r="L746" t="s">
        <v>20</v>
      </c>
      <c r="M746" t="s">
        <v>30</v>
      </c>
      <c r="N746" t="s">
        <v>22</v>
      </c>
      <c r="O746">
        <f>Table1[[#All],[Quantity]]*Table1[[#All],[Unit Price (?)]]</f>
        <v>17294.68</v>
      </c>
      <c r="P746" t="str">
        <f>TEXT(Table1[[#All],[Order Date]],"dddd")</f>
        <v>Friday</v>
      </c>
      <c r="Q746" t="str">
        <f>TEXT(Table1[[#All],[Order Date]],"mmm")</f>
        <v>Jun</v>
      </c>
      <c r="R746" t="str">
        <f>IF(Table1[[#All],[Total Price (?)]]&gt;1000,"High Value","Normal")</f>
        <v>High Value</v>
      </c>
    </row>
    <row r="747" spans="1:18" x14ac:dyDescent="0.3">
      <c r="A747" t="s">
        <v>808</v>
      </c>
      <c r="B747" s="1">
        <v>45660</v>
      </c>
      <c r="C747" t="s">
        <v>48</v>
      </c>
      <c r="D747" t="s">
        <v>43</v>
      </c>
      <c r="E747" t="s">
        <v>27</v>
      </c>
      <c r="F747" t="s">
        <v>28</v>
      </c>
      <c r="G747">
        <v>1</v>
      </c>
      <c r="H747">
        <v>4900.95</v>
      </c>
      <c r="I747">
        <v>0.14000000000000001</v>
      </c>
      <c r="J747">
        <v>4214.82</v>
      </c>
      <c r="K747" t="s">
        <v>46</v>
      </c>
      <c r="L747" t="s">
        <v>20</v>
      </c>
      <c r="M747" t="s">
        <v>30</v>
      </c>
      <c r="N747" t="s">
        <v>22</v>
      </c>
      <c r="O747">
        <f>Table1[[#All],[Quantity]]*Table1[[#All],[Unit Price (?)]]</f>
        <v>4900.95</v>
      </c>
      <c r="P747" t="str">
        <f>TEXT(Table1[[#All],[Order Date]],"dddd")</f>
        <v>Friday</v>
      </c>
      <c r="Q747" t="str">
        <f>TEXT(Table1[[#All],[Order Date]],"mmm")</f>
        <v>Jan</v>
      </c>
      <c r="R747" t="str">
        <f>IF(Table1[[#All],[Total Price (?)]]&gt;1000,"High Value","Normal")</f>
        <v>High Value</v>
      </c>
    </row>
    <row r="748" spans="1:18" x14ac:dyDescent="0.3">
      <c r="A748" t="s">
        <v>809</v>
      </c>
      <c r="B748" s="1">
        <v>45719</v>
      </c>
      <c r="C748" t="s">
        <v>15</v>
      </c>
      <c r="D748" t="s">
        <v>16</v>
      </c>
      <c r="E748" t="s">
        <v>17</v>
      </c>
      <c r="F748" t="s">
        <v>44</v>
      </c>
      <c r="G748">
        <v>2</v>
      </c>
      <c r="H748">
        <v>388.68</v>
      </c>
      <c r="I748">
        <v>0.24</v>
      </c>
      <c r="J748">
        <v>590.79</v>
      </c>
      <c r="K748" t="s">
        <v>41</v>
      </c>
      <c r="L748" t="s">
        <v>29</v>
      </c>
      <c r="M748" t="s">
        <v>54</v>
      </c>
      <c r="N748" t="s">
        <v>22</v>
      </c>
      <c r="O748">
        <f>Table1[[#All],[Quantity]]*Table1[[#All],[Unit Price (?)]]</f>
        <v>777.36</v>
      </c>
      <c r="P748" t="str">
        <f>TEXT(Table1[[#All],[Order Date]],"dddd")</f>
        <v>Monday</v>
      </c>
      <c r="Q748" t="str">
        <f>TEXT(Table1[[#All],[Order Date]],"mmm")</f>
        <v>Mar</v>
      </c>
      <c r="R748" t="str">
        <f>IF(Table1[[#All],[Total Price (?)]]&gt;1000,"High Value","Normal")</f>
        <v>Normal</v>
      </c>
    </row>
    <row r="749" spans="1:18" x14ac:dyDescent="0.3">
      <c r="A749" t="s">
        <v>810</v>
      </c>
      <c r="B749" s="1">
        <v>45715</v>
      </c>
      <c r="C749" t="s">
        <v>24</v>
      </c>
      <c r="D749" t="s">
        <v>16</v>
      </c>
      <c r="E749" t="s">
        <v>99</v>
      </c>
      <c r="F749" t="s">
        <v>115</v>
      </c>
      <c r="G749">
        <v>4</v>
      </c>
      <c r="H749">
        <v>4475.75</v>
      </c>
      <c r="I749">
        <v>0.06</v>
      </c>
      <c r="J749">
        <v>16828.82</v>
      </c>
      <c r="K749" t="s">
        <v>46</v>
      </c>
      <c r="L749" t="s">
        <v>20</v>
      </c>
      <c r="M749" t="s">
        <v>54</v>
      </c>
      <c r="N749" t="s">
        <v>22</v>
      </c>
      <c r="O749">
        <f>Table1[[#All],[Quantity]]*Table1[[#All],[Unit Price (?)]]</f>
        <v>17903</v>
      </c>
      <c r="P749" t="str">
        <f>TEXT(Table1[[#All],[Order Date]],"dddd")</f>
        <v>Thursday</v>
      </c>
      <c r="Q749" t="str">
        <f>TEXT(Table1[[#All],[Order Date]],"mmm")</f>
        <v>Feb</v>
      </c>
      <c r="R749" t="str">
        <f>IF(Table1[[#All],[Total Price (?)]]&gt;1000,"High Value","Normal")</f>
        <v>High Value</v>
      </c>
    </row>
    <row r="750" spans="1:18" x14ac:dyDescent="0.3">
      <c r="A750" t="s">
        <v>811</v>
      </c>
      <c r="B750" s="1">
        <v>45700</v>
      </c>
      <c r="C750" t="s">
        <v>48</v>
      </c>
      <c r="D750" t="s">
        <v>25</v>
      </c>
      <c r="E750" t="s">
        <v>27</v>
      </c>
      <c r="F750" t="s">
        <v>68</v>
      </c>
      <c r="G750">
        <v>4</v>
      </c>
      <c r="H750">
        <v>4751.8500000000004</v>
      </c>
      <c r="I750">
        <v>7.0000000000000007E-2</v>
      </c>
      <c r="J750">
        <v>17676.88</v>
      </c>
      <c r="K750" t="s">
        <v>33</v>
      </c>
      <c r="L750" t="s">
        <v>29</v>
      </c>
      <c r="M750" t="s">
        <v>30</v>
      </c>
      <c r="N750" t="s">
        <v>22</v>
      </c>
      <c r="O750">
        <f>Table1[[#All],[Quantity]]*Table1[[#All],[Unit Price (?)]]</f>
        <v>19007.400000000001</v>
      </c>
      <c r="P750" t="str">
        <f>TEXT(Table1[[#All],[Order Date]],"dddd")</f>
        <v>Wednesday</v>
      </c>
      <c r="Q750" t="str">
        <f>TEXT(Table1[[#All],[Order Date]],"mmm")</f>
        <v>Feb</v>
      </c>
      <c r="R750" t="str">
        <f>IF(Table1[[#All],[Total Price (?)]]&gt;1000,"High Value","Normal")</f>
        <v>High Value</v>
      </c>
    </row>
    <row r="751" spans="1:18" x14ac:dyDescent="0.3">
      <c r="A751" t="s">
        <v>812</v>
      </c>
      <c r="B751" s="1">
        <v>45743</v>
      </c>
      <c r="C751" t="s">
        <v>24</v>
      </c>
      <c r="D751" t="s">
        <v>16</v>
      </c>
      <c r="E751" t="s">
        <v>17</v>
      </c>
      <c r="F751" t="s">
        <v>40</v>
      </c>
      <c r="G751">
        <v>2</v>
      </c>
      <c r="H751">
        <v>4577.3</v>
      </c>
      <c r="I751">
        <v>0</v>
      </c>
      <c r="J751">
        <v>9154.6</v>
      </c>
      <c r="K751" t="s">
        <v>41</v>
      </c>
      <c r="L751" t="s">
        <v>29</v>
      </c>
      <c r="M751" t="s">
        <v>21</v>
      </c>
      <c r="N751" t="s">
        <v>22</v>
      </c>
      <c r="O751">
        <f>Table1[[#All],[Quantity]]*Table1[[#All],[Unit Price (?)]]</f>
        <v>9154.6</v>
      </c>
      <c r="P751" t="str">
        <f>TEXT(Table1[[#All],[Order Date]],"dddd")</f>
        <v>Thursday</v>
      </c>
      <c r="Q751" t="str">
        <f>TEXT(Table1[[#All],[Order Date]],"mmm")</f>
        <v>Mar</v>
      </c>
      <c r="R751" t="str">
        <f>IF(Table1[[#All],[Total Price (?)]]&gt;1000,"High Value","Normal")</f>
        <v>High Value</v>
      </c>
    </row>
    <row r="752" spans="1:18" x14ac:dyDescent="0.3">
      <c r="A752" t="s">
        <v>813</v>
      </c>
      <c r="B752" s="1">
        <v>45812</v>
      </c>
      <c r="C752" t="s">
        <v>15</v>
      </c>
      <c r="D752" t="s">
        <v>43</v>
      </c>
      <c r="E752" t="s">
        <v>27</v>
      </c>
      <c r="F752" t="s">
        <v>68</v>
      </c>
      <c r="G752">
        <v>4</v>
      </c>
      <c r="H752">
        <v>511.15</v>
      </c>
      <c r="I752">
        <v>0.16</v>
      </c>
      <c r="J752">
        <v>1717.46</v>
      </c>
      <c r="K752" t="s">
        <v>33</v>
      </c>
      <c r="L752" t="s">
        <v>34</v>
      </c>
      <c r="M752" t="s">
        <v>54</v>
      </c>
      <c r="N752" t="s">
        <v>22</v>
      </c>
      <c r="O752">
        <f>Table1[[#All],[Quantity]]*Table1[[#All],[Unit Price (?)]]</f>
        <v>2044.6</v>
      </c>
      <c r="P752" t="str">
        <f>TEXT(Table1[[#All],[Order Date]],"dddd")</f>
        <v>Wednesday</v>
      </c>
      <c r="Q752" t="str">
        <f>TEXT(Table1[[#All],[Order Date]],"mmm")</f>
        <v>Jun</v>
      </c>
      <c r="R752" t="str">
        <f>IF(Table1[[#All],[Total Price (?)]]&gt;1000,"High Value","Normal")</f>
        <v>High Value</v>
      </c>
    </row>
    <row r="753" spans="1:18" x14ac:dyDescent="0.3">
      <c r="A753" t="s">
        <v>814</v>
      </c>
      <c r="B753" s="1">
        <v>45772</v>
      </c>
      <c r="C753" t="s">
        <v>36</v>
      </c>
      <c r="D753" t="s">
        <v>39</v>
      </c>
      <c r="E753" t="s">
        <v>61</v>
      </c>
      <c r="F753" t="s">
        <v>75</v>
      </c>
      <c r="G753">
        <v>4</v>
      </c>
      <c r="H753">
        <v>304.77999999999997</v>
      </c>
      <c r="I753">
        <v>0.2</v>
      </c>
      <c r="J753">
        <v>975.3</v>
      </c>
      <c r="K753" t="s">
        <v>41</v>
      </c>
      <c r="L753" t="s">
        <v>29</v>
      </c>
      <c r="M753" t="s">
        <v>21</v>
      </c>
      <c r="N753" t="s">
        <v>22</v>
      </c>
      <c r="O753">
        <f>Table1[[#All],[Quantity]]*Table1[[#All],[Unit Price (?)]]</f>
        <v>1219.1199999999999</v>
      </c>
      <c r="P753" t="str">
        <f>TEXT(Table1[[#All],[Order Date]],"dddd")</f>
        <v>Friday</v>
      </c>
      <c r="Q753" t="str">
        <f>TEXT(Table1[[#All],[Order Date]],"mmm")</f>
        <v>Apr</v>
      </c>
      <c r="R753" t="str">
        <f>IF(Table1[[#All],[Total Price (?)]]&gt;1000,"High Value","Normal")</f>
        <v>Normal</v>
      </c>
    </row>
    <row r="754" spans="1:18" x14ac:dyDescent="0.3">
      <c r="A754" t="s">
        <v>815</v>
      </c>
      <c r="B754" s="1">
        <v>45777</v>
      </c>
      <c r="C754" t="s">
        <v>24</v>
      </c>
      <c r="D754" t="s">
        <v>43</v>
      </c>
      <c r="E754" t="s">
        <v>61</v>
      </c>
      <c r="F754" t="s">
        <v>62</v>
      </c>
      <c r="G754">
        <v>5</v>
      </c>
      <c r="H754">
        <v>1329.36</v>
      </c>
      <c r="I754">
        <v>0.17</v>
      </c>
      <c r="J754">
        <v>5516.84</v>
      </c>
      <c r="K754" t="s">
        <v>41</v>
      </c>
      <c r="L754" t="s">
        <v>34</v>
      </c>
      <c r="M754" t="s">
        <v>30</v>
      </c>
      <c r="N754" t="s">
        <v>22</v>
      </c>
      <c r="O754">
        <f>Table1[[#All],[Quantity]]*Table1[[#All],[Unit Price (?)]]</f>
        <v>6646.7999999999993</v>
      </c>
      <c r="P754" t="str">
        <f>TEXT(Table1[[#All],[Order Date]],"dddd")</f>
        <v>Wednesday</v>
      </c>
      <c r="Q754" t="str">
        <f>TEXT(Table1[[#All],[Order Date]],"mmm")</f>
        <v>Apr</v>
      </c>
      <c r="R754" t="str">
        <f>IF(Table1[[#All],[Total Price (?)]]&gt;1000,"High Value","Normal")</f>
        <v>High Value</v>
      </c>
    </row>
    <row r="755" spans="1:18" x14ac:dyDescent="0.3">
      <c r="A755" t="s">
        <v>816</v>
      </c>
      <c r="B755" s="1">
        <v>45787</v>
      </c>
      <c r="C755" t="s">
        <v>24</v>
      </c>
      <c r="D755" t="s">
        <v>16</v>
      </c>
      <c r="E755" t="s">
        <v>27</v>
      </c>
      <c r="F755" t="s">
        <v>28</v>
      </c>
      <c r="G755">
        <v>5</v>
      </c>
      <c r="H755">
        <v>2859.1</v>
      </c>
      <c r="I755">
        <v>0.08</v>
      </c>
      <c r="J755">
        <v>13151.86</v>
      </c>
      <c r="K755" t="s">
        <v>19</v>
      </c>
      <c r="L755" t="s">
        <v>29</v>
      </c>
      <c r="M755" t="s">
        <v>30</v>
      </c>
      <c r="N755" t="s">
        <v>88</v>
      </c>
      <c r="O755">
        <f>Table1[[#All],[Quantity]]*Table1[[#All],[Unit Price (?)]]</f>
        <v>14295.5</v>
      </c>
      <c r="P755" t="str">
        <f>TEXT(Table1[[#All],[Order Date]],"dddd")</f>
        <v>Saturday</v>
      </c>
      <c r="Q755" t="str">
        <f>TEXT(Table1[[#All],[Order Date]],"mmm")</f>
        <v>May</v>
      </c>
      <c r="R755" t="str">
        <f>IF(Table1[[#All],[Total Price (?)]]&gt;1000,"High Value","Normal")</f>
        <v>High Value</v>
      </c>
    </row>
    <row r="756" spans="1:18" x14ac:dyDescent="0.3">
      <c r="A756" t="s">
        <v>817</v>
      </c>
      <c r="B756" s="1">
        <v>45722</v>
      </c>
      <c r="C756" t="s">
        <v>48</v>
      </c>
      <c r="D756" t="s">
        <v>39</v>
      </c>
      <c r="E756" t="s">
        <v>27</v>
      </c>
      <c r="F756" t="s">
        <v>28</v>
      </c>
      <c r="G756">
        <v>5</v>
      </c>
      <c r="H756">
        <v>4791.34</v>
      </c>
      <c r="I756">
        <v>0.08</v>
      </c>
      <c r="J756">
        <v>22040.16</v>
      </c>
      <c r="K756" t="s">
        <v>19</v>
      </c>
      <c r="L756" t="s">
        <v>29</v>
      </c>
      <c r="M756" t="s">
        <v>21</v>
      </c>
      <c r="N756" t="s">
        <v>22</v>
      </c>
      <c r="O756">
        <f>Table1[[#All],[Quantity]]*Table1[[#All],[Unit Price (?)]]</f>
        <v>23956.7</v>
      </c>
      <c r="P756" t="str">
        <f>TEXT(Table1[[#All],[Order Date]],"dddd")</f>
        <v>Thursday</v>
      </c>
      <c r="Q756" t="str">
        <f>TEXT(Table1[[#All],[Order Date]],"mmm")</f>
        <v>Mar</v>
      </c>
      <c r="R756" t="str">
        <f>IF(Table1[[#All],[Total Price (?)]]&gt;1000,"High Value","Normal")</f>
        <v>High Value</v>
      </c>
    </row>
    <row r="757" spans="1:18" x14ac:dyDescent="0.3">
      <c r="A757" t="s">
        <v>818</v>
      </c>
      <c r="B757" s="1">
        <v>45750</v>
      </c>
      <c r="C757" t="s">
        <v>52</v>
      </c>
      <c r="D757" t="s">
        <v>43</v>
      </c>
      <c r="E757" t="s">
        <v>49</v>
      </c>
      <c r="F757" t="s">
        <v>53</v>
      </c>
      <c r="G757">
        <v>2</v>
      </c>
      <c r="H757">
        <v>2353.02</v>
      </c>
      <c r="I757">
        <v>0.15</v>
      </c>
      <c r="J757">
        <v>4000.13</v>
      </c>
      <c r="K757" t="s">
        <v>46</v>
      </c>
      <c r="L757" t="s">
        <v>34</v>
      </c>
      <c r="M757" t="s">
        <v>54</v>
      </c>
      <c r="N757" t="s">
        <v>22</v>
      </c>
      <c r="O757">
        <f>Table1[[#All],[Quantity]]*Table1[[#All],[Unit Price (?)]]</f>
        <v>4706.04</v>
      </c>
      <c r="P757" t="str">
        <f>TEXT(Table1[[#All],[Order Date]],"dddd")</f>
        <v>Thursday</v>
      </c>
      <c r="Q757" t="str">
        <f>TEXT(Table1[[#All],[Order Date]],"mmm")</f>
        <v>Apr</v>
      </c>
      <c r="R757" t="str">
        <f>IF(Table1[[#All],[Total Price (?)]]&gt;1000,"High Value","Normal")</f>
        <v>High Value</v>
      </c>
    </row>
    <row r="758" spans="1:18" x14ac:dyDescent="0.3">
      <c r="A758" t="s">
        <v>819</v>
      </c>
      <c r="B758" s="1">
        <v>45745</v>
      </c>
      <c r="C758" t="s">
        <v>24</v>
      </c>
      <c r="D758" t="s">
        <v>25</v>
      </c>
      <c r="E758" t="s">
        <v>17</v>
      </c>
      <c r="F758" t="s">
        <v>40</v>
      </c>
      <c r="G758">
        <v>2</v>
      </c>
      <c r="H758">
        <v>2124.5</v>
      </c>
      <c r="I758">
        <v>0.22</v>
      </c>
      <c r="J758">
        <v>3314.22</v>
      </c>
      <c r="K758" t="s">
        <v>58</v>
      </c>
      <c r="L758" t="s">
        <v>29</v>
      </c>
      <c r="M758" t="s">
        <v>21</v>
      </c>
      <c r="N758" t="s">
        <v>88</v>
      </c>
      <c r="O758">
        <f>Table1[[#All],[Quantity]]*Table1[[#All],[Unit Price (?)]]</f>
        <v>4249</v>
      </c>
      <c r="P758" t="str">
        <f>TEXT(Table1[[#All],[Order Date]],"dddd")</f>
        <v>Saturday</v>
      </c>
      <c r="Q758" t="str">
        <f>TEXT(Table1[[#All],[Order Date]],"mmm")</f>
        <v>Mar</v>
      </c>
      <c r="R758" t="str">
        <f>IF(Table1[[#All],[Total Price (?)]]&gt;1000,"High Value","Normal")</f>
        <v>High Value</v>
      </c>
    </row>
    <row r="759" spans="1:18" x14ac:dyDescent="0.3">
      <c r="A759" t="s">
        <v>820</v>
      </c>
      <c r="B759" s="1">
        <v>45745</v>
      </c>
      <c r="C759" t="s">
        <v>24</v>
      </c>
      <c r="D759" t="s">
        <v>39</v>
      </c>
      <c r="E759" t="s">
        <v>27</v>
      </c>
      <c r="F759" t="s">
        <v>79</v>
      </c>
      <c r="G759">
        <v>4</v>
      </c>
      <c r="H759">
        <v>3394</v>
      </c>
      <c r="I759">
        <v>0.09</v>
      </c>
      <c r="J759">
        <v>12354.16</v>
      </c>
      <c r="K759" t="s">
        <v>33</v>
      </c>
      <c r="L759" t="s">
        <v>20</v>
      </c>
      <c r="M759" t="s">
        <v>30</v>
      </c>
      <c r="N759" t="s">
        <v>22</v>
      </c>
      <c r="O759">
        <f>Table1[[#All],[Quantity]]*Table1[[#All],[Unit Price (?)]]</f>
        <v>13576</v>
      </c>
      <c r="P759" t="str">
        <f>TEXT(Table1[[#All],[Order Date]],"dddd")</f>
        <v>Saturday</v>
      </c>
      <c r="Q759" t="str">
        <f>TEXT(Table1[[#All],[Order Date]],"mmm")</f>
        <v>Mar</v>
      </c>
      <c r="R759" t="str">
        <f>IF(Table1[[#All],[Total Price (?)]]&gt;1000,"High Value","Normal")</f>
        <v>High Value</v>
      </c>
    </row>
    <row r="760" spans="1:18" x14ac:dyDescent="0.3">
      <c r="A760" t="s">
        <v>821</v>
      </c>
      <c r="B760" s="1">
        <v>45791</v>
      </c>
      <c r="C760" t="s">
        <v>48</v>
      </c>
      <c r="D760" t="s">
        <v>39</v>
      </c>
      <c r="E760" t="s">
        <v>17</v>
      </c>
      <c r="F760" t="s">
        <v>18</v>
      </c>
      <c r="G760">
        <v>4</v>
      </c>
      <c r="H760">
        <v>145.88</v>
      </c>
      <c r="I760">
        <v>0.19</v>
      </c>
      <c r="J760">
        <v>472.65</v>
      </c>
      <c r="K760" t="s">
        <v>46</v>
      </c>
      <c r="L760" t="s">
        <v>20</v>
      </c>
      <c r="M760" t="s">
        <v>30</v>
      </c>
      <c r="N760" t="s">
        <v>22</v>
      </c>
      <c r="O760">
        <f>Table1[[#All],[Quantity]]*Table1[[#All],[Unit Price (?)]]</f>
        <v>583.52</v>
      </c>
      <c r="P760" t="str">
        <f>TEXT(Table1[[#All],[Order Date]],"dddd")</f>
        <v>Wednesday</v>
      </c>
      <c r="Q760" t="str">
        <f>TEXT(Table1[[#All],[Order Date]],"mmm")</f>
        <v>May</v>
      </c>
      <c r="R760" t="str">
        <f>IF(Table1[[#All],[Total Price (?)]]&gt;1000,"High Value","Normal")</f>
        <v>Normal</v>
      </c>
    </row>
    <row r="761" spans="1:18" x14ac:dyDescent="0.3">
      <c r="A761" t="s">
        <v>822</v>
      </c>
      <c r="B761" s="1">
        <v>45701</v>
      </c>
      <c r="C761" t="s">
        <v>52</v>
      </c>
      <c r="D761" t="s">
        <v>43</v>
      </c>
      <c r="E761" t="s">
        <v>27</v>
      </c>
      <c r="F761" t="s">
        <v>28</v>
      </c>
      <c r="G761">
        <v>3</v>
      </c>
      <c r="H761">
        <v>280.3</v>
      </c>
      <c r="I761">
        <v>0.12</v>
      </c>
      <c r="J761">
        <v>739.99</v>
      </c>
      <c r="K761" t="s">
        <v>19</v>
      </c>
      <c r="L761" t="s">
        <v>34</v>
      </c>
      <c r="M761" t="s">
        <v>21</v>
      </c>
      <c r="N761" t="s">
        <v>22</v>
      </c>
      <c r="O761">
        <f>Table1[[#All],[Quantity]]*Table1[[#All],[Unit Price (?)]]</f>
        <v>840.90000000000009</v>
      </c>
      <c r="P761" t="str">
        <f>TEXT(Table1[[#All],[Order Date]],"dddd")</f>
        <v>Thursday</v>
      </c>
      <c r="Q761" t="str">
        <f>TEXT(Table1[[#All],[Order Date]],"mmm")</f>
        <v>Feb</v>
      </c>
      <c r="R761" t="str">
        <f>IF(Table1[[#All],[Total Price (?)]]&gt;1000,"High Value","Normal")</f>
        <v>Normal</v>
      </c>
    </row>
    <row r="762" spans="1:18" x14ac:dyDescent="0.3">
      <c r="A762" t="s">
        <v>823</v>
      </c>
      <c r="B762" s="1">
        <v>45759</v>
      </c>
      <c r="C762" t="s">
        <v>15</v>
      </c>
      <c r="D762" t="s">
        <v>43</v>
      </c>
      <c r="E762" t="s">
        <v>49</v>
      </c>
      <c r="F762" t="s">
        <v>56</v>
      </c>
      <c r="G762">
        <v>4</v>
      </c>
      <c r="H762">
        <v>935.34</v>
      </c>
      <c r="I762">
        <v>0.05</v>
      </c>
      <c r="J762">
        <v>3554.29</v>
      </c>
      <c r="K762" t="s">
        <v>33</v>
      </c>
      <c r="L762" t="s">
        <v>29</v>
      </c>
      <c r="M762" t="s">
        <v>21</v>
      </c>
      <c r="N762" t="s">
        <v>22</v>
      </c>
      <c r="O762">
        <f>Table1[[#All],[Quantity]]*Table1[[#All],[Unit Price (?)]]</f>
        <v>3741.36</v>
      </c>
      <c r="P762" t="str">
        <f>TEXT(Table1[[#All],[Order Date]],"dddd")</f>
        <v>Saturday</v>
      </c>
      <c r="Q762" t="str">
        <f>TEXT(Table1[[#All],[Order Date]],"mmm")</f>
        <v>Apr</v>
      </c>
      <c r="R762" t="str">
        <f>IF(Table1[[#All],[Total Price (?)]]&gt;1000,"High Value","Normal")</f>
        <v>High Value</v>
      </c>
    </row>
    <row r="763" spans="1:18" x14ac:dyDescent="0.3">
      <c r="A763" t="s">
        <v>824</v>
      </c>
      <c r="B763" s="1">
        <v>45751</v>
      </c>
      <c r="C763" t="s">
        <v>52</v>
      </c>
      <c r="D763" t="s">
        <v>43</v>
      </c>
      <c r="E763" t="s">
        <v>61</v>
      </c>
      <c r="F763" t="s">
        <v>62</v>
      </c>
      <c r="G763">
        <v>2</v>
      </c>
      <c r="H763">
        <v>4416.92</v>
      </c>
      <c r="I763">
        <v>0.18</v>
      </c>
      <c r="J763">
        <v>7243.75</v>
      </c>
      <c r="K763" t="s">
        <v>46</v>
      </c>
      <c r="L763" t="s">
        <v>29</v>
      </c>
      <c r="M763" t="s">
        <v>30</v>
      </c>
      <c r="N763" t="s">
        <v>88</v>
      </c>
      <c r="O763">
        <f>Table1[[#All],[Quantity]]*Table1[[#All],[Unit Price (?)]]</f>
        <v>8833.84</v>
      </c>
      <c r="P763" t="str">
        <f>TEXT(Table1[[#All],[Order Date]],"dddd")</f>
        <v>Friday</v>
      </c>
      <c r="Q763" t="str">
        <f>TEXT(Table1[[#All],[Order Date]],"mmm")</f>
        <v>Apr</v>
      </c>
      <c r="R763" t="str">
        <f>IF(Table1[[#All],[Total Price (?)]]&gt;1000,"High Value","Normal")</f>
        <v>High Value</v>
      </c>
    </row>
    <row r="764" spans="1:18" x14ac:dyDescent="0.3">
      <c r="A764" t="s">
        <v>825</v>
      </c>
      <c r="B764" s="1">
        <v>45814</v>
      </c>
      <c r="C764" t="s">
        <v>36</v>
      </c>
      <c r="D764" t="s">
        <v>39</v>
      </c>
      <c r="E764" t="s">
        <v>17</v>
      </c>
      <c r="F764" t="s">
        <v>32</v>
      </c>
      <c r="G764">
        <v>4</v>
      </c>
      <c r="H764">
        <v>3240.73</v>
      </c>
      <c r="I764">
        <v>0.24</v>
      </c>
      <c r="J764">
        <v>9851.82</v>
      </c>
      <c r="K764" t="s">
        <v>41</v>
      </c>
      <c r="L764" t="s">
        <v>20</v>
      </c>
      <c r="M764" t="s">
        <v>54</v>
      </c>
      <c r="N764" t="s">
        <v>22</v>
      </c>
      <c r="O764">
        <f>Table1[[#All],[Quantity]]*Table1[[#All],[Unit Price (?)]]</f>
        <v>12962.92</v>
      </c>
      <c r="P764" t="str">
        <f>TEXT(Table1[[#All],[Order Date]],"dddd")</f>
        <v>Friday</v>
      </c>
      <c r="Q764" t="str">
        <f>TEXT(Table1[[#All],[Order Date]],"mmm")</f>
        <v>Jun</v>
      </c>
      <c r="R764" t="str">
        <f>IF(Table1[[#All],[Total Price (?)]]&gt;1000,"High Value","Normal")</f>
        <v>High Value</v>
      </c>
    </row>
    <row r="765" spans="1:18" x14ac:dyDescent="0.3">
      <c r="A765" t="s">
        <v>826</v>
      </c>
      <c r="B765" s="1">
        <v>45834</v>
      </c>
      <c r="C765" t="s">
        <v>24</v>
      </c>
      <c r="D765" t="s">
        <v>43</v>
      </c>
      <c r="E765" t="s">
        <v>49</v>
      </c>
      <c r="F765" t="s">
        <v>53</v>
      </c>
      <c r="G765">
        <v>4</v>
      </c>
      <c r="H765">
        <v>1871.21</v>
      </c>
      <c r="I765">
        <v>0.19</v>
      </c>
      <c r="J765">
        <v>6062.72</v>
      </c>
      <c r="K765" t="s">
        <v>33</v>
      </c>
      <c r="L765" t="s">
        <v>34</v>
      </c>
      <c r="M765" t="s">
        <v>21</v>
      </c>
      <c r="N765" t="s">
        <v>22</v>
      </c>
      <c r="O765">
        <f>Table1[[#All],[Quantity]]*Table1[[#All],[Unit Price (?)]]</f>
        <v>7484.84</v>
      </c>
      <c r="P765" t="str">
        <f>TEXT(Table1[[#All],[Order Date]],"dddd")</f>
        <v>Thursday</v>
      </c>
      <c r="Q765" t="str">
        <f>TEXT(Table1[[#All],[Order Date]],"mmm")</f>
        <v>Jun</v>
      </c>
      <c r="R765" t="str">
        <f>IF(Table1[[#All],[Total Price (?)]]&gt;1000,"High Value","Normal")</f>
        <v>High Value</v>
      </c>
    </row>
    <row r="766" spans="1:18" x14ac:dyDescent="0.3">
      <c r="A766" t="s">
        <v>827</v>
      </c>
      <c r="B766" s="1">
        <v>45814</v>
      </c>
      <c r="C766" t="s">
        <v>15</v>
      </c>
      <c r="D766" t="s">
        <v>43</v>
      </c>
      <c r="E766" t="s">
        <v>49</v>
      </c>
      <c r="F766" t="s">
        <v>50</v>
      </c>
      <c r="G766">
        <v>2</v>
      </c>
      <c r="H766">
        <v>1740.06</v>
      </c>
      <c r="I766">
        <v>0.22</v>
      </c>
      <c r="J766">
        <v>2714.49</v>
      </c>
      <c r="K766" t="s">
        <v>58</v>
      </c>
      <c r="L766" t="s">
        <v>34</v>
      </c>
      <c r="M766" t="s">
        <v>54</v>
      </c>
      <c r="N766" t="s">
        <v>59</v>
      </c>
      <c r="O766">
        <f>Table1[[#All],[Quantity]]*Table1[[#All],[Unit Price (?)]]</f>
        <v>3480.12</v>
      </c>
      <c r="P766" t="str">
        <f>TEXT(Table1[[#All],[Order Date]],"dddd")</f>
        <v>Friday</v>
      </c>
      <c r="Q766" t="str">
        <f>TEXT(Table1[[#All],[Order Date]],"mmm")</f>
        <v>Jun</v>
      </c>
      <c r="R766" t="str">
        <f>IF(Table1[[#All],[Total Price (?)]]&gt;1000,"High Value","Normal")</f>
        <v>High Value</v>
      </c>
    </row>
    <row r="767" spans="1:18" x14ac:dyDescent="0.3">
      <c r="A767" t="s">
        <v>828</v>
      </c>
      <c r="B767" s="1">
        <v>45802</v>
      </c>
      <c r="C767" t="s">
        <v>52</v>
      </c>
      <c r="D767" t="s">
        <v>16</v>
      </c>
      <c r="E767" t="s">
        <v>49</v>
      </c>
      <c r="F767" t="s">
        <v>56</v>
      </c>
      <c r="G767">
        <v>3</v>
      </c>
      <c r="H767">
        <v>1622.95</v>
      </c>
      <c r="I767">
        <v>0.16</v>
      </c>
      <c r="J767">
        <v>4089.83</v>
      </c>
      <c r="K767" t="s">
        <v>19</v>
      </c>
      <c r="L767" t="s">
        <v>20</v>
      </c>
      <c r="M767" t="s">
        <v>54</v>
      </c>
      <c r="N767" t="s">
        <v>22</v>
      </c>
      <c r="O767">
        <f>Table1[[#All],[Quantity]]*Table1[[#All],[Unit Price (?)]]</f>
        <v>4868.8500000000004</v>
      </c>
      <c r="P767" t="str">
        <f>TEXT(Table1[[#All],[Order Date]],"dddd")</f>
        <v>Sunday</v>
      </c>
      <c r="Q767" t="str">
        <f>TEXT(Table1[[#All],[Order Date]],"mmm")</f>
        <v>May</v>
      </c>
      <c r="R767" t="str">
        <f>IF(Table1[[#All],[Total Price (?)]]&gt;1000,"High Value","Normal")</f>
        <v>High Value</v>
      </c>
    </row>
    <row r="768" spans="1:18" x14ac:dyDescent="0.3">
      <c r="A768" t="s">
        <v>829</v>
      </c>
      <c r="B768" s="1">
        <v>45692</v>
      </c>
      <c r="C768" t="s">
        <v>15</v>
      </c>
      <c r="D768" t="s">
        <v>39</v>
      </c>
      <c r="E768" t="s">
        <v>17</v>
      </c>
      <c r="F768" t="s">
        <v>32</v>
      </c>
      <c r="G768">
        <v>4</v>
      </c>
      <c r="H768">
        <v>1267.96</v>
      </c>
      <c r="I768">
        <v>0.09</v>
      </c>
      <c r="J768">
        <v>4615.37</v>
      </c>
      <c r="K768" t="s">
        <v>19</v>
      </c>
      <c r="L768" t="s">
        <v>20</v>
      </c>
      <c r="M768" t="s">
        <v>54</v>
      </c>
      <c r="N768" t="s">
        <v>22</v>
      </c>
      <c r="O768">
        <f>Table1[[#All],[Quantity]]*Table1[[#All],[Unit Price (?)]]</f>
        <v>5071.84</v>
      </c>
      <c r="P768" t="str">
        <f>TEXT(Table1[[#All],[Order Date]],"dddd")</f>
        <v>Tuesday</v>
      </c>
      <c r="Q768" t="str">
        <f>TEXT(Table1[[#All],[Order Date]],"mmm")</f>
        <v>Feb</v>
      </c>
      <c r="R768" t="str">
        <f>IF(Table1[[#All],[Total Price (?)]]&gt;1000,"High Value","Normal")</f>
        <v>High Value</v>
      </c>
    </row>
    <row r="769" spans="1:18" x14ac:dyDescent="0.3">
      <c r="A769" t="s">
        <v>830</v>
      </c>
      <c r="B769" s="1">
        <v>45787</v>
      </c>
      <c r="C769" t="s">
        <v>36</v>
      </c>
      <c r="D769" t="s">
        <v>16</v>
      </c>
      <c r="E769" t="s">
        <v>61</v>
      </c>
      <c r="F769" t="s">
        <v>62</v>
      </c>
      <c r="G769">
        <v>1</v>
      </c>
      <c r="H769">
        <v>3164.21</v>
      </c>
      <c r="I769">
        <v>0.14000000000000001</v>
      </c>
      <c r="J769">
        <v>2721.22</v>
      </c>
      <c r="K769" t="s">
        <v>33</v>
      </c>
      <c r="L769" t="s">
        <v>34</v>
      </c>
      <c r="M769" t="s">
        <v>54</v>
      </c>
      <c r="N769" t="s">
        <v>37</v>
      </c>
      <c r="O769">
        <f>Table1[[#All],[Quantity]]*Table1[[#All],[Unit Price (?)]]</f>
        <v>3164.21</v>
      </c>
      <c r="P769" t="str">
        <f>TEXT(Table1[[#All],[Order Date]],"dddd")</f>
        <v>Saturday</v>
      </c>
      <c r="Q769" t="str">
        <f>TEXT(Table1[[#All],[Order Date]],"mmm")</f>
        <v>May</v>
      </c>
      <c r="R769" t="str">
        <f>IF(Table1[[#All],[Total Price (?)]]&gt;1000,"High Value","Normal")</f>
        <v>High Value</v>
      </c>
    </row>
    <row r="770" spans="1:18" x14ac:dyDescent="0.3">
      <c r="A770" t="s">
        <v>831</v>
      </c>
      <c r="B770" s="1">
        <v>45676</v>
      </c>
      <c r="C770" t="s">
        <v>24</v>
      </c>
      <c r="D770" t="s">
        <v>16</v>
      </c>
      <c r="E770" t="s">
        <v>49</v>
      </c>
      <c r="F770" t="s">
        <v>53</v>
      </c>
      <c r="G770">
        <v>4</v>
      </c>
      <c r="H770">
        <v>368.47</v>
      </c>
      <c r="I770">
        <v>0.15</v>
      </c>
      <c r="J770">
        <v>1252.8</v>
      </c>
      <c r="K770" t="s">
        <v>19</v>
      </c>
      <c r="L770" t="s">
        <v>20</v>
      </c>
      <c r="M770" t="s">
        <v>30</v>
      </c>
      <c r="N770" t="s">
        <v>22</v>
      </c>
      <c r="O770">
        <f>Table1[[#All],[Quantity]]*Table1[[#All],[Unit Price (?)]]</f>
        <v>1473.88</v>
      </c>
      <c r="P770" t="str">
        <f>TEXT(Table1[[#All],[Order Date]],"dddd")</f>
        <v>Sunday</v>
      </c>
      <c r="Q770" t="str">
        <f>TEXT(Table1[[#All],[Order Date]],"mmm")</f>
        <v>Jan</v>
      </c>
      <c r="R770" t="str">
        <f>IF(Table1[[#All],[Total Price (?)]]&gt;1000,"High Value","Normal")</f>
        <v>High Value</v>
      </c>
    </row>
    <row r="771" spans="1:18" x14ac:dyDescent="0.3">
      <c r="A771" t="s">
        <v>832</v>
      </c>
      <c r="B771" s="1">
        <v>45715</v>
      </c>
      <c r="C771" t="s">
        <v>15</v>
      </c>
      <c r="D771" t="s">
        <v>16</v>
      </c>
      <c r="E771" t="s">
        <v>17</v>
      </c>
      <c r="F771" t="s">
        <v>18</v>
      </c>
      <c r="G771">
        <v>1</v>
      </c>
      <c r="H771">
        <v>3124.78</v>
      </c>
      <c r="I771">
        <v>0.1</v>
      </c>
      <c r="J771">
        <v>2812.3</v>
      </c>
      <c r="K771" t="s">
        <v>41</v>
      </c>
      <c r="L771" t="s">
        <v>34</v>
      </c>
      <c r="M771" t="s">
        <v>21</v>
      </c>
      <c r="N771" t="s">
        <v>22</v>
      </c>
      <c r="O771">
        <f>Table1[[#All],[Quantity]]*Table1[[#All],[Unit Price (?)]]</f>
        <v>3124.78</v>
      </c>
      <c r="P771" t="str">
        <f>TEXT(Table1[[#All],[Order Date]],"dddd")</f>
        <v>Thursday</v>
      </c>
      <c r="Q771" t="str">
        <f>TEXT(Table1[[#All],[Order Date]],"mmm")</f>
        <v>Feb</v>
      </c>
      <c r="R771" t="str">
        <f>IF(Table1[[#All],[Total Price (?)]]&gt;1000,"High Value","Normal")</f>
        <v>High Value</v>
      </c>
    </row>
    <row r="772" spans="1:18" x14ac:dyDescent="0.3">
      <c r="A772" t="s">
        <v>833</v>
      </c>
      <c r="B772" s="1">
        <v>45760</v>
      </c>
      <c r="C772" t="s">
        <v>36</v>
      </c>
      <c r="D772" t="s">
        <v>25</v>
      </c>
      <c r="E772" t="s">
        <v>49</v>
      </c>
      <c r="F772" t="s">
        <v>50</v>
      </c>
      <c r="G772">
        <v>3</v>
      </c>
      <c r="H772">
        <v>3289.51</v>
      </c>
      <c r="I772">
        <v>0.17</v>
      </c>
      <c r="J772">
        <v>8190.88</v>
      </c>
      <c r="K772" t="s">
        <v>33</v>
      </c>
      <c r="L772" t="s">
        <v>20</v>
      </c>
      <c r="M772" t="s">
        <v>54</v>
      </c>
      <c r="N772" t="s">
        <v>22</v>
      </c>
      <c r="O772">
        <f>Table1[[#All],[Quantity]]*Table1[[#All],[Unit Price (?)]]</f>
        <v>9868.5300000000007</v>
      </c>
      <c r="P772" t="str">
        <f>TEXT(Table1[[#All],[Order Date]],"dddd")</f>
        <v>Sunday</v>
      </c>
      <c r="Q772" t="str">
        <f>TEXT(Table1[[#All],[Order Date]],"mmm")</f>
        <v>Apr</v>
      </c>
      <c r="R772" t="str">
        <f>IF(Table1[[#All],[Total Price (?)]]&gt;1000,"High Value","Normal")</f>
        <v>High Value</v>
      </c>
    </row>
    <row r="773" spans="1:18" x14ac:dyDescent="0.3">
      <c r="A773" t="s">
        <v>834</v>
      </c>
      <c r="B773" s="1">
        <v>45788</v>
      </c>
      <c r="C773" t="s">
        <v>24</v>
      </c>
      <c r="D773" t="s">
        <v>43</v>
      </c>
      <c r="E773" t="s">
        <v>27</v>
      </c>
      <c r="F773" t="s">
        <v>68</v>
      </c>
      <c r="G773">
        <v>5</v>
      </c>
      <c r="H773">
        <v>3595.17</v>
      </c>
      <c r="I773">
        <v>0.15</v>
      </c>
      <c r="J773">
        <v>15279.47</v>
      </c>
      <c r="K773" t="s">
        <v>58</v>
      </c>
      <c r="L773" t="s">
        <v>20</v>
      </c>
      <c r="M773" t="s">
        <v>54</v>
      </c>
      <c r="N773" t="s">
        <v>22</v>
      </c>
      <c r="O773">
        <f>Table1[[#All],[Quantity]]*Table1[[#All],[Unit Price (?)]]</f>
        <v>17975.849999999999</v>
      </c>
      <c r="P773" t="str">
        <f>TEXT(Table1[[#All],[Order Date]],"dddd")</f>
        <v>Sunday</v>
      </c>
      <c r="Q773" t="str">
        <f>TEXT(Table1[[#All],[Order Date]],"mmm")</f>
        <v>May</v>
      </c>
      <c r="R773" t="str">
        <f>IF(Table1[[#All],[Total Price (?)]]&gt;1000,"High Value","Normal")</f>
        <v>High Value</v>
      </c>
    </row>
    <row r="774" spans="1:18" x14ac:dyDescent="0.3">
      <c r="A774" t="s">
        <v>835</v>
      </c>
      <c r="B774" s="1">
        <v>45782</v>
      </c>
      <c r="C774" t="s">
        <v>48</v>
      </c>
      <c r="D774" t="s">
        <v>16</v>
      </c>
      <c r="E774" t="s">
        <v>99</v>
      </c>
      <c r="F774" t="s">
        <v>111</v>
      </c>
      <c r="G774">
        <v>5</v>
      </c>
      <c r="H774">
        <v>2278.66</v>
      </c>
      <c r="I774">
        <v>0.06</v>
      </c>
      <c r="J774">
        <v>10709.7</v>
      </c>
      <c r="K774" t="s">
        <v>41</v>
      </c>
      <c r="L774" t="s">
        <v>29</v>
      </c>
      <c r="M774" t="s">
        <v>54</v>
      </c>
      <c r="N774" t="s">
        <v>22</v>
      </c>
      <c r="O774">
        <f>Table1[[#All],[Quantity]]*Table1[[#All],[Unit Price (?)]]</f>
        <v>11393.3</v>
      </c>
      <c r="P774" t="str">
        <f>TEXT(Table1[[#All],[Order Date]],"dddd")</f>
        <v>Monday</v>
      </c>
      <c r="Q774" t="str">
        <f>TEXT(Table1[[#All],[Order Date]],"mmm")</f>
        <v>May</v>
      </c>
      <c r="R774" t="str">
        <f>IF(Table1[[#All],[Total Price (?)]]&gt;1000,"High Value","Normal")</f>
        <v>High Value</v>
      </c>
    </row>
    <row r="775" spans="1:18" x14ac:dyDescent="0.3">
      <c r="A775" t="s">
        <v>836</v>
      </c>
      <c r="B775" s="1">
        <v>45780</v>
      </c>
      <c r="C775" t="s">
        <v>36</v>
      </c>
      <c r="D775" t="s">
        <v>25</v>
      </c>
      <c r="E775" t="s">
        <v>27</v>
      </c>
      <c r="F775" t="s">
        <v>87</v>
      </c>
      <c r="G775">
        <v>5</v>
      </c>
      <c r="H775">
        <v>4437.59</v>
      </c>
      <c r="I775">
        <v>0.19</v>
      </c>
      <c r="J775">
        <v>17972.240000000002</v>
      </c>
      <c r="K775" t="s">
        <v>46</v>
      </c>
      <c r="L775" t="s">
        <v>34</v>
      </c>
      <c r="M775" t="s">
        <v>54</v>
      </c>
      <c r="N775" t="s">
        <v>22</v>
      </c>
      <c r="O775">
        <f>Table1[[#All],[Quantity]]*Table1[[#All],[Unit Price (?)]]</f>
        <v>22187.95</v>
      </c>
      <c r="P775" t="str">
        <f>TEXT(Table1[[#All],[Order Date]],"dddd")</f>
        <v>Saturday</v>
      </c>
      <c r="Q775" t="str">
        <f>TEXT(Table1[[#All],[Order Date]],"mmm")</f>
        <v>May</v>
      </c>
      <c r="R775" t="str">
        <f>IF(Table1[[#All],[Total Price (?)]]&gt;1000,"High Value","Normal")</f>
        <v>High Value</v>
      </c>
    </row>
    <row r="776" spans="1:18" x14ac:dyDescent="0.3">
      <c r="A776" t="s">
        <v>837</v>
      </c>
      <c r="B776" s="1">
        <v>45725</v>
      </c>
      <c r="C776" t="s">
        <v>15</v>
      </c>
      <c r="D776" t="s">
        <v>16</v>
      </c>
      <c r="E776" t="s">
        <v>99</v>
      </c>
      <c r="F776" t="s">
        <v>111</v>
      </c>
      <c r="G776">
        <v>5</v>
      </c>
      <c r="H776">
        <v>3322.62</v>
      </c>
      <c r="I776">
        <v>0.04</v>
      </c>
      <c r="J776">
        <v>15948.58</v>
      </c>
      <c r="K776" t="s">
        <v>58</v>
      </c>
      <c r="L776" t="s">
        <v>29</v>
      </c>
      <c r="M776" t="s">
        <v>54</v>
      </c>
      <c r="N776" t="s">
        <v>22</v>
      </c>
      <c r="O776">
        <f>Table1[[#All],[Quantity]]*Table1[[#All],[Unit Price (?)]]</f>
        <v>16613.099999999999</v>
      </c>
      <c r="P776" t="str">
        <f>TEXT(Table1[[#All],[Order Date]],"dddd")</f>
        <v>Sunday</v>
      </c>
      <c r="Q776" t="str">
        <f>TEXT(Table1[[#All],[Order Date]],"mmm")</f>
        <v>Mar</v>
      </c>
      <c r="R776" t="str">
        <f>IF(Table1[[#All],[Total Price (?)]]&gt;1000,"High Value","Normal")</f>
        <v>High Value</v>
      </c>
    </row>
    <row r="777" spans="1:18" x14ac:dyDescent="0.3">
      <c r="A777" t="s">
        <v>838</v>
      </c>
      <c r="B777" s="1">
        <v>45678</v>
      </c>
      <c r="C777" t="s">
        <v>52</v>
      </c>
      <c r="D777" t="s">
        <v>39</v>
      </c>
      <c r="E777" t="s">
        <v>61</v>
      </c>
      <c r="F777" t="s">
        <v>75</v>
      </c>
      <c r="G777">
        <v>2</v>
      </c>
      <c r="H777">
        <v>3372.51</v>
      </c>
      <c r="I777">
        <v>0.17</v>
      </c>
      <c r="J777">
        <v>5598.37</v>
      </c>
      <c r="K777" t="s">
        <v>58</v>
      </c>
      <c r="L777" t="s">
        <v>34</v>
      </c>
      <c r="M777" t="s">
        <v>30</v>
      </c>
      <c r="N777" t="s">
        <v>37</v>
      </c>
      <c r="O777">
        <f>Table1[[#All],[Quantity]]*Table1[[#All],[Unit Price (?)]]</f>
        <v>6745.02</v>
      </c>
      <c r="P777" t="str">
        <f>TEXT(Table1[[#All],[Order Date]],"dddd")</f>
        <v>Tuesday</v>
      </c>
      <c r="Q777" t="str">
        <f>TEXT(Table1[[#All],[Order Date]],"mmm")</f>
        <v>Jan</v>
      </c>
      <c r="R777" t="str">
        <f>IF(Table1[[#All],[Total Price (?)]]&gt;1000,"High Value","Normal")</f>
        <v>High Value</v>
      </c>
    </row>
    <row r="778" spans="1:18" x14ac:dyDescent="0.3">
      <c r="A778" t="s">
        <v>839</v>
      </c>
      <c r="B778" s="1">
        <v>45818</v>
      </c>
      <c r="C778" t="s">
        <v>36</v>
      </c>
      <c r="D778" t="s">
        <v>25</v>
      </c>
      <c r="E778" t="s">
        <v>27</v>
      </c>
      <c r="F778" t="s">
        <v>28</v>
      </c>
      <c r="G778">
        <v>3</v>
      </c>
      <c r="H778">
        <v>895.17</v>
      </c>
      <c r="I778">
        <v>0.11</v>
      </c>
      <c r="J778">
        <v>2390.1</v>
      </c>
      <c r="K778" t="s">
        <v>46</v>
      </c>
      <c r="L778" t="s">
        <v>34</v>
      </c>
      <c r="M778" t="s">
        <v>54</v>
      </c>
      <c r="N778" t="s">
        <v>22</v>
      </c>
      <c r="O778">
        <f>Table1[[#All],[Quantity]]*Table1[[#All],[Unit Price (?)]]</f>
        <v>2685.5099999999998</v>
      </c>
      <c r="P778" t="str">
        <f>TEXT(Table1[[#All],[Order Date]],"dddd")</f>
        <v>Tuesday</v>
      </c>
      <c r="Q778" t="str">
        <f>TEXT(Table1[[#All],[Order Date]],"mmm")</f>
        <v>Jun</v>
      </c>
      <c r="R778" t="str">
        <f>IF(Table1[[#All],[Total Price (?)]]&gt;1000,"High Value","Normal")</f>
        <v>High Value</v>
      </c>
    </row>
    <row r="779" spans="1:18" x14ac:dyDescent="0.3">
      <c r="A779" t="s">
        <v>840</v>
      </c>
      <c r="B779" s="1">
        <v>45805</v>
      </c>
      <c r="C779" t="s">
        <v>52</v>
      </c>
      <c r="D779" t="s">
        <v>25</v>
      </c>
      <c r="E779" t="s">
        <v>17</v>
      </c>
      <c r="F779" t="s">
        <v>44</v>
      </c>
      <c r="G779">
        <v>2</v>
      </c>
      <c r="H779">
        <v>1271.19</v>
      </c>
      <c r="I779">
        <v>0.18</v>
      </c>
      <c r="J779">
        <v>2084.75</v>
      </c>
      <c r="K779" t="s">
        <v>41</v>
      </c>
      <c r="L779" t="s">
        <v>29</v>
      </c>
      <c r="M779" t="s">
        <v>30</v>
      </c>
      <c r="N779" t="s">
        <v>22</v>
      </c>
      <c r="O779">
        <f>Table1[[#All],[Quantity]]*Table1[[#All],[Unit Price (?)]]</f>
        <v>2542.38</v>
      </c>
      <c r="P779" t="str">
        <f>TEXT(Table1[[#All],[Order Date]],"dddd")</f>
        <v>Wednesday</v>
      </c>
      <c r="Q779" t="str">
        <f>TEXT(Table1[[#All],[Order Date]],"mmm")</f>
        <v>May</v>
      </c>
      <c r="R779" t="str">
        <f>IF(Table1[[#All],[Total Price (?)]]&gt;1000,"High Value","Normal")</f>
        <v>High Value</v>
      </c>
    </row>
    <row r="780" spans="1:18" x14ac:dyDescent="0.3">
      <c r="A780" t="s">
        <v>841</v>
      </c>
      <c r="B780" s="1">
        <v>45705</v>
      </c>
      <c r="C780" t="s">
        <v>15</v>
      </c>
      <c r="D780" t="s">
        <v>25</v>
      </c>
      <c r="E780" t="s">
        <v>61</v>
      </c>
      <c r="F780" t="s">
        <v>62</v>
      </c>
      <c r="G780">
        <v>3</v>
      </c>
      <c r="H780">
        <v>247.09</v>
      </c>
      <c r="I780">
        <v>0.03</v>
      </c>
      <c r="J780">
        <v>719.03</v>
      </c>
      <c r="K780" t="s">
        <v>58</v>
      </c>
      <c r="L780" t="s">
        <v>20</v>
      </c>
      <c r="M780" t="s">
        <v>30</v>
      </c>
      <c r="N780" t="s">
        <v>22</v>
      </c>
      <c r="O780">
        <f>Table1[[#All],[Quantity]]*Table1[[#All],[Unit Price (?)]]</f>
        <v>741.27</v>
      </c>
      <c r="P780" t="str">
        <f>TEXT(Table1[[#All],[Order Date]],"dddd")</f>
        <v>Monday</v>
      </c>
      <c r="Q780" t="str">
        <f>TEXT(Table1[[#All],[Order Date]],"mmm")</f>
        <v>Feb</v>
      </c>
      <c r="R780" t="str">
        <f>IF(Table1[[#All],[Total Price (?)]]&gt;1000,"High Value","Normal")</f>
        <v>Normal</v>
      </c>
    </row>
    <row r="781" spans="1:18" x14ac:dyDescent="0.3">
      <c r="A781" t="s">
        <v>842</v>
      </c>
      <c r="B781" s="1">
        <v>45790</v>
      </c>
      <c r="C781" t="s">
        <v>24</v>
      </c>
      <c r="D781" t="s">
        <v>43</v>
      </c>
      <c r="E781" t="s">
        <v>27</v>
      </c>
      <c r="F781" t="s">
        <v>28</v>
      </c>
      <c r="G781">
        <v>2</v>
      </c>
      <c r="H781">
        <v>1492.09</v>
      </c>
      <c r="I781">
        <v>0.05</v>
      </c>
      <c r="J781">
        <v>2834.97</v>
      </c>
      <c r="K781" t="s">
        <v>58</v>
      </c>
      <c r="L781" t="s">
        <v>20</v>
      </c>
      <c r="M781" t="s">
        <v>30</v>
      </c>
      <c r="N781" t="s">
        <v>22</v>
      </c>
      <c r="O781">
        <f>Table1[[#All],[Quantity]]*Table1[[#All],[Unit Price (?)]]</f>
        <v>2984.18</v>
      </c>
      <c r="P781" t="str">
        <f>TEXT(Table1[[#All],[Order Date]],"dddd")</f>
        <v>Tuesday</v>
      </c>
      <c r="Q781" t="str">
        <f>TEXT(Table1[[#All],[Order Date]],"mmm")</f>
        <v>May</v>
      </c>
      <c r="R781" t="str">
        <f>IF(Table1[[#All],[Total Price (?)]]&gt;1000,"High Value","Normal")</f>
        <v>High Value</v>
      </c>
    </row>
    <row r="782" spans="1:18" x14ac:dyDescent="0.3">
      <c r="A782" t="s">
        <v>843</v>
      </c>
      <c r="B782" s="1">
        <v>45720</v>
      </c>
      <c r="C782" t="s">
        <v>52</v>
      </c>
      <c r="D782" t="s">
        <v>43</v>
      </c>
      <c r="E782" t="s">
        <v>27</v>
      </c>
      <c r="F782" t="s">
        <v>68</v>
      </c>
      <c r="G782">
        <v>2</v>
      </c>
      <c r="H782">
        <v>4230.12</v>
      </c>
      <c r="I782">
        <v>0.23</v>
      </c>
      <c r="J782">
        <v>6514.38</v>
      </c>
      <c r="K782" t="s">
        <v>19</v>
      </c>
      <c r="L782" t="s">
        <v>20</v>
      </c>
      <c r="M782" t="s">
        <v>54</v>
      </c>
      <c r="N782" t="s">
        <v>22</v>
      </c>
      <c r="O782">
        <f>Table1[[#All],[Quantity]]*Table1[[#All],[Unit Price (?)]]</f>
        <v>8460.24</v>
      </c>
      <c r="P782" t="str">
        <f>TEXT(Table1[[#All],[Order Date]],"dddd")</f>
        <v>Tuesday</v>
      </c>
      <c r="Q782" t="str">
        <f>TEXT(Table1[[#All],[Order Date]],"mmm")</f>
        <v>Mar</v>
      </c>
      <c r="R782" t="str">
        <f>IF(Table1[[#All],[Total Price (?)]]&gt;1000,"High Value","Normal")</f>
        <v>High Value</v>
      </c>
    </row>
    <row r="783" spans="1:18" x14ac:dyDescent="0.3">
      <c r="A783" t="s">
        <v>844</v>
      </c>
      <c r="B783" s="1">
        <v>45703</v>
      </c>
      <c r="C783" t="s">
        <v>52</v>
      </c>
      <c r="D783" t="s">
        <v>25</v>
      </c>
      <c r="E783" t="s">
        <v>17</v>
      </c>
      <c r="F783" t="s">
        <v>32</v>
      </c>
      <c r="G783">
        <v>2</v>
      </c>
      <c r="H783">
        <v>1911.24</v>
      </c>
      <c r="I783">
        <v>0.09</v>
      </c>
      <c r="J783">
        <v>3478.46</v>
      </c>
      <c r="K783" t="s">
        <v>46</v>
      </c>
      <c r="L783" t="s">
        <v>34</v>
      </c>
      <c r="M783" t="s">
        <v>54</v>
      </c>
      <c r="N783" t="s">
        <v>37</v>
      </c>
      <c r="O783">
        <f>Table1[[#All],[Quantity]]*Table1[[#All],[Unit Price (?)]]</f>
        <v>3822.48</v>
      </c>
      <c r="P783" t="str">
        <f>TEXT(Table1[[#All],[Order Date]],"dddd")</f>
        <v>Saturday</v>
      </c>
      <c r="Q783" t="str">
        <f>TEXT(Table1[[#All],[Order Date]],"mmm")</f>
        <v>Feb</v>
      </c>
      <c r="R783" t="str">
        <f>IF(Table1[[#All],[Total Price (?)]]&gt;1000,"High Value","Normal")</f>
        <v>High Value</v>
      </c>
    </row>
    <row r="784" spans="1:18" x14ac:dyDescent="0.3">
      <c r="A784" t="s">
        <v>845</v>
      </c>
      <c r="B784" s="1">
        <v>45816</v>
      </c>
      <c r="C784" t="s">
        <v>52</v>
      </c>
      <c r="D784" t="s">
        <v>25</v>
      </c>
      <c r="E784" t="s">
        <v>17</v>
      </c>
      <c r="F784" t="s">
        <v>18</v>
      </c>
      <c r="G784">
        <v>2</v>
      </c>
      <c r="H784">
        <v>2709.52</v>
      </c>
      <c r="I784">
        <v>0.17</v>
      </c>
      <c r="J784">
        <v>4497.8</v>
      </c>
      <c r="K784" t="s">
        <v>19</v>
      </c>
      <c r="L784" t="s">
        <v>20</v>
      </c>
      <c r="M784" t="s">
        <v>30</v>
      </c>
      <c r="N784" t="s">
        <v>59</v>
      </c>
      <c r="O784">
        <f>Table1[[#All],[Quantity]]*Table1[[#All],[Unit Price (?)]]</f>
        <v>5419.04</v>
      </c>
      <c r="P784" t="str">
        <f>TEXT(Table1[[#All],[Order Date]],"dddd")</f>
        <v>Sunday</v>
      </c>
      <c r="Q784" t="str">
        <f>TEXT(Table1[[#All],[Order Date]],"mmm")</f>
        <v>Jun</v>
      </c>
      <c r="R784" t="str">
        <f>IF(Table1[[#All],[Total Price (?)]]&gt;1000,"High Value","Normal")</f>
        <v>High Value</v>
      </c>
    </row>
    <row r="785" spans="1:18" x14ac:dyDescent="0.3">
      <c r="A785" t="s">
        <v>846</v>
      </c>
      <c r="B785" s="1">
        <v>45698</v>
      </c>
      <c r="C785" t="s">
        <v>36</v>
      </c>
      <c r="D785" t="s">
        <v>16</v>
      </c>
      <c r="E785" t="s">
        <v>61</v>
      </c>
      <c r="F785" t="s">
        <v>62</v>
      </c>
      <c r="G785">
        <v>5</v>
      </c>
      <c r="H785">
        <v>1541.5</v>
      </c>
      <c r="I785">
        <v>0.04</v>
      </c>
      <c r="J785">
        <v>7399.2</v>
      </c>
      <c r="K785" t="s">
        <v>33</v>
      </c>
      <c r="L785" t="s">
        <v>20</v>
      </c>
      <c r="M785" t="s">
        <v>54</v>
      </c>
      <c r="N785" t="s">
        <v>22</v>
      </c>
      <c r="O785">
        <f>Table1[[#All],[Quantity]]*Table1[[#All],[Unit Price (?)]]</f>
        <v>7707.5</v>
      </c>
      <c r="P785" t="str">
        <f>TEXT(Table1[[#All],[Order Date]],"dddd")</f>
        <v>Monday</v>
      </c>
      <c r="Q785" t="str">
        <f>TEXT(Table1[[#All],[Order Date]],"mmm")</f>
        <v>Feb</v>
      </c>
      <c r="R785" t="str">
        <f>IF(Table1[[#All],[Total Price (?)]]&gt;1000,"High Value","Normal")</f>
        <v>High Value</v>
      </c>
    </row>
    <row r="786" spans="1:18" x14ac:dyDescent="0.3">
      <c r="A786" t="s">
        <v>847</v>
      </c>
      <c r="B786" s="1">
        <v>45688</v>
      </c>
      <c r="C786" t="s">
        <v>36</v>
      </c>
      <c r="D786" t="s">
        <v>16</v>
      </c>
      <c r="E786" t="s">
        <v>99</v>
      </c>
      <c r="F786" t="s">
        <v>100</v>
      </c>
      <c r="G786">
        <v>2</v>
      </c>
      <c r="H786">
        <v>3663.76</v>
      </c>
      <c r="I786">
        <v>0.2</v>
      </c>
      <c r="J786">
        <v>5862.02</v>
      </c>
      <c r="K786" t="s">
        <v>33</v>
      </c>
      <c r="L786" t="s">
        <v>34</v>
      </c>
      <c r="M786" t="s">
        <v>21</v>
      </c>
      <c r="N786" t="s">
        <v>22</v>
      </c>
      <c r="O786">
        <f>Table1[[#All],[Quantity]]*Table1[[#All],[Unit Price (?)]]</f>
        <v>7327.52</v>
      </c>
      <c r="P786" t="str">
        <f>TEXT(Table1[[#All],[Order Date]],"dddd")</f>
        <v>Friday</v>
      </c>
      <c r="Q786" t="str">
        <f>TEXT(Table1[[#All],[Order Date]],"mmm")</f>
        <v>Jan</v>
      </c>
      <c r="R786" t="str">
        <f>IF(Table1[[#All],[Total Price (?)]]&gt;1000,"High Value","Normal")</f>
        <v>High Value</v>
      </c>
    </row>
    <row r="787" spans="1:18" x14ac:dyDescent="0.3">
      <c r="A787" t="s">
        <v>848</v>
      </c>
      <c r="B787" s="1">
        <v>45664</v>
      </c>
      <c r="C787" t="s">
        <v>48</v>
      </c>
      <c r="D787" t="s">
        <v>25</v>
      </c>
      <c r="E787" t="s">
        <v>49</v>
      </c>
      <c r="F787" t="s">
        <v>53</v>
      </c>
      <c r="G787">
        <v>2</v>
      </c>
      <c r="H787">
        <v>1676.93</v>
      </c>
      <c r="I787">
        <v>0.09</v>
      </c>
      <c r="J787">
        <v>3052.01</v>
      </c>
      <c r="K787" t="s">
        <v>33</v>
      </c>
      <c r="L787" t="s">
        <v>34</v>
      </c>
      <c r="M787" t="s">
        <v>21</v>
      </c>
      <c r="N787" t="s">
        <v>22</v>
      </c>
      <c r="O787">
        <f>Table1[[#All],[Quantity]]*Table1[[#All],[Unit Price (?)]]</f>
        <v>3353.86</v>
      </c>
      <c r="P787" t="str">
        <f>TEXT(Table1[[#All],[Order Date]],"dddd")</f>
        <v>Tuesday</v>
      </c>
      <c r="Q787" t="str">
        <f>TEXT(Table1[[#All],[Order Date]],"mmm")</f>
        <v>Jan</v>
      </c>
      <c r="R787" t="str">
        <f>IF(Table1[[#All],[Total Price (?)]]&gt;1000,"High Value","Normal")</f>
        <v>High Value</v>
      </c>
    </row>
    <row r="788" spans="1:18" x14ac:dyDescent="0.3">
      <c r="A788" t="s">
        <v>849</v>
      </c>
      <c r="B788" s="1">
        <v>45668</v>
      </c>
      <c r="C788" t="s">
        <v>15</v>
      </c>
      <c r="D788" t="s">
        <v>25</v>
      </c>
      <c r="E788" t="s">
        <v>49</v>
      </c>
      <c r="F788" t="s">
        <v>50</v>
      </c>
      <c r="G788">
        <v>5</v>
      </c>
      <c r="H788">
        <v>3283.71</v>
      </c>
      <c r="I788">
        <v>0.05</v>
      </c>
      <c r="J788">
        <v>15597.62</v>
      </c>
      <c r="K788" t="s">
        <v>33</v>
      </c>
      <c r="L788" t="s">
        <v>34</v>
      </c>
      <c r="M788" t="s">
        <v>54</v>
      </c>
      <c r="N788" t="s">
        <v>37</v>
      </c>
      <c r="O788">
        <f>Table1[[#All],[Quantity]]*Table1[[#All],[Unit Price (?)]]</f>
        <v>16418.55</v>
      </c>
      <c r="P788" t="str">
        <f>TEXT(Table1[[#All],[Order Date]],"dddd")</f>
        <v>Saturday</v>
      </c>
      <c r="Q788" t="str">
        <f>TEXT(Table1[[#All],[Order Date]],"mmm")</f>
        <v>Jan</v>
      </c>
      <c r="R788" t="str">
        <f>IF(Table1[[#All],[Total Price (?)]]&gt;1000,"High Value","Normal")</f>
        <v>High Value</v>
      </c>
    </row>
    <row r="789" spans="1:18" x14ac:dyDescent="0.3">
      <c r="A789" t="s">
        <v>850</v>
      </c>
      <c r="B789" s="1">
        <v>45707</v>
      </c>
      <c r="C789" t="s">
        <v>15</v>
      </c>
      <c r="D789" t="s">
        <v>16</v>
      </c>
      <c r="E789" t="s">
        <v>49</v>
      </c>
      <c r="F789" t="s">
        <v>73</v>
      </c>
      <c r="G789">
        <v>5</v>
      </c>
      <c r="H789">
        <v>870.33</v>
      </c>
      <c r="I789">
        <v>0.21</v>
      </c>
      <c r="J789">
        <v>3437.8</v>
      </c>
      <c r="K789" t="s">
        <v>41</v>
      </c>
      <c r="L789" t="s">
        <v>34</v>
      </c>
      <c r="M789" t="s">
        <v>30</v>
      </c>
      <c r="N789" t="s">
        <v>22</v>
      </c>
      <c r="O789">
        <f>Table1[[#All],[Quantity]]*Table1[[#All],[Unit Price (?)]]</f>
        <v>4351.6500000000005</v>
      </c>
      <c r="P789" t="str">
        <f>TEXT(Table1[[#All],[Order Date]],"dddd")</f>
        <v>Wednesday</v>
      </c>
      <c r="Q789" t="str">
        <f>TEXT(Table1[[#All],[Order Date]],"mmm")</f>
        <v>Feb</v>
      </c>
      <c r="R789" t="str">
        <f>IF(Table1[[#All],[Total Price (?)]]&gt;1000,"High Value","Normal")</f>
        <v>High Value</v>
      </c>
    </row>
    <row r="790" spans="1:18" x14ac:dyDescent="0.3">
      <c r="A790" t="s">
        <v>851</v>
      </c>
      <c r="B790" s="1">
        <v>45752</v>
      </c>
      <c r="C790" t="s">
        <v>48</v>
      </c>
      <c r="D790" t="s">
        <v>39</v>
      </c>
      <c r="E790" t="s">
        <v>17</v>
      </c>
      <c r="F790" t="s">
        <v>32</v>
      </c>
      <c r="G790">
        <v>2</v>
      </c>
      <c r="H790">
        <v>2961.41</v>
      </c>
      <c r="I790">
        <v>0.12</v>
      </c>
      <c r="J790">
        <v>5212.08</v>
      </c>
      <c r="K790" t="s">
        <v>33</v>
      </c>
      <c r="L790" t="s">
        <v>34</v>
      </c>
      <c r="M790" t="s">
        <v>21</v>
      </c>
      <c r="N790" t="s">
        <v>22</v>
      </c>
      <c r="O790">
        <f>Table1[[#All],[Quantity]]*Table1[[#All],[Unit Price (?)]]</f>
        <v>5922.82</v>
      </c>
      <c r="P790" t="str">
        <f>TEXT(Table1[[#All],[Order Date]],"dddd")</f>
        <v>Saturday</v>
      </c>
      <c r="Q790" t="str">
        <f>TEXT(Table1[[#All],[Order Date]],"mmm")</f>
        <v>Apr</v>
      </c>
      <c r="R790" t="str">
        <f>IF(Table1[[#All],[Total Price (?)]]&gt;1000,"High Value","Normal")</f>
        <v>High Value</v>
      </c>
    </row>
    <row r="791" spans="1:18" x14ac:dyDescent="0.3">
      <c r="A791" t="s">
        <v>852</v>
      </c>
      <c r="B791" s="1">
        <v>45778</v>
      </c>
      <c r="C791" t="s">
        <v>48</v>
      </c>
      <c r="D791" t="s">
        <v>43</v>
      </c>
      <c r="E791" t="s">
        <v>49</v>
      </c>
      <c r="F791" t="s">
        <v>50</v>
      </c>
      <c r="G791">
        <v>3</v>
      </c>
      <c r="H791">
        <v>1437.8</v>
      </c>
      <c r="I791">
        <v>0.01</v>
      </c>
      <c r="J791">
        <v>4270.2700000000004</v>
      </c>
      <c r="K791" t="s">
        <v>46</v>
      </c>
      <c r="L791" t="s">
        <v>34</v>
      </c>
      <c r="M791" t="s">
        <v>30</v>
      </c>
      <c r="N791" t="s">
        <v>22</v>
      </c>
      <c r="O791">
        <f>Table1[[#All],[Quantity]]*Table1[[#All],[Unit Price (?)]]</f>
        <v>4313.3999999999996</v>
      </c>
      <c r="P791" t="str">
        <f>TEXT(Table1[[#All],[Order Date]],"dddd")</f>
        <v>Thursday</v>
      </c>
      <c r="Q791" t="str">
        <f>TEXT(Table1[[#All],[Order Date]],"mmm")</f>
        <v>May</v>
      </c>
      <c r="R791" t="str">
        <f>IF(Table1[[#All],[Total Price (?)]]&gt;1000,"High Value","Normal")</f>
        <v>High Value</v>
      </c>
    </row>
    <row r="792" spans="1:18" x14ac:dyDescent="0.3">
      <c r="A792" t="s">
        <v>853</v>
      </c>
      <c r="B792" s="1">
        <v>45825</v>
      </c>
      <c r="C792" t="s">
        <v>24</v>
      </c>
      <c r="D792" t="s">
        <v>43</v>
      </c>
      <c r="E792" t="s">
        <v>17</v>
      </c>
      <c r="F792" t="s">
        <v>32</v>
      </c>
      <c r="G792">
        <v>5</v>
      </c>
      <c r="H792">
        <v>2778.59</v>
      </c>
      <c r="I792">
        <v>0.02</v>
      </c>
      <c r="J792">
        <v>13615.09</v>
      </c>
      <c r="K792" t="s">
        <v>46</v>
      </c>
      <c r="L792" t="s">
        <v>29</v>
      </c>
      <c r="M792" t="s">
        <v>30</v>
      </c>
      <c r="N792" t="s">
        <v>22</v>
      </c>
      <c r="O792">
        <f>Table1[[#All],[Quantity]]*Table1[[#All],[Unit Price (?)]]</f>
        <v>13892.95</v>
      </c>
      <c r="P792" t="str">
        <f>TEXT(Table1[[#All],[Order Date]],"dddd")</f>
        <v>Tuesday</v>
      </c>
      <c r="Q792" t="str">
        <f>TEXT(Table1[[#All],[Order Date]],"mmm")</f>
        <v>Jun</v>
      </c>
      <c r="R792" t="str">
        <f>IF(Table1[[#All],[Total Price (?)]]&gt;1000,"High Value","Normal")</f>
        <v>High Value</v>
      </c>
    </row>
    <row r="793" spans="1:18" x14ac:dyDescent="0.3">
      <c r="A793" t="s">
        <v>854</v>
      </c>
      <c r="B793" s="1">
        <v>45809</v>
      </c>
      <c r="C793" t="s">
        <v>24</v>
      </c>
      <c r="D793" t="s">
        <v>39</v>
      </c>
      <c r="E793" t="s">
        <v>17</v>
      </c>
      <c r="F793" t="s">
        <v>32</v>
      </c>
      <c r="G793">
        <v>3</v>
      </c>
      <c r="H793">
        <v>1063.57</v>
      </c>
      <c r="I793">
        <v>0.08</v>
      </c>
      <c r="J793">
        <v>2935.45</v>
      </c>
      <c r="K793" t="s">
        <v>33</v>
      </c>
      <c r="L793" t="s">
        <v>20</v>
      </c>
      <c r="M793" t="s">
        <v>30</v>
      </c>
      <c r="N793" t="s">
        <v>22</v>
      </c>
      <c r="O793">
        <f>Table1[[#All],[Quantity]]*Table1[[#All],[Unit Price (?)]]</f>
        <v>3190.71</v>
      </c>
      <c r="P793" t="str">
        <f>TEXT(Table1[[#All],[Order Date]],"dddd")</f>
        <v>Sunday</v>
      </c>
      <c r="Q793" t="str">
        <f>TEXT(Table1[[#All],[Order Date]],"mmm")</f>
        <v>Jun</v>
      </c>
      <c r="R793" t="str">
        <f>IF(Table1[[#All],[Total Price (?)]]&gt;1000,"High Value","Normal")</f>
        <v>High Value</v>
      </c>
    </row>
    <row r="794" spans="1:18" x14ac:dyDescent="0.3">
      <c r="A794" t="s">
        <v>855</v>
      </c>
      <c r="B794" s="1">
        <v>45674</v>
      </c>
      <c r="C794" t="s">
        <v>36</v>
      </c>
      <c r="D794" t="s">
        <v>25</v>
      </c>
      <c r="E794" t="s">
        <v>27</v>
      </c>
      <c r="F794" t="s">
        <v>68</v>
      </c>
      <c r="G794">
        <v>3</v>
      </c>
      <c r="H794">
        <v>1481.04</v>
      </c>
      <c r="I794">
        <v>0.09</v>
      </c>
      <c r="J794">
        <v>4043.24</v>
      </c>
      <c r="K794" t="s">
        <v>46</v>
      </c>
      <c r="L794" t="s">
        <v>20</v>
      </c>
      <c r="M794" t="s">
        <v>30</v>
      </c>
      <c r="N794" t="s">
        <v>88</v>
      </c>
      <c r="O794">
        <f>Table1[[#All],[Quantity]]*Table1[[#All],[Unit Price (?)]]</f>
        <v>4443.12</v>
      </c>
      <c r="P794" t="str">
        <f>TEXT(Table1[[#All],[Order Date]],"dddd")</f>
        <v>Friday</v>
      </c>
      <c r="Q794" t="str">
        <f>TEXT(Table1[[#All],[Order Date]],"mmm")</f>
        <v>Jan</v>
      </c>
      <c r="R794" t="str">
        <f>IF(Table1[[#All],[Total Price (?)]]&gt;1000,"High Value","Normal")</f>
        <v>High Value</v>
      </c>
    </row>
    <row r="795" spans="1:18" x14ac:dyDescent="0.3">
      <c r="A795" t="s">
        <v>856</v>
      </c>
      <c r="B795" s="1">
        <v>45748</v>
      </c>
      <c r="C795" t="s">
        <v>36</v>
      </c>
      <c r="D795" t="s">
        <v>43</v>
      </c>
      <c r="E795" t="s">
        <v>17</v>
      </c>
      <c r="F795" t="s">
        <v>40</v>
      </c>
      <c r="G795">
        <v>2</v>
      </c>
      <c r="H795">
        <v>1211.94</v>
      </c>
      <c r="I795">
        <v>0.19</v>
      </c>
      <c r="J795">
        <v>1963.34</v>
      </c>
      <c r="K795" t="s">
        <v>19</v>
      </c>
      <c r="L795" t="s">
        <v>34</v>
      </c>
      <c r="M795" t="s">
        <v>30</v>
      </c>
      <c r="N795" t="s">
        <v>22</v>
      </c>
      <c r="O795">
        <f>Table1[[#All],[Quantity]]*Table1[[#All],[Unit Price (?)]]</f>
        <v>2423.88</v>
      </c>
      <c r="P795" t="str">
        <f>TEXT(Table1[[#All],[Order Date]],"dddd")</f>
        <v>Tuesday</v>
      </c>
      <c r="Q795" t="str">
        <f>TEXT(Table1[[#All],[Order Date]],"mmm")</f>
        <v>Apr</v>
      </c>
      <c r="R795" t="str">
        <f>IF(Table1[[#All],[Total Price (?)]]&gt;1000,"High Value","Normal")</f>
        <v>High Value</v>
      </c>
    </row>
    <row r="796" spans="1:18" x14ac:dyDescent="0.3">
      <c r="A796" t="s">
        <v>857</v>
      </c>
      <c r="B796" s="1">
        <v>45740</v>
      </c>
      <c r="C796" t="s">
        <v>48</v>
      </c>
      <c r="D796" t="s">
        <v>25</v>
      </c>
      <c r="E796" t="s">
        <v>27</v>
      </c>
      <c r="F796" t="s">
        <v>87</v>
      </c>
      <c r="G796">
        <v>3</v>
      </c>
      <c r="H796">
        <v>4244.43</v>
      </c>
      <c r="I796">
        <v>0.11</v>
      </c>
      <c r="J796">
        <v>11332.63</v>
      </c>
      <c r="K796" t="s">
        <v>46</v>
      </c>
      <c r="L796" t="s">
        <v>20</v>
      </c>
      <c r="M796" t="s">
        <v>21</v>
      </c>
      <c r="N796" t="s">
        <v>22</v>
      </c>
      <c r="O796">
        <f>Table1[[#All],[Quantity]]*Table1[[#All],[Unit Price (?)]]</f>
        <v>12733.29</v>
      </c>
      <c r="P796" t="str">
        <f>TEXT(Table1[[#All],[Order Date]],"dddd")</f>
        <v>Monday</v>
      </c>
      <c r="Q796" t="str">
        <f>TEXT(Table1[[#All],[Order Date]],"mmm")</f>
        <v>Mar</v>
      </c>
      <c r="R796" t="str">
        <f>IF(Table1[[#All],[Total Price (?)]]&gt;1000,"High Value","Normal")</f>
        <v>High Value</v>
      </c>
    </row>
    <row r="797" spans="1:18" x14ac:dyDescent="0.3">
      <c r="A797" t="s">
        <v>858</v>
      </c>
      <c r="B797" s="1">
        <v>45832</v>
      </c>
      <c r="C797" t="s">
        <v>15</v>
      </c>
      <c r="D797" t="s">
        <v>39</v>
      </c>
      <c r="E797" t="s">
        <v>49</v>
      </c>
      <c r="F797" t="s">
        <v>56</v>
      </c>
      <c r="G797">
        <v>2</v>
      </c>
      <c r="H797">
        <v>1597.3</v>
      </c>
      <c r="I797">
        <v>0.18</v>
      </c>
      <c r="J797">
        <v>2619.5700000000002</v>
      </c>
      <c r="K797" t="s">
        <v>19</v>
      </c>
      <c r="L797" t="s">
        <v>29</v>
      </c>
      <c r="M797" t="s">
        <v>30</v>
      </c>
      <c r="N797" t="s">
        <v>22</v>
      </c>
      <c r="O797">
        <f>Table1[[#All],[Quantity]]*Table1[[#All],[Unit Price (?)]]</f>
        <v>3194.6</v>
      </c>
      <c r="P797" t="str">
        <f>TEXT(Table1[[#All],[Order Date]],"dddd")</f>
        <v>Tuesday</v>
      </c>
      <c r="Q797" t="str">
        <f>TEXT(Table1[[#All],[Order Date]],"mmm")</f>
        <v>Jun</v>
      </c>
      <c r="R797" t="str">
        <f>IF(Table1[[#All],[Total Price (?)]]&gt;1000,"High Value","Normal")</f>
        <v>High Value</v>
      </c>
    </row>
    <row r="798" spans="1:18" x14ac:dyDescent="0.3">
      <c r="A798" t="s">
        <v>859</v>
      </c>
      <c r="B798" s="1">
        <v>45782</v>
      </c>
      <c r="C798" t="s">
        <v>48</v>
      </c>
      <c r="D798" t="s">
        <v>43</v>
      </c>
      <c r="E798" t="s">
        <v>49</v>
      </c>
      <c r="F798" t="s">
        <v>50</v>
      </c>
      <c r="G798">
        <v>3</v>
      </c>
      <c r="H798">
        <v>2976.08</v>
      </c>
      <c r="I798">
        <v>0.14000000000000001</v>
      </c>
      <c r="J798">
        <v>7678.29</v>
      </c>
      <c r="K798" t="s">
        <v>33</v>
      </c>
      <c r="L798" t="s">
        <v>34</v>
      </c>
      <c r="M798" t="s">
        <v>54</v>
      </c>
      <c r="N798" t="s">
        <v>22</v>
      </c>
      <c r="O798">
        <f>Table1[[#All],[Quantity]]*Table1[[#All],[Unit Price (?)]]</f>
        <v>8928.24</v>
      </c>
      <c r="P798" t="str">
        <f>TEXT(Table1[[#All],[Order Date]],"dddd")</f>
        <v>Monday</v>
      </c>
      <c r="Q798" t="str">
        <f>TEXT(Table1[[#All],[Order Date]],"mmm")</f>
        <v>May</v>
      </c>
      <c r="R798" t="str">
        <f>IF(Table1[[#All],[Total Price (?)]]&gt;1000,"High Value","Normal")</f>
        <v>High Value</v>
      </c>
    </row>
    <row r="799" spans="1:18" x14ac:dyDescent="0.3">
      <c r="A799" t="s">
        <v>860</v>
      </c>
      <c r="B799" s="1">
        <v>45771</v>
      </c>
      <c r="C799" t="s">
        <v>48</v>
      </c>
      <c r="D799" t="s">
        <v>39</v>
      </c>
      <c r="E799" t="s">
        <v>99</v>
      </c>
      <c r="F799" t="s">
        <v>115</v>
      </c>
      <c r="G799">
        <v>1</v>
      </c>
      <c r="H799">
        <v>2719</v>
      </c>
      <c r="I799">
        <v>0.05</v>
      </c>
      <c r="J799">
        <v>2583.0500000000002</v>
      </c>
      <c r="K799" t="s">
        <v>19</v>
      </c>
      <c r="L799" t="s">
        <v>34</v>
      </c>
      <c r="M799" t="s">
        <v>54</v>
      </c>
      <c r="N799" t="s">
        <v>22</v>
      </c>
      <c r="O799">
        <f>Table1[[#All],[Quantity]]*Table1[[#All],[Unit Price (?)]]</f>
        <v>2719</v>
      </c>
      <c r="P799" t="str">
        <f>TEXT(Table1[[#All],[Order Date]],"dddd")</f>
        <v>Thursday</v>
      </c>
      <c r="Q799" t="str">
        <f>TEXT(Table1[[#All],[Order Date]],"mmm")</f>
        <v>Apr</v>
      </c>
      <c r="R799" t="str">
        <f>IF(Table1[[#All],[Total Price (?)]]&gt;1000,"High Value","Normal")</f>
        <v>High Value</v>
      </c>
    </row>
    <row r="800" spans="1:18" x14ac:dyDescent="0.3">
      <c r="A800" t="s">
        <v>861</v>
      </c>
      <c r="B800" s="1">
        <v>45697</v>
      </c>
      <c r="C800" t="s">
        <v>24</v>
      </c>
      <c r="D800" t="s">
        <v>25</v>
      </c>
      <c r="E800" t="s">
        <v>49</v>
      </c>
      <c r="F800" t="s">
        <v>53</v>
      </c>
      <c r="G800">
        <v>5</v>
      </c>
      <c r="H800">
        <v>970.42</v>
      </c>
      <c r="I800">
        <v>0.21</v>
      </c>
      <c r="J800">
        <v>3833.16</v>
      </c>
      <c r="K800" t="s">
        <v>19</v>
      </c>
      <c r="L800" t="s">
        <v>20</v>
      </c>
      <c r="M800" t="s">
        <v>21</v>
      </c>
      <c r="N800" t="s">
        <v>22</v>
      </c>
      <c r="O800">
        <f>Table1[[#All],[Quantity]]*Table1[[#All],[Unit Price (?)]]</f>
        <v>4852.0999999999995</v>
      </c>
      <c r="P800" t="str">
        <f>TEXT(Table1[[#All],[Order Date]],"dddd")</f>
        <v>Sunday</v>
      </c>
      <c r="Q800" t="str">
        <f>TEXT(Table1[[#All],[Order Date]],"mmm")</f>
        <v>Feb</v>
      </c>
      <c r="R800" t="str">
        <f>IF(Table1[[#All],[Total Price (?)]]&gt;1000,"High Value","Normal")</f>
        <v>High Value</v>
      </c>
    </row>
    <row r="801" spans="1:18" x14ac:dyDescent="0.3">
      <c r="A801" t="s">
        <v>862</v>
      </c>
      <c r="B801" s="1">
        <v>45799</v>
      </c>
      <c r="C801" t="s">
        <v>48</v>
      </c>
      <c r="D801" t="s">
        <v>16</v>
      </c>
      <c r="E801" t="s">
        <v>61</v>
      </c>
      <c r="F801" t="s">
        <v>62</v>
      </c>
      <c r="G801">
        <v>2</v>
      </c>
      <c r="H801">
        <v>1526.42</v>
      </c>
      <c r="I801">
        <v>0.13</v>
      </c>
      <c r="J801">
        <v>2655.97</v>
      </c>
      <c r="K801" t="s">
        <v>46</v>
      </c>
      <c r="L801" t="s">
        <v>20</v>
      </c>
      <c r="M801" t="s">
        <v>30</v>
      </c>
      <c r="N801" t="s">
        <v>22</v>
      </c>
      <c r="O801">
        <f>Table1[[#All],[Quantity]]*Table1[[#All],[Unit Price (?)]]</f>
        <v>3052.84</v>
      </c>
      <c r="P801" t="str">
        <f>TEXT(Table1[[#All],[Order Date]],"dddd")</f>
        <v>Thursday</v>
      </c>
      <c r="Q801" t="str">
        <f>TEXT(Table1[[#All],[Order Date]],"mmm")</f>
        <v>May</v>
      </c>
      <c r="R801" t="str">
        <f>IF(Table1[[#All],[Total Price (?)]]&gt;1000,"High Value","Normal")</f>
        <v>High Value</v>
      </c>
    </row>
    <row r="802" spans="1:18" x14ac:dyDescent="0.3">
      <c r="A802" t="s">
        <v>863</v>
      </c>
      <c r="B802" s="1">
        <v>45795</v>
      </c>
      <c r="C802" t="s">
        <v>15</v>
      </c>
      <c r="D802" t="s">
        <v>25</v>
      </c>
      <c r="E802" t="s">
        <v>17</v>
      </c>
      <c r="F802" t="s">
        <v>44</v>
      </c>
      <c r="G802">
        <v>2</v>
      </c>
      <c r="H802">
        <v>4949.0200000000004</v>
      </c>
      <c r="I802">
        <v>0.03</v>
      </c>
      <c r="J802">
        <v>9601.1</v>
      </c>
      <c r="K802" t="s">
        <v>41</v>
      </c>
      <c r="L802" t="s">
        <v>34</v>
      </c>
      <c r="M802" t="s">
        <v>30</v>
      </c>
      <c r="N802" t="s">
        <v>22</v>
      </c>
      <c r="O802">
        <f>Table1[[#All],[Quantity]]*Table1[[#All],[Unit Price (?)]]</f>
        <v>9898.0400000000009</v>
      </c>
      <c r="P802" t="str">
        <f>TEXT(Table1[[#All],[Order Date]],"dddd")</f>
        <v>Sunday</v>
      </c>
      <c r="Q802" t="str">
        <f>TEXT(Table1[[#All],[Order Date]],"mmm")</f>
        <v>May</v>
      </c>
      <c r="R802" t="str">
        <f>IF(Table1[[#All],[Total Price (?)]]&gt;1000,"High Value","Normal")</f>
        <v>High Value</v>
      </c>
    </row>
    <row r="803" spans="1:18" x14ac:dyDescent="0.3">
      <c r="A803" t="s">
        <v>864</v>
      </c>
      <c r="B803" s="1">
        <v>45734</v>
      </c>
      <c r="C803" t="s">
        <v>52</v>
      </c>
      <c r="D803" t="s">
        <v>39</v>
      </c>
      <c r="E803" t="s">
        <v>49</v>
      </c>
      <c r="F803" t="s">
        <v>73</v>
      </c>
      <c r="G803">
        <v>4</v>
      </c>
      <c r="H803">
        <v>4107.6899999999996</v>
      </c>
      <c r="I803">
        <v>0.17</v>
      </c>
      <c r="J803">
        <v>13637.53</v>
      </c>
      <c r="K803" t="s">
        <v>19</v>
      </c>
      <c r="L803" t="s">
        <v>34</v>
      </c>
      <c r="M803" t="s">
        <v>54</v>
      </c>
      <c r="N803" t="s">
        <v>22</v>
      </c>
      <c r="O803">
        <f>Table1[[#All],[Quantity]]*Table1[[#All],[Unit Price (?)]]</f>
        <v>16430.759999999998</v>
      </c>
      <c r="P803" t="str">
        <f>TEXT(Table1[[#All],[Order Date]],"dddd")</f>
        <v>Tuesday</v>
      </c>
      <c r="Q803" t="str">
        <f>TEXT(Table1[[#All],[Order Date]],"mmm")</f>
        <v>Mar</v>
      </c>
      <c r="R803" t="str">
        <f>IF(Table1[[#All],[Total Price (?)]]&gt;1000,"High Value","Normal")</f>
        <v>High Value</v>
      </c>
    </row>
    <row r="804" spans="1:18" x14ac:dyDescent="0.3">
      <c r="A804" t="s">
        <v>865</v>
      </c>
      <c r="B804" s="1">
        <v>45755</v>
      </c>
      <c r="C804" t="s">
        <v>15</v>
      </c>
      <c r="D804" t="s">
        <v>43</v>
      </c>
      <c r="E804" t="s">
        <v>27</v>
      </c>
      <c r="F804" t="s">
        <v>87</v>
      </c>
      <c r="G804">
        <v>2</v>
      </c>
      <c r="H804">
        <v>2284.08</v>
      </c>
      <c r="I804">
        <v>0.21</v>
      </c>
      <c r="J804">
        <v>3608.85</v>
      </c>
      <c r="K804" t="s">
        <v>19</v>
      </c>
      <c r="L804" t="s">
        <v>20</v>
      </c>
      <c r="M804" t="s">
        <v>21</v>
      </c>
      <c r="N804" t="s">
        <v>22</v>
      </c>
      <c r="O804">
        <f>Table1[[#All],[Quantity]]*Table1[[#All],[Unit Price (?)]]</f>
        <v>4568.16</v>
      </c>
      <c r="P804" t="str">
        <f>TEXT(Table1[[#All],[Order Date]],"dddd")</f>
        <v>Tuesday</v>
      </c>
      <c r="Q804" t="str">
        <f>TEXT(Table1[[#All],[Order Date]],"mmm")</f>
        <v>Apr</v>
      </c>
      <c r="R804" t="str">
        <f>IF(Table1[[#All],[Total Price (?)]]&gt;1000,"High Value","Normal")</f>
        <v>High Value</v>
      </c>
    </row>
    <row r="805" spans="1:18" x14ac:dyDescent="0.3">
      <c r="A805" t="s">
        <v>866</v>
      </c>
      <c r="B805" s="1">
        <v>45737</v>
      </c>
      <c r="C805" t="s">
        <v>48</v>
      </c>
      <c r="D805" t="s">
        <v>39</v>
      </c>
      <c r="E805" t="s">
        <v>27</v>
      </c>
      <c r="F805" t="s">
        <v>87</v>
      </c>
      <c r="G805">
        <v>1</v>
      </c>
      <c r="H805">
        <v>3712.72</v>
      </c>
      <c r="I805">
        <v>7.0000000000000007E-2</v>
      </c>
      <c r="J805">
        <v>3452.83</v>
      </c>
      <c r="K805" t="s">
        <v>41</v>
      </c>
      <c r="L805" t="s">
        <v>29</v>
      </c>
      <c r="M805" t="s">
        <v>30</v>
      </c>
      <c r="N805" t="s">
        <v>22</v>
      </c>
      <c r="O805">
        <f>Table1[[#All],[Quantity]]*Table1[[#All],[Unit Price (?)]]</f>
        <v>3712.72</v>
      </c>
      <c r="P805" t="str">
        <f>TEXT(Table1[[#All],[Order Date]],"dddd")</f>
        <v>Friday</v>
      </c>
      <c r="Q805" t="str">
        <f>TEXT(Table1[[#All],[Order Date]],"mmm")</f>
        <v>Mar</v>
      </c>
      <c r="R805" t="str">
        <f>IF(Table1[[#All],[Total Price (?)]]&gt;1000,"High Value","Normal")</f>
        <v>High Value</v>
      </c>
    </row>
    <row r="806" spans="1:18" x14ac:dyDescent="0.3">
      <c r="A806" t="s">
        <v>867</v>
      </c>
      <c r="B806" s="1">
        <v>45707</v>
      </c>
      <c r="C806" t="s">
        <v>36</v>
      </c>
      <c r="D806" t="s">
        <v>25</v>
      </c>
      <c r="E806" t="s">
        <v>99</v>
      </c>
      <c r="F806" t="s">
        <v>115</v>
      </c>
      <c r="G806">
        <v>2</v>
      </c>
      <c r="H806">
        <v>979.93</v>
      </c>
      <c r="I806">
        <v>0.15</v>
      </c>
      <c r="J806">
        <v>1665.88</v>
      </c>
      <c r="K806" t="s">
        <v>19</v>
      </c>
      <c r="L806" t="s">
        <v>34</v>
      </c>
      <c r="M806" t="s">
        <v>30</v>
      </c>
      <c r="N806" t="s">
        <v>22</v>
      </c>
      <c r="O806">
        <f>Table1[[#All],[Quantity]]*Table1[[#All],[Unit Price (?)]]</f>
        <v>1959.86</v>
      </c>
      <c r="P806" t="str">
        <f>TEXT(Table1[[#All],[Order Date]],"dddd")</f>
        <v>Wednesday</v>
      </c>
      <c r="Q806" t="str">
        <f>TEXT(Table1[[#All],[Order Date]],"mmm")</f>
        <v>Feb</v>
      </c>
      <c r="R806" t="str">
        <f>IF(Table1[[#All],[Total Price (?)]]&gt;1000,"High Value","Normal")</f>
        <v>High Value</v>
      </c>
    </row>
    <row r="807" spans="1:18" x14ac:dyDescent="0.3">
      <c r="A807" t="s">
        <v>868</v>
      </c>
      <c r="B807" s="1">
        <v>45688</v>
      </c>
      <c r="C807" t="s">
        <v>48</v>
      </c>
      <c r="D807" t="s">
        <v>16</v>
      </c>
      <c r="E807" t="s">
        <v>61</v>
      </c>
      <c r="F807" t="s">
        <v>62</v>
      </c>
      <c r="G807">
        <v>2</v>
      </c>
      <c r="H807">
        <v>1441.5</v>
      </c>
      <c r="I807">
        <v>0.16</v>
      </c>
      <c r="J807">
        <v>2421.7199999999998</v>
      </c>
      <c r="K807" t="s">
        <v>58</v>
      </c>
      <c r="L807" t="s">
        <v>20</v>
      </c>
      <c r="M807" t="s">
        <v>30</v>
      </c>
      <c r="N807" t="s">
        <v>22</v>
      </c>
      <c r="O807">
        <f>Table1[[#All],[Quantity]]*Table1[[#All],[Unit Price (?)]]</f>
        <v>2883</v>
      </c>
      <c r="P807" t="str">
        <f>TEXT(Table1[[#All],[Order Date]],"dddd")</f>
        <v>Friday</v>
      </c>
      <c r="Q807" t="str">
        <f>TEXT(Table1[[#All],[Order Date]],"mmm")</f>
        <v>Jan</v>
      </c>
      <c r="R807" t="str">
        <f>IF(Table1[[#All],[Total Price (?)]]&gt;1000,"High Value","Normal")</f>
        <v>High Value</v>
      </c>
    </row>
    <row r="808" spans="1:18" x14ac:dyDescent="0.3">
      <c r="A808" t="s">
        <v>869</v>
      </c>
      <c r="B808" s="1">
        <v>45787</v>
      </c>
      <c r="C808" t="s">
        <v>48</v>
      </c>
      <c r="D808" t="s">
        <v>25</v>
      </c>
      <c r="E808" t="s">
        <v>61</v>
      </c>
      <c r="F808" t="s">
        <v>92</v>
      </c>
      <c r="G808">
        <v>3</v>
      </c>
      <c r="H808">
        <v>475.01</v>
      </c>
      <c r="I808">
        <v>0.03</v>
      </c>
      <c r="J808">
        <v>1382.28</v>
      </c>
      <c r="K808" t="s">
        <v>33</v>
      </c>
      <c r="L808" t="s">
        <v>20</v>
      </c>
      <c r="M808" t="s">
        <v>30</v>
      </c>
      <c r="N808" t="s">
        <v>22</v>
      </c>
      <c r="O808">
        <f>Table1[[#All],[Quantity]]*Table1[[#All],[Unit Price (?)]]</f>
        <v>1425.03</v>
      </c>
      <c r="P808" t="str">
        <f>TEXT(Table1[[#All],[Order Date]],"dddd")</f>
        <v>Saturday</v>
      </c>
      <c r="Q808" t="str">
        <f>TEXT(Table1[[#All],[Order Date]],"mmm")</f>
        <v>May</v>
      </c>
      <c r="R808" t="str">
        <f>IF(Table1[[#All],[Total Price (?)]]&gt;1000,"High Value","Normal")</f>
        <v>High Value</v>
      </c>
    </row>
    <row r="809" spans="1:18" x14ac:dyDescent="0.3">
      <c r="A809" t="s">
        <v>870</v>
      </c>
      <c r="B809" s="1">
        <v>45793</v>
      </c>
      <c r="C809" t="s">
        <v>36</v>
      </c>
      <c r="D809" t="s">
        <v>25</v>
      </c>
      <c r="E809" t="s">
        <v>99</v>
      </c>
      <c r="F809" t="s">
        <v>100</v>
      </c>
      <c r="G809">
        <v>1</v>
      </c>
      <c r="H809">
        <v>458.66</v>
      </c>
      <c r="I809">
        <v>0.17</v>
      </c>
      <c r="J809">
        <v>380.69</v>
      </c>
      <c r="K809" t="s">
        <v>58</v>
      </c>
      <c r="L809" t="s">
        <v>34</v>
      </c>
      <c r="M809" t="s">
        <v>21</v>
      </c>
      <c r="N809" t="s">
        <v>22</v>
      </c>
      <c r="O809">
        <f>Table1[[#All],[Quantity]]*Table1[[#All],[Unit Price (?)]]</f>
        <v>458.66</v>
      </c>
      <c r="P809" t="str">
        <f>TEXT(Table1[[#All],[Order Date]],"dddd")</f>
        <v>Friday</v>
      </c>
      <c r="Q809" t="str">
        <f>TEXT(Table1[[#All],[Order Date]],"mmm")</f>
        <v>May</v>
      </c>
      <c r="R809" t="str">
        <f>IF(Table1[[#All],[Total Price (?)]]&gt;1000,"High Value","Normal")</f>
        <v>Normal</v>
      </c>
    </row>
    <row r="810" spans="1:18" x14ac:dyDescent="0.3">
      <c r="A810" t="s">
        <v>871</v>
      </c>
      <c r="B810" s="1">
        <v>45661</v>
      </c>
      <c r="C810" t="s">
        <v>48</v>
      </c>
      <c r="D810" t="s">
        <v>25</v>
      </c>
      <c r="E810" t="s">
        <v>49</v>
      </c>
      <c r="F810" t="s">
        <v>73</v>
      </c>
      <c r="G810">
        <v>3</v>
      </c>
      <c r="H810">
        <v>661.95</v>
      </c>
      <c r="I810">
        <v>0.23</v>
      </c>
      <c r="J810">
        <v>1529.1</v>
      </c>
      <c r="K810" t="s">
        <v>58</v>
      </c>
      <c r="L810" t="s">
        <v>20</v>
      </c>
      <c r="M810" t="s">
        <v>30</v>
      </c>
      <c r="N810" t="s">
        <v>22</v>
      </c>
      <c r="O810">
        <f>Table1[[#All],[Quantity]]*Table1[[#All],[Unit Price (?)]]</f>
        <v>1985.8500000000001</v>
      </c>
      <c r="P810" t="str">
        <f>TEXT(Table1[[#All],[Order Date]],"dddd")</f>
        <v>Saturday</v>
      </c>
      <c r="Q810" t="str">
        <f>TEXT(Table1[[#All],[Order Date]],"mmm")</f>
        <v>Jan</v>
      </c>
      <c r="R810" t="str">
        <f>IF(Table1[[#All],[Total Price (?)]]&gt;1000,"High Value","Normal")</f>
        <v>High Value</v>
      </c>
    </row>
    <row r="811" spans="1:18" x14ac:dyDescent="0.3">
      <c r="A811" t="s">
        <v>872</v>
      </c>
      <c r="B811" s="1">
        <v>45833</v>
      </c>
      <c r="C811" t="s">
        <v>36</v>
      </c>
      <c r="D811" t="s">
        <v>43</v>
      </c>
      <c r="E811" t="s">
        <v>17</v>
      </c>
      <c r="F811" t="s">
        <v>18</v>
      </c>
      <c r="G811">
        <v>4</v>
      </c>
      <c r="H811">
        <v>787.25</v>
      </c>
      <c r="I811">
        <v>0.21</v>
      </c>
      <c r="J811">
        <v>2487.71</v>
      </c>
      <c r="K811" t="s">
        <v>19</v>
      </c>
      <c r="L811" t="s">
        <v>29</v>
      </c>
      <c r="M811" t="s">
        <v>54</v>
      </c>
      <c r="N811" t="s">
        <v>88</v>
      </c>
      <c r="O811">
        <f>Table1[[#All],[Quantity]]*Table1[[#All],[Unit Price (?)]]</f>
        <v>3149</v>
      </c>
      <c r="P811" t="str">
        <f>TEXT(Table1[[#All],[Order Date]],"dddd")</f>
        <v>Wednesday</v>
      </c>
      <c r="Q811" t="str">
        <f>TEXT(Table1[[#All],[Order Date]],"mmm")</f>
        <v>Jun</v>
      </c>
      <c r="R811" t="str">
        <f>IF(Table1[[#All],[Total Price (?)]]&gt;1000,"High Value","Normal")</f>
        <v>High Value</v>
      </c>
    </row>
    <row r="812" spans="1:18" x14ac:dyDescent="0.3">
      <c r="A812" t="s">
        <v>873</v>
      </c>
      <c r="B812" s="1">
        <v>45805</v>
      </c>
      <c r="C812" t="s">
        <v>52</v>
      </c>
      <c r="D812" t="s">
        <v>16</v>
      </c>
      <c r="E812" t="s">
        <v>27</v>
      </c>
      <c r="F812" t="s">
        <v>79</v>
      </c>
      <c r="G812">
        <v>5</v>
      </c>
      <c r="H812">
        <v>3733.09</v>
      </c>
      <c r="I812">
        <v>0.04</v>
      </c>
      <c r="J812">
        <v>17918.830000000002</v>
      </c>
      <c r="K812" t="s">
        <v>46</v>
      </c>
      <c r="L812" t="s">
        <v>20</v>
      </c>
      <c r="M812" t="s">
        <v>21</v>
      </c>
      <c r="N812" t="s">
        <v>22</v>
      </c>
      <c r="O812">
        <f>Table1[[#All],[Quantity]]*Table1[[#All],[Unit Price (?)]]</f>
        <v>18665.45</v>
      </c>
      <c r="P812" t="str">
        <f>TEXT(Table1[[#All],[Order Date]],"dddd")</f>
        <v>Wednesday</v>
      </c>
      <c r="Q812" t="str">
        <f>TEXT(Table1[[#All],[Order Date]],"mmm")</f>
        <v>May</v>
      </c>
      <c r="R812" t="str">
        <f>IF(Table1[[#All],[Total Price (?)]]&gt;1000,"High Value","Normal")</f>
        <v>High Value</v>
      </c>
    </row>
    <row r="813" spans="1:18" x14ac:dyDescent="0.3">
      <c r="A813" t="s">
        <v>874</v>
      </c>
      <c r="B813" s="1">
        <v>45827</v>
      </c>
      <c r="C813" t="s">
        <v>15</v>
      </c>
      <c r="D813" t="s">
        <v>16</v>
      </c>
      <c r="E813" t="s">
        <v>61</v>
      </c>
      <c r="F813" t="s">
        <v>92</v>
      </c>
      <c r="G813">
        <v>1</v>
      </c>
      <c r="H813">
        <v>4474.17</v>
      </c>
      <c r="I813">
        <v>0.13</v>
      </c>
      <c r="J813">
        <v>3892.53</v>
      </c>
      <c r="K813" t="s">
        <v>19</v>
      </c>
      <c r="L813" t="s">
        <v>20</v>
      </c>
      <c r="M813" t="s">
        <v>30</v>
      </c>
      <c r="N813" t="s">
        <v>88</v>
      </c>
      <c r="O813">
        <f>Table1[[#All],[Quantity]]*Table1[[#All],[Unit Price (?)]]</f>
        <v>4474.17</v>
      </c>
      <c r="P813" t="str">
        <f>TEXT(Table1[[#All],[Order Date]],"dddd")</f>
        <v>Thursday</v>
      </c>
      <c r="Q813" t="str">
        <f>TEXT(Table1[[#All],[Order Date]],"mmm")</f>
        <v>Jun</v>
      </c>
      <c r="R813" t="str">
        <f>IF(Table1[[#All],[Total Price (?)]]&gt;1000,"High Value","Normal")</f>
        <v>High Value</v>
      </c>
    </row>
    <row r="814" spans="1:18" x14ac:dyDescent="0.3">
      <c r="A814" t="s">
        <v>875</v>
      </c>
      <c r="B814" s="1">
        <v>45809</v>
      </c>
      <c r="C814" t="s">
        <v>48</v>
      </c>
      <c r="D814" t="s">
        <v>43</v>
      </c>
      <c r="E814" t="s">
        <v>27</v>
      </c>
      <c r="F814" t="s">
        <v>79</v>
      </c>
      <c r="G814">
        <v>1</v>
      </c>
      <c r="H814">
        <v>3031.21</v>
      </c>
      <c r="I814">
        <v>0.01</v>
      </c>
      <c r="J814">
        <v>3000.9</v>
      </c>
      <c r="K814" t="s">
        <v>46</v>
      </c>
      <c r="L814" t="s">
        <v>34</v>
      </c>
      <c r="M814" t="s">
        <v>30</v>
      </c>
      <c r="N814" t="s">
        <v>37</v>
      </c>
      <c r="O814">
        <f>Table1[[#All],[Quantity]]*Table1[[#All],[Unit Price (?)]]</f>
        <v>3031.21</v>
      </c>
      <c r="P814" t="str">
        <f>TEXT(Table1[[#All],[Order Date]],"dddd")</f>
        <v>Sunday</v>
      </c>
      <c r="Q814" t="str">
        <f>TEXT(Table1[[#All],[Order Date]],"mmm")</f>
        <v>Jun</v>
      </c>
      <c r="R814" t="str">
        <f>IF(Table1[[#All],[Total Price (?)]]&gt;1000,"High Value","Normal")</f>
        <v>High Value</v>
      </c>
    </row>
    <row r="815" spans="1:18" x14ac:dyDescent="0.3">
      <c r="A815" t="s">
        <v>876</v>
      </c>
      <c r="B815" s="1">
        <v>45831</v>
      </c>
      <c r="C815" t="s">
        <v>52</v>
      </c>
      <c r="D815" t="s">
        <v>16</v>
      </c>
      <c r="E815" t="s">
        <v>99</v>
      </c>
      <c r="F815" t="s">
        <v>100</v>
      </c>
      <c r="G815">
        <v>4</v>
      </c>
      <c r="H815">
        <v>236.93</v>
      </c>
      <c r="I815">
        <v>0</v>
      </c>
      <c r="J815">
        <v>947.72</v>
      </c>
      <c r="K815" t="s">
        <v>58</v>
      </c>
      <c r="L815" t="s">
        <v>20</v>
      </c>
      <c r="M815" t="s">
        <v>54</v>
      </c>
      <c r="N815" t="s">
        <v>22</v>
      </c>
      <c r="O815">
        <f>Table1[[#All],[Quantity]]*Table1[[#All],[Unit Price (?)]]</f>
        <v>947.72</v>
      </c>
      <c r="P815" t="str">
        <f>TEXT(Table1[[#All],[Order Date]],"dddd")</f>
        <v>Monday</v>
      </c>
      <c r="Q815" t="str">
        <f>TEXT(Table1[[#All],[Order Date]],"mmm")</f>
        <v>Jun</v>
      </c>
      <c r="R815" t="str">
        <f>IF(Table1[[#All],[Total Price (?)]]&gt;1000,"High Value","Normal")</f>
        <v>Normal</v>
      </c>
    </row>
    <row r="816" spans="1:18" x14ac:dyDescent="0.3">
      <c r="A816" t="s">
        <v>877</v>
      </c>
      <c r="B816" s="1">
        <v>45680</v>
      </c>
      <c r="C816" t="s">
        <v>52</v>
      </c>
      <c r="D816" t="s">
        <v>43</v>
      </c>
      <c r="E816" t="s">
        <v>17</v>
      </c>
      <c r="F816" t="s">
        <v>44</v>
      </c>
      <c r="G816">
        <v>5</v>
      </c>
      <c r="H816">
        <v>627.65</v>
      </c>
      <c r="I816">
        <v>0.08</v>
      </c>
      <c r="J816">
        <v>2887.19</v>
      </c>
      <c r="K816" t="s">
        <v>58</v>
      </c>
      <c r="L816" t="s">
        <v>34</v>
      </c>
      <c r="M816" t="s">
        <v>21</v>
      </c>
      <c r="N816" t="s">
        <v>22</v>
      </c>
      <c r="O816">
        <f>Table1[[#All],[Quantity]]*Table1[[#All],[Unit Price (?)]]</f>
        <v>3138.25</v>
      </c>
      <c r="P816" t="str">
        <f>TEXT(Table1[[#All],[Order Date]],"dddd")</f>
        <v>Thursday</v>
      </c>
      <c r="Q816" t="str">
        <f>TEXT(Table1[[#All],[Order Date]],"mmm")</f>
        <v>Jan</v>
      </c>
      <c r="R816" t="str">
        <f>IF(Table1[[#All],[Total Price (?)]]&gt;1000,"High Value","Normal")</f>
        <v>High Value</v>
      </c>
    </row>
    <row r="817" spans="1:18" x14ac:dyDescent="0.3">
      <c r="A817" t="s">
        <v>878</v>
      </c>
      <c r="B817" s="1">
        <v>45811</v>
      </c>
      <c r="C817" t="s">
        <v>48</v>
      </c>
      <c r="D817" t="s">
        <v>25</v>
      </c>
      <c r="E817" t="s">
        <v>27</v>
      </c>
      <c r="F817" t="s">
        <v>87</v>
      </c>
      <c r="G817">
        <v>2</v>
      </c>
      <c r="H817">
        <v>618.84</v>
      </c>
      <c r="I817">
        <v>0.08</v>
      </c>
      <c r="J817">
        <v>1138.67</v>
      </c>
      <c r="K817" t="s">
        <v>58</v>
      </c>
      <c r="L817" t="s">
        <v>20</v>
      </c>
      <c r="M817" t="s">
        <v>54</v>
      </c>
      <c r="N817" t="s">
        <v>22</v>
      </c>
      <c r="O817">
        <f>Table1[[#All],[Quantity]]*Table1[[#All],[Unit Price (?)]]</f>
        <v>1237.68</v>
      </c>
      <c r="P817" t="str">
        <f>TEXT(Table1[[#All],[Order Date]],"dddd")</f>
        <v>Tuesday</v>
      </c>
      <c r="Q817" t="str">
        <f>TEXT(Table1[[#All],[Order Date]],"mmm")</f>
        <v>Jun</v>
      </c>
      <c r="R817" t="str">
        <f>IF(Table1[[#All],[Total Price (?)]]&gt;1000,"High Value","Normal")</f>
        <v>High Value</v>
      </c>
    </row>
    <row r="818" spans="1:18" x14ac:dyDescent="0.3">
      <c r="A818" t="s">
        <v>879</v>
      </c>
      <c r="B818" s="1">
        <v>45742</v>
      </c>
      <c r="C818" t="s">
        <v>52</v>
      </c>
      <c r="D818" t="s">
        <v>39</v>
      </c>
      <c r="E818" t="s">
        <v>17</v>
      </c>
      <c r="F818" t="s">
        <v>40</v>
      </c>
      <c r="G818">
        <v>1</v>
      </c>
      <c r="H818">
        <v>3324.01</v>
      </c>
      <c r="I818">
        <v>7.0000000000000007E-2</v>
      </c>
      <c r="J818">
        <v>3091.33</v>
      </c>
      <c r="K818" t="s">
        <v>41</v>
      </c>
      <c r="L818" t="s">
        <v>20</v>
      </c>
      <c r="M818" t="s">
        <v>21</v>
      </c>
      <c r="N818" t="s">
        <v>22</v>
      </c>
      <c r="O818">
        <f>Table1[[#All],[Quantity]]*Table1[[#All],[Unit Price (?)]]</f>
        <v>3324.01</v>
      </c>
      <c r="P818" t="str">
        <f>TEXT(Table1[[#All],[Order Date]],"dddd")</f>
        <v>Wednesday</v>
      </c>
      <c r="Q818" t="str">
        <f>TEXT(Table1[[#All],[Order Date]],"mmm")</f>
        <v>Mar</v>
      </c>
      <c r="R818" t="str">
        <f>IF(Table1[[#All],[Total Price (?)]]&gt;1000,"High Value","Normal")</f>
        <v>High Value</v>
      </c>
    </row>
    <row r="819" spans="1:18" x14ac:dyDescent="0.3">
      <c r="A819" t="s">
        <v>880</v>
      </c>
      <c r="B819" s="1">
        <v>45702</v>
      </c>
      <c r="C819" t="s">
        <v>15</v>
      </c>
      <c r="D819" t="s">
        <v>43</v>
      </c>
      <c r="E819" t="s">
        <v>61</v>
      </c>
      <c r="F819" t="s">
        <v>92</v>
      </c>
      <c r="G819">
        <v>1</v>
      </c>
      <c r="H819">
        <v>3591.4</v>
      </c>
      <c r="I819">
        <v>0.2</v>
      </c>
      <c r="J819">
        <v>2873.12</v>
      </c>
      <c r="K819" t="s">
        <v>33</v>
      </c>
      <c r="L819" t="s">
        <v>34</v>
      </c>
      <c r="M819" t="s">
        <v>21</v>
      </c>
      <c r="N819" t="s">
        <v>22</v>
      </c>
      <c r="O819">
        <f>Table1[[#All],[Quantity]]*Table1[[#All],[Unit Price (?)]]</f>
        <v>3591.4</v>
      </c>
      <c r="P819" t="str">
        <f>TEXT(Table1[[#All],[Order Date]],"dddd")</f>
        <v>Friday</v>
      </c>
      <c r="Q819" t="str">
        <f>TEXT(Table1[[#All],[Order Date]],"mmm")</f>
        <v>Feb</v>
      </c>
      <c r="R819" t="str">
        <f>IF(Table1[[#All],[Total Price (?)]]&gt;1000,"High Value","Normal")</f>
        <v>High Value</v>
      </c>
    </row>
    <row r="820" spans="1:18" x14ac:dyDescent="0.3">
      <c r="A820" t="s">
        <v>881</v>
      </c>
      <c r="B820" s="1">
        <v>45694</v>
      </c>
      <c r="C820" t="s">
        <v>48</v>
      </c>
      <c r="D820" t="s">
        <v>25</v>
      </c>
      <c r="E820" t="s">
        <v>17</v>
      </c>
      <c r="F820" t="s">
        <v>32</v>
      </c>
      <c r="G820">
        <v>2</v>
      </c>
      <c r="H820">
        <v>3213.23</v>
      </c>
      <c r="I820">
        <v>0.22</v>
      </c>
      <c r="J820">
        <v>5012.6400000000003</v>
      </c>
      <c r="K820" t="s">
        <v>19</v>
      </c>
      <c r="L820" t="s">
        <v>34</v>
      </c>
      <c r="M820" t="s">
        <v>30</v>
      </c>
      <c r="N820" t="s">
        <v>22</v>
      </c>
      <c r="O820">
        <f>Table1[[#All],[Quantity]]*Table1[[#All],[Unit Price (?)]]</f>
        <v>6426.46</v>
      </c>
      <c r="P820" t="str">
        <f>TEXT(Table1[[#All],[Order Date]],"dddd")</f>
        <v>Thursday</v>
      </c>
      <c r="Q820" t="str">
        <f>TEXT(Table1[[#All],[Order Date]],"mmm")</f>
        <v>Feb</v>
      </c>
      <c r="R820" t="str">
        <f>IF(Table1[[#All],[Total Price (?)]]&gt;1000,"High Value","Normal")</f>
        <v>High Value</v>
      </c>
    </row>
    <row r="821" spans="1:18" x14ac:dyDescent="0.3">
      <c r="A821" t="s">
        <v>882</v>
      </c>
      <c r="B821" s="1">
        <v>45816</v>
      </c>
      <c r="C821" t="s">
        <v>48</v>
      </c>
      <c r="D821" t="s">
        <v>43</v>
      </c>
      <c r="E821" t="s">
        <v>17</v>
      </c>
      <c r="F821" t="s">
        <v>40</v>
      </c>
      <c r="G821">
        <v>2</v>
      </c>
      <c r="H821">
        <v>2566.7600000000002</v>
      </c>
      <c r="I821">
        <v>0.18</v>
      </c>
      <c r="J821">
        <v>4209.49</v>
      </c>
      <c r="K821" t="s">
        <v>33</v>
      </c>
      <c r="L821" t="s">
        <v>29</v>
      </c>
      <c r="M821" t="s">
        <v>54</v>
      </c>
      <c r="N821" t="s">
        <v>22</v>
      </c>
      <c r="O821">
        <f>Table1[[#All],[Quantity]]*Table1[[#All],[Unit Price (?)]]</f>
        <v>5133.5200000000004</v>
      </c>
      <c r="P821" t="str">
        <f>TEXT(Table1[[#All],[Order Date]],"dddd")</f>
        <v>Sunday</v>
      </c>
      <c r="Q821" t="str">
        <f>TEXT(Table1[[#All],[Order Date]],"mmm")</f>
        <v>Jun</v>
      </c>
      <c r="R821" t="str">
        <f>IF(Table1[[#All],[Total Price (?)]]&gt;1000,"High Value","Normal")</f>
        <v>High Value</v>
      </c>
    </row>
    <row r="822" spans="1:18" x14ac:dyDescent="0.3">
      <c r="A822" t="s">
        <v>883</v>
      </c>
      <c r="B822" s="1">
        <v>45795</v>
      </c>
      <c r="C822" t="s">
        <v>52</v>
      </c>
      <c r="D822" t="s">
        <v>39</v>
      </c>
      <c r="E822" t="s">
        <v>17</v>
      </c>
      <c r="F822" t="s">
        <v>32</v>
      </c>
      <c r="G822">
        <v>5</v>
      </c>
      <c r="H822">
        <v>489.01</v>
      </c>
      <c r="I822">
        <v>0.03</v>
      </c>
      <c r="J822">
        <v>2371.6999999999998</v>
      </c>
      <c r="K822" t="s">
        <v>41</v>
      </c>
      <c r="L822" t="s">
        <v>20</v>
      </c>
      <c r="M822" t="s">
        <v>30</v>
      </c>
      <c r="N822" t="s">
        <v>22</v>
      </c>
      <c r="O822">
        <f>Table1[[#All],[Quantity]]*Table1[[#All],[Unit Price (?)]]</f>
        <v>2445.0500000000002</v>
      </c>
      <c r="P822" t="str">
        <f>TEXT(Table1[[#All],[Order Date]],"dddd")</f>
        <v>Sunday</v>
      </c>
      <c r="Q822" t="str">
        <f>TEXT(Table1[[#All],[Order Date]],"mmm")</f>
        <v>May</v>
      </c>
      <c r="R822" t="str">
        <f>IF(Table1[[#All],[Total Price (?)]]&gt;1000,"High Value","Normal")</f>
        <v>High Value</v>
      </c>
    </row>
    <row r="823" spans="1:18" x14ac:dyDescent="0.3">
      <c r="A823" t="s">
        <v>884</v>
      </c>
      <c r="B823" s="1">
        <v>45760</v>
      </c>
      <c r="C823" t="s">
        <v>24</v>
      </c>
      <c r="D823" t="s">
        <v>43</v>
      </c>
      <c r="E823" t="s">
        <v>49</v>
      </c>
      <c r="F823" t="s">
        <v>73</v>
      </c>
      <c r="G823">
        <v>5</v>
      </c>
      <c r="H823">
        <v>4943.8999999999996</v>
      </c>
      <c r="I823">
        <v>0.11</v>
      </c>
      <c r="J823">
        <v>22000.35</v>
      </c>
      <c r="K823" t="s">
        <v>19</v>
      </c>
      <c r="L823" t="s">
        <v>29</v>
      </c>
      <c r="M823" t="s">
        <v>30</v>
      </c>
      <c r="N823" t="s">
        <v>22</v>
      </c>
      <c r="O823">
        <f>Table1[[#All],[Quantity]]*Table1[[#All],[Unit Price (?)]]</f>
        <v>24719.5</v>
      </c>
      <c r="P823" t="str">
        <f>TEXT(Table1[[#All],[Order Date]],"dddd")</f>
        <v>Sunday</v>
      </c>
      <c r="Q823" t="str">
        <f>TEXT(Table1[[#All],[Order Date]],"mmm")</f>
        <v>Apr</v>
      </c>
      <c r="R823" t="str">
        <f>IF(Table1[[#All],[Total Price (?)]]&gt;1000,"High Value","Normal")</f>
        <v>High Value</v>
      </c>
    </row>
    <row r="824" spans="1:18" x14ac:dyDescent="0.3">
      <c r="A824" t="s">
        <v>885</v>
      </c>
      <c r="B824" s="1">
        <v>45750</v>
      </c>
      <c r="C824" t="s">
        <v>15</v>
      </c>
      <c r="D824" t="s">
        <v>43</v>
      </c>
      <c r="E824" t="s">
        <v>17</v>
      </c>
      <c r="F824" t="s">
        <v>40</v>
      </c>
      <c r="G824">
        <v>3</v>
      </c>
      <c r="H824">
        <v>1779.37</v>
      </c>
      <c r="I824">
        <v>0.05</v>
      </c>
      <c r="J824">
        <v>5071.2</v>
      </c>
      <c r="K824" t="s">
        <v>58</v>
      </c>
      <c r="L824" t="s">
        <v>20</v>
      </c>
      <c r="M824" t="s">
        <v>54</v>
      </c>
      <c r="N824" t="s">
        <v>88</v>
      </c>
      <c r="O824">
        <f>Table1[[#All],[Quantity]]*Table1[[#All],[Unit Price (?)]]</f>
        <v>5338.11</v>
      </c>
      <c r="P824" t="str">
        <f>TEXT(Table1[[#All],[Order Date]],"dddd")</f>
        <v>Thursday</v>
      </c>
      <c r="Q824" t="str">
        <f>TEXT(Table1[[#All],[Order Date]],"mmm")</f>
        <v>Apr</v>
      </c>
      <c r="R824" t="str">
        <f>IF(Table1[[#All],[Total Price (?)]]&gt;1000,"High Value","Normal")</f>
        <v>High Value</v>
      </c>
    </row>
    <row r="825" spans="1:18" x14ac:dyDescent="0.3">
      <c r="A825" t="s">
        <v>886</v>
      </c>
      <c r="B825" s="1">
        <v>45669</v>
      </c>
      <c r="C825" t="s">
        <v>36</v>
      </c>
      <c r="D825" t="s">
        <v>16</v>
      </c>
      <c r="E825" t="s">
        <v>61</v>
      </c>
      <c r="F825" t="s">
        <v>92</v>
      </c>
      <c r="G825">
        <v>4</v>
      </c>
      <c r="H825">
        <v>3185.93</v>
      </c>
      <c r="I825">
        <v>0.02</v>
      </c>
      <c r="J825">
        <v>12488.85</v>
      </c>
      <c r="K825" t="s">
        <v>46</v>
      </c>
      <c r="L825" t="s">
        <v>20</v>
      </c>
      <c r="M825" t="s">
        <v>30</v>
      </c>
      <c r="N825" t="s">
        <v>59</v>
      </c>
      <c r="O825">
        <f>Table1[[#All],[Quantity]]*Table1[[#All],[Unit Price (?)]]</f>
        <v>12743.72</v>
      </c>
      <c r="P825" t="str">
        <f>TEXT(Table1[[#All],[Order Date]],"dddd")</f>
        <v>Sunday</v>
      </c>
      <c r="Q825" t="str">
        <f>TEXT(Table1[[#All],[Order Date]],"mmm")</f>
        <v>Jan</v>
      </c>
      <c r="R825" t="str">
        <f>IF(Table1[[#All],[Total Price (?)]]&gt;1000,"High Value","Normal")</f>
        <v>High Value</v>
      </c>
    </row>
    <row r="826" spans="1:18" x14ac:dyDescent="0.3">
      <c r="A826" t="s">
        <v>887</v>
      </c>
      <c r="B826" s="1">
        <v>45768</v>
      </c>
      <c r="C826" t="s">
        <v>52</v>
      </c>
      <c r="D826" t="s">
        <v>43</v>
      </c>
      <c r="E826" t="s">
        <v>17</v>
      </c>
      <c r="F826" t="s">
        <v>44</v>
      </c>
      <c r="G826">
        <v>2</v>
      </c>
      <c r="H826">
        <v>3003.89</v>
      </c>
      <c r="I826">
        <v>0.21</v>
      </c>
      <c r="J826">
        <v>4746.1499999999996</v>
      </c>
      <c r="K826" t="s">
        <v>19</v>
      </c>
      <c r="L826" t="s">
        <v>20</v>
      </c>
      <c r="M826" t="s">
        <v>54</v>
      </c>
      <c r="N826" t="s">
        <v>22</v>
      </c>
      <c r="O826">
        <f>Table1[[#All],[Quantity]]*Table1[[#All],[Unit Price (?)]]</f>
        <v>6007.78</v>
      </c>
      <c r="P826" t="str">
        <f>TEXT(Table1[[#All],[Order Date]],"dddd")</f>
        <v>Monday</v>
      </c>
      <c r="Q826" t="str">
        <f>TEXT(Table1[[#All],[Order Date]],"mmm")</f>
        <v>Apr</v>
      </c>
      <c r="R826" t="str">
        <f>IF(Table1[[#All],[Total Price (?)]]&gt;1000,"High Value","Normal")</f>
        <v>High Value</v>
      </c>
    </row>
    <row r="827" spans="1:18" x14ac:dyDescent="0.3">
      <c r="A827" t="s">
        <v>888</v>
      </c>
      <c r="B827" s="1">
        <v>45708</v>
      </c>
      <c r="C827" t="s">
        <v>15</v>
      </c>
      <c r="D827" t="s">
        <v>39</v>
      </c>
      <c r="E827" t="s">
        <v>49</v>
      </c>
      <c r="F827" t="s">
        <v>50</v>
      </c>
      <c r="G827">
        <v>2</v>
      </c>
      <c r="H827">
        <v>1300.1300000000001</v>
      </c>
      <c r="I827">
        <v>0.04</v>
      </c>
      <c r="J827">
        <v>2496.25</v>
      </c>
      <c r="K827" t="s">
        <v>19</v>
      </c>
      <c r="L827" t="s">
        <v>29</v>
      </c>
      <c r="M827" t="s">
        <v>54</v>
      </c>
      <c r="N827" t="s">
        <v>22</v>
      </c>
      <c r="O827">
        <f>Table1[[#All],[Quantity]]*Table1[[#All],[Unit Price (?)]]</f>
        <v>2600.2600000000002</v>
      </c>
      <c r="P827" t="str">
        <f>TEXT(Table1[[#All],[Order Date]],"dddd")</f>
        <v>Thursday</v>
      </c>
      <c r="Q827" t="str">
        <f>TEXT(Table1[[#All],[Order Date]],"mmm")</f>
        <v>Feb</v>
      </c>
      <c r="R827" t="str">
        <f>IF(Table1[[#All],[Total Price (?)]]&gt;1000,"High Value","Normal")</f>
        <v>High Value</v>
      </c>
    </row>
    <row r="828" spans="1:18" x14ac:dyDescent="0.3">
      <c r="A828" t="s">
        <v>889</v>
      </c>
      <c r="B828" s="1">
        <v>45838</v>
      </c>
      <c r="C828" t="s">
        <v>15</v>
      </c>
      <c r="D828" t="s">
        <v>25</v>
      </c>
      <c r="E828" t="s">
        <v>49</v>
      </c>
      <c r="F828" t="s">
        <v>73</v>
      </c>
      <c r="G828">
        <v>3</v>
      </c>
      <c r="H828">
        <v>2051.4</v>
      </c>
      <c r="I828">
        <v>0.04</v>
      </c>
      <c r="J828">
        <v>5908.03</v>
      </c>
      <c r="K828" t="s">
        <v>41</v>
      </c>
      <c r="L828" t="s">
        <v>20</v>
      </c>
      <c r="M828" t="s">
        <v>30</v>
      </c>
      <c r="N828" t="s">
        <v>22</v>
      </c>
      <c r="O828">
        <f>Table1[[#All],[Quantity]]*Table1[[#All],[Unit Price (?)]]</f>
        <v>6154.2000000000007</v>
      </c>
      <c r="P828" t="str">
        <f>TEXT(Table1[[#All],[Order Date]],"dddd")</f>
        <v>Monday</v>
      </c>
      <c r="Q828" t="str">
        <f>TEXT(Table1[[#All],[Order Date]],"mmm")</f>
        <v>Jun</v>
      </c>
      <c r="R828" t="str">
        <f>IF(Table1[[#All],[Total Price (?)]]&gt;1000,"High Value","Normal")</f>
        <v>High Value</v>
      </c>
    </row>
    <row r="829" spans="1:18" x14ac:dyDescent="0.3">
      <c r="A829" t="s">
        <v>890</v>
      </c>
      <c r="B829" s="1">
        <v>45824</v>
      </c>
      <c r="C829" t="s">
        <v>48</v>
      </c>
      <c r="D829" t="s">
        <v>43</v>
      </c>
      <c r="E829" t="s">
        <v>49</v>
      </c>
      <c r="F829" t="s">
        <v>73</v>
      </c>
      <c r="G829">
        <v>4</v>
      </c>
      <c r="H829">
        <v>4284.8100000000004</v>
      </c>
      <c r="I829">
        <v>0.19</v>
      </c>
      <c r="J829">
        <v>13882.78</v>
      </c>
      <c r="K829" t="s">
        <v>58</v>
      </c>
      <c r="L829" t="s">
        <v>34</v>
      </c>
      <c r="M829" t="s">
        <v>30</v>
      </c>
      <c r="N829" t="s">
        <v>22</v>
      </c>
      <c r="O829">
        <f>Table1[[#All],[Quantity]]*Table1[[#All],[Unit Price (?)]]</f>
        <v>17139.240000000002</v>
      </c>
      <c r="P829" t="str">
        <f>TEXT(Table1[[#All],[Order Date]],"dddd")</f>
        <v>Monday</v>
      </c>
      <c r="Q829" t="str">
        <f>TEXT(Table1[[#All],[Order Date]],"mmm")</f>
        <v>Jun</v>
      </c>
      <c r="R829" t="str">
        <f>IF(Table1[[#All],[Total Price (?)]]&gt;1000,"High Value","Normal")</f>
        <v>High Value</v>
      </c>
    </row>
    <row r="830" spans="1:18" x14ac:dyDescent="0.3">
      <c r="A830" t="s">
        <v>891</v>
      </c>
      <c r="B830" s="1">
        <v>45683</v>
      </c>
      <c r="C830" t="s">
        <v>48</v>
      </c>
      <c r="D830" t="s">
        <v>16</v>
      </c>
      <c r="E830" t="s">
        <v>61</v>
      </c>
      <c r="F830" t="s">
        <v>66</v>
      </c>
      <c r="G830">
        <v>4</v>
      </c>
      <c r="H830">
        <v>1487.81</v>
      </c>
      <c r="I830">
        <v>0.14000000000000001</v>
      </c>
      <c r="J830">
        <v>5118.07</v>
      </c>
      <c r="K830" t="s">
        <v>41</v>
      </c>
      <c r="L830" t="s">
        <v>34</v>
      </c>
      <c r="M830" t="s">
        <v>30</v>
      </c>
      <c r="N830" t="s">
        <v>22</v>
      </c>
      <c r="O830">
        <f>Table1[[#All],[Quantity]]*Table1[[#All],[Unit Price (?)]]</f>
        <v>5951.24</v>
      </c>
      <c r="P830" t="str">
        <f>TEXT(Table1[[#All],[Order Date]],"dddd")</f>
        <v>Sunday</v>
      </c>
      <c r="Q830" t="str">
        <f>TEXT(Table1[[#All],[Order Date]],"mmm")</f>
        <v>Jan</v>
      </c>
      <c r="R830" t="str">
        <f>IF(Table1[[#All],[Total Price (?)]]&gt;1000,"High Value","Normal")</f>
        <v>High Value</v>
      </c>
    </row>
    <row r="831" spans="1:18" x14ac:dyDescent="0.3">
      <c r="A831" t="s">
        <v>892</v>
      </c>
      <c r="B831" s="1">
        <v>45748</v>
      </c>
      <c r="C831" t="s">
        <v>52</v>
      </c>
      <c r="D831" t="s">
        <v>25</v>
      </c>
      <c r="E831" t="s">
        <v>49</v>
      </c>
      <c r="F831" t="s">
        <v>73</v>
      </c>
      <c r="G831">
        <v>1</v>
      </c>
      <c r="H831">
        <v>4322.1099999999997</v>
      </c>
      <c r="I831">
        <v>0.18</v>
      </c>
      <c r="J831">
        <v>3544.13</v>
      </c>
      <c r="K831" t="s">
        <v>19</v>
      </c>
      <c r="L831" t="s">
        <v>20</v>
      </c>
      <c r="M831" t="s">
        <v>30</v>
      </c>
      <c r="N831" t="s">
        <v>22</v>
      </c>
      <c r="O831">
        <f>Table1[[#All],[Quantity]]*Table1[[#All],[Unit Price (?)]]</f>
        <v>4322.1099999999997</v>
      </c>
      <c r="P831" t="str">
        <f>TEXT(Table1[[#All],[Order Date]],"dddd")</f>
        <v>Tuesday</v>
      </c>
      <c r="Q831" t="str">
        <f>TEXT(Table1[[#All],[Order Date]],"mmm")</f>
        <v>Apr</v>
      </c>
      <c r="R831" t="str">
        <f>IF(Table1[[#All],[Total Price (?)]]&gt;1000,"High Value","Normal")</f>
        <v>High Value</v>
      </c>
    </row>
    <row r="832" spans="1:18" x14ac:dyDescent="0.3">
      <c r="A832" t="s">
        <v>893</v>
      </c>
      <c r="B832" s="1">
        <v>45685</v>
      </c>
      <c r="C832" t="s">
        <v>15</v>
      </c>
      <c r="D832" t="s">
        <v>16</v>
      </c>
      <c r="E832" t="s">
        <v>49</v>
      </c>
      <c r="F832" t="s">
        <v>50</v>
      </c>
      <c r="G832">
        <v>3</v>
      </c>
      <c r="H832">
        <v>3241.14</v>
      </c>
      <c r="I832">
        <v>0.15</v>
      </c>
      <c r="J832">
        <v>8264.91</v>
      </c>
      <c r="K832" t="s">
        <v>41</v>
      </c>
      <c r="L832" t="s">
        <v>34</v>
      </c>
      <c r="M832" t="s">
        <v>30</v>
      </c>
      <c r="N832" t="s">
        <v>59</v>
      </c>
      <c r="O832">
        <f>Table1[[#All],[Quantity]]*Table1[[#All],[Unit Price (?)]]</f>
        <v>9723.42</v>
      </c>
      <c r="P832" t="str">
        <f>TEXT(Table1[[#All],[Order Date]],"dddd")</f>
        <v>Tuesday</v>
      </c>
      <c r="Q832" t="str">
        <f>TEXT(Table1[[#All],[Order Date]],"mmm")</f>
        <v>Jan</v>
      </c>
      <c r="R832" t="str">
        <f>IF(Table1[[#All],[Total Price (?)]]&gt;1000,"High Value","Normal")</f>
        <v>High Value</v>
      </c>
    </row>
    <row r="833" spans="1:18" x14ac:dyDescent="0.3">
      <c r="A833" t="s">
        <v>894</v>
      </c>
      <c r="B833" s="1">
        <v>45815</v>
      </c>
      <c r="C833" t="s">
        <v>36</v>
      </c>
      <c r="D833" t="s">
        <v>39</v>
      </c>
      <c r="E833" t="s">
        <v>17</v>
      </c>
      <c r="F833" t="s">
        <v>40</v>
      </c>
      <c r="G833">
        <v>4</v>
      </c>
      <c r="H833">
        <v>4789.7700000000004</v>
      </c>
      <c r="I833">
        <v>0.19</v>
      </c>
      <c r="J833">
        <v>15518.85</v>
      </c>
      <c r="K833" t="s">
        <v>19</v>
      </c>
      <c r="L833" t="s">
        <v>20</v>
      </c>
      <c r="M833" t="s">
        <v>21</v>
      </c>
      <c r="N833" t="s">
        <v>22</v>
      </c>
      <c r="O833">
        <f>Table1[[#All],[Quantity]]*Table1[[#All],[Unit Price (?)]]</f>
        <v>19159.080000000002</v>
      </c>
      <c r="P833" t="str">
        <f>TEXT(Table1[[#All],[Order Date]],"dddd")</f>
        <v>Saturday</v>
      </c>
      <c r="Q833" t="str">
        <f>TEXT(Table1[[#All],[Order Date]],"mmm")</f>
        <v>Jun</v>
      </c>
      <c r="R833" t="str">
        <f>IF(Table1[[#All],[Total Price (?)]]&gt;1000,"High Value","Normal")</f>
        <v>High Value</v>
      </c>
    </row>
    <row r="834" spans="1:18" x14ac:dyDescent="0.3">
      <c r="A834" t="s">
        <v>895</v>
      </c>
      <c r="B834" s="1">
        <v>45750</v>
      </c>
      <c r="C834" t="s">
        <v>24</v>
      </c>
      <c r="D834" t="s">
        <v>16</v>
      </c>
      <c r="E834" t="s">
        <v>49</v>
      </c>
      <c r="F834" t="s">
        <v>53</v>
      </c>
      <c r="G834">
        <v>2</v>
      </c>
      <c r="H834">
        <v>1287.53</v>
      </c>
      <c r="I834">
        <v>0.01</v>
      </c>
      <c r="J834">
        <v>2549.31</v>
      </c>
      <c r="K834" t="s">
        <v>41</v>
      </c>
      <c r="L834" t="s">
        <v>34</v>
      </c>
      <c r="M834" t="s">
        <v>30</v>
      </c>
      <c r="N834" t="s">
        <v>22</v>
      </c>
      <c r="O834">
        <f>Table1[[#All],[Quantity]]*Table1[[#All],[Unit Price (?)]]</f>
        <v>2575.06</v>
      </c>
      <c r="P834" t="str">
        <f>TEXT(Table1[[#All],[Order Date]],"dddd")</f>
        <v>Thursday</v>
      </c>
      <c r="Q834" t="str">
        <f>TEXT(Table1[[#All],[Order Date]],"mmm")</f>
        <v>Apr</v>
      </c>
      <c r="R834" t="str">
        <f>IF(Table1[[#All],[Total Price (?)]]&gt;1000,"High Value","Normal")</f>
        <v>High Value</v>
      </c>
    </row>
    <row r="835" spans="1:18" x14ac:dyDescent="0.3">
      <c r="A835" t="s">
        <v>896</v>
      </c>
      <c r="B835" s="1">
        <v>45789</v>
      </c>
      <c r="C835" t="s">
        <v>36</v>
      </c>
      <c r="D835" t="s">
        <v>43</v>
      </c>
      <c r="E835" t="s">
        <v>61</v>
      </c>
      <c r="F835" t="s">
        <v>66</v>
      </c>
      <c r="G835">
        <v>2</v>
      </c>
      <c r="H835">
        <v>1346.01</v>
      </c>
      <c r="I835">
        <v>0.15</v>
      </c>
      <c r="J835">
        <v>2288.2199999999998</v>
      </c>
      <c r="K835" t="s">
        <v>41</v>
      </c>
      <c r="L835" t="s">
        <v>29</v>
      </c>
      <c r="M835" t="s">
        <v>21</v>
      </c>
      <c r="N835" t="s">
        <v>22</v>
      </c>
      <c r="O835">
        <f>Table1[[#All],[Quantity]]*Table1[[#All],[Unit Price (?)]]</f>
        <v>2692.02</v>
      </c>
      <c r="P835" t="str">
        <f>TEXT(Table1[[#All],[Order Date]],"dddd")</f>
        <v>Monday</v>
      </c>
      <c r="Q835" t="str">
        <f>TEXT(Table1[[#All],[Order Date]],"mmm")</f>
        <v>May</v>
      </c>
      <c r="R835" t="str">
        <f>IF(Table1[[#All],[Total Price (?)]]&gt;1000,"High Value","Normal")</f>
        <v>High Value</v>
      </c>
    </row>
    <row r="836" spans="1:18" x14ac:dyDescent="0.3">
      <c r="A836" t="s">
        <v>897</v>
      </c>
      <c r="B836" s="1">
        <v>45763</v>
      </c>
      <c r="C836" t="s">
        <v>48</v>
      </c>
      <c r="D836" t="s">
        <v>25</v>
      </c>
      <c r="E836" t="s">
        <v>17</v>
      </c>
      <c r="F836" t="s">
        <v>40</v>
      </c>
      <c r="G836">
        <v>5</v>
      </c>
      <c r="H836">
        <v>4558.75</v>
      </c>
      <c r="I836">
        <v>0.22</v>
      </c>
      <c r="J836">
        <v>17779.12</v>
      </c>
      <c r="K836" t="s">
        <v>33</v>
      </c>
      <c r="L836" t="s">
        <v>20</v>
      </c>
      <c r="M836" t="s">
        <v>54</v>
      </c>
      <c r="N836" t="s">
        <v>22</v>
      </c>
      <c r="O836">
        <f>Table1[[#All],[Quantity]]*Table1[[#All],[Unit Price (?)]]</f>
        <v>22793.75</v>
      </c>
      <c r="P836" t="str">
        <f>TEXT(Table1[[#All],[Order Date]],"dddd")</f>
        <v>Wednesday</v>
      </c>
      <c r="Q836" t="str">
        <f>TEXT(Table1[[#All],[Order Date]],"mmm")</f>
        <v>Apr</v>
      </c>
      <c r="R836" t="str">
        <f>IF(Table1[[#All],[Total Price (?)]]&gt;1000,"High Value","Normal")</f>
        <v>High Value</v>
      </c>
    </row>
    <row r="837" spans="1:18" x14ac:dyDescent="0.3">
      <c r="A837" t="s">
        <v>898</v>
      </c>
      <c r="B837" s="1">
        <v>45768</v>
      </c>
      <c r="C837" t="s">
        <v>36</v>
      </c>
      <c r="D837" t="s">
        <v>16</v>
      </c>
      <c r="E837" t="s">
        <v>99</v>
      </c>
      <c r="F837" t="s">
        <v>115</v>
      </c>
      <c r="G837">
        <v>4</v>
      </c>
      <c r="H837">
        <v>3787.07</v>
      </c>
      <c r="I837">
        <v>0.23</v>
      </c>
      <c r="J837">
        <v>11664.18</v>
      </c>
      <c r="K837" t="s">
        <v>46</v>
      </c>
      <c r="L837" t="s">
        <v>29</v>
      </c>
      <c r="M837" t="s">
        <v>54</v>
      </c>
      <c r="N837" t="s">
        <v>22</v>
      </c>
      <c r="O837">
        <f>Table1[[#All],[Quantity]]*Table1[[#All],[Unit Price (?)]]</f>
        <v>15148.28</v>
      </c>
      <c r="P837" t="str">
        <f>TEXT(Table1[[#All],[Order Date]],"dddd")</f>
        <v>Monday</v>
      </c>
      <c r="Q837" t="str">
        <f>TEXT(Table1[[#All],[Order Date]],"mmm")</f>
        <v>Apr</v>
      </c>
      <c r="R837" t="str">
        <f>IF(Table1[[#All],[Total Price (?)]]&gt;1000,"High Value","Normal")</f>
        <v>High Value</v>
      </c>
    </row>
    <row r="838" spans="1:18" x14ac:dyDescent="0.3">
      <c r="A838" t="s">
        <v>899</v>
      </c>
      <c r="B838" s="1">
        <v>45775</v>
      </c>
      <c r="C838" t="s">
        <v>15</v>
      </c>
      <c r="D838" t="s">
        <v>25</v>
      </c>
      <c r="E838" t="s">
        <v>99</v>
      </c>
      <c r="F838" t="s">
        <v>100</v>
      </c>
      <c r="G838">
        <v>4</v>
      </c>
      <c r="H838">
        <v>3525.14</v>
      </c>
      <c r="I838">
        <v>0</v>
      </c>
      <c r="J838">
        <v>14100.56</v>
      </c>
      <c r="K838" t="s">
        <v>19</v>
      </c>
      <c r="L838" t="s">
        <v>29</v>
      </c>
      <c r="M838" t="s">
        <v>54</v>
      </c>
      <c r="N838" t="s">
        <v>22</v>
      </c>
      <c r="O838">
        <f>Table1[[#All],[Quantity]]*Table1[[#All],[Unit Price (?)]]</f>
        <v>14100.56</v>
      </c>
      <c r="P838" t="str">
        <f>TEXT(Table1[[#All],[Order Date]],"dddd")</f>
        <v>Monday</v>
      </c>
      <c r="Q838" t="str">
        <f>TEXT(Table1[[#All],[Order Date]],"mmm")</f>
        <v>Apr</v>
      </c>
      <c r="R838" t="str">
        <f>IF(Table1[[#All],[Total Price (?)]]&gt;1000,"High Value","Normal")</f>
        <v>High Value</v>
      </c>
    </row>
    <row r="839" spans="1:18" x14ac:dyDescent="0.3">
      <c r="A839" t="s">
        <v>900</v>
      </c>
      <c r="B839" s="1">
        <v>45721</v>
      </c>
      <c r="C839" t="s">
        <v>36</v>
      </c>
      <c r="D839" t="s">
        <v>43</v>
      </c>
      <c r="E839" t="s">
        <v>17</v>
      </c>
      <c r="F839" t="s">
        <v>40</v>
      </c>
      <c r="G839">
        <v>3</v>
      </c>
      <c r="H839">
        <v>3691.91</v>
      </c>
      <c r="I839">
        <v>0.04</v>
      </c>
      <c r="J839">
        <v>10632.7</v>
      </c>
      <c r="K839" t="s">
        <v>41</v>
      </c>
      <c r="L839" t="s">
        <v>29</v>
      </c>
      <c r="M839" t="s">
        <v>30</v>
      </c>
      <c r="N839" t="s">
        <v>22</v>
      </c>
      <c r="O839">
        <f>Table1[[#All],[Quantity]]*Table1[[#All],[Unit Price (?)]]</f>
        <v>11075.73</v>
      </c>
      <c r="P839" t="str">
        <f>TEXT(Table1[[#All],[Order Date]],"dddd")</f>
        <v>Wednesday</v>
      </c>
      <c r="Q839" t="str">
        <f>TEXT(Table1[[#All],[Order Date]],"mmm")</f>
        <v>Mar</v>
      </c>
      <c r="R839" t="str">
        <f>IF(Table1[[#All],[Total Price (?)]]&gt;1000,"High Value","Normal")</f>
        <v>High Value</v>
      </c>
    </row>
    <row r="840" spans="1:18" x14ac:dyDescent="0.3">
      <c r="A840" t="s">
        <v>901</v>
      </c>
      <c r="B840" s="1">
        <v>45806</v>
      </c>
      <c r="C840" t="s">
        <v>52</v>
      </c>
      <c r="D840" t="s">
        <v>16</v>
      </c>
      <c r="E840" t="s">
        <v>61</v>
      </c>
      <c r="F840" t="s">
        <v>92</v>
      </c>
      <c r="G840">
        <v>4</v>
      </c>
      <c r="H840">
        <v>2878.75</v>
      </c>
      <c r="I840">
        <v>0.05</v>
      </c>
      <c r="J840">
        <v>10939.25</v>
      </c>
      <c r="K840" t="s">
        <v>33</v>
      </c>
      <c r="L840" t="s">
        <v>20</v>
      </c>
      <c r="M840" t="s">
        <v>54</v>
      </c>
      <c r="N840" t="s">
        <v>22</v>
      </c>
      <c r="O840">
        <f>Table1[[#All],[Quantity]]*Table1[[#All],[Unit Price (?)]]</f>
        <v>11515</v>
      </c>
      <c r="P840" t="str">
        <f>TEXT(Table1[[#All],[Order Date]],"dddd")</f>
        <v>Thursday</v>
      </c>
      <c r="Q840" t="str">
        <f>TEXT(Table1[[#All],[Order Date]],"mmm")</f>
        <v>May</v>
      </c>
      <c r="R840" t="str">
        <f>IF(Table1[[#All],[Total Price (?)]]&gt;1000,"High Value","Normal")</f>
        <v>High Value</v>
      </c>
    </row>
    <row r="841" spans="1:18" x14ac:dyDescent="0.3">
      <c r="A841" t="s">
        <v>902</v>
      </c>
      <c r="B841" s="1">
        <v>45833</v>
      </c>
      <c r="C841" t="s">
        <v>48</v>
      </c>
      <c r="D841" t="s">
        <v>39</v>
      </c>
      <c r="E841" t="s">
        <v>61</v>
      </c>
      <c r="F841" t="s">
        <v>66</v>
      </c>
      <c r="G841">
        <v>5</v>
      </c>
      <c r="H841">
        <v>635.05999999999995</v>
      </c>
      <c r="I841">
        <v>0.16</v>
      </c>
      <c r="J841">
        <v>2667.25</v>
      </c>
      <c r="K841" t="s">
        <v>41</v>
      </c>
      <c r="L841" t="s">
        <v>29</v>
      </c>
      <c r="M841" t="s">
        <v>54</v>
      </c>
      <c r="N841" t="s">
        <v>22</v>
      </c>
      <c r="O841">
        <f>Table1[[#All],[Quantity]]*Table1[[#All],[Unit Price (?)]]</f>
        <v>3175.2999999999997</v>
      </c>
      <c r="P841" t="str">
        <f>TEXT(Table1[[#All],[Order Date]],"dddd")</f>
        <v>Wednesday</v>
      </c>
      <c r="Q841" t="str">
        <f>TEXT(Table1[[#All],[Order Date]],"mmm")</f>
        <v>Jun</v>
      </c>
      <c r="R841" t="str">
        <f>IF(Table1[[#All],[Total Price (?)]]&gt;1000,"High Value","Normal")</f>
        <v>High Value</v>
      </c>
    </row>
    <row r="842" spans="1:18" x14ac:dyDescent="0.3">
      <c r="A842" t="s">
        <v>903</v>
      </c>
      <c r="B842" s="1">
        <v>45745</v>
      </c>
      <c r="C842" t="s">
        <v>24</v>
      </c>
      <c r="D842" t="s">
        <v>16</v>
      </c>
      <c r="E842" t="s">
        <v>17</v>
      </c>
      <c r="F842" t="s">
        <v>32</v>
      </c>
      <c r="G842">
        <v>5</v>
      </c>
      <c r="H842">
        <v>1250.42</v>
      </c>
      <c r="I842">
        <v>0.12</v>
      </c>
      <c r="J842">
        <v>5501.85</v>
      </c>
      <c r="K842" t="s">
        <v>46</v>
      </c>
      <c r="L842" t="s">
        <v>20</v>
      </c>
      <c r="M842" t="s">
        <v>54</v>
      </c>
      <c r="N842" t="s">
        <v>22</v>
      </c>
      <c r="O842">
        <f>Table1[[#All],[Quantity]]*Table1[[#All],[Unit Price (?)]]</f>
        <v>6252.1</v>
      </c>
      <c r="P842" t="str">
        <f>TEXT(Table1[[#All],[Order Date]],"dddd")</f>
        <v>Saturday</v>
      </c>
      <c r="Q842" t="str">
        <f>TEXT(Table1[[#All],[Order Date]],"mmm")</f>
        <v>Mar</v>
      </c>
      <c r="R842" t="str">
        <f>IF(Table1[[#All],[Total Price (?)]]&gt;1000,"High Value","Normal")</f>
        <v>High Value</v>
      </c>
    </row>
    <row r="843" spans="1:18" x14ac:dyDescent="0.3">
      <c r="A843" t="s">
        <v>904</v>
      </c>
      <c r="B843" s="1">
        <v>45778</v>
      </c>
      <c r="C843" t="s">
        <v>24</v>
      </c>
      <c r="D843" t="s">
        <v>25</v>
      </c>
      <c r="E843" t="s">
        <v>17</v>
      </c>
      <c r="F843" t="s">
        <v>18</v>
      </c>
      <c r="G843">
        <v>1</v>
      </c>
      <c r="H843">
        <v>1940.76</v>
      </c>
      <c r="I843">
        <v>0.13</v>
      </c>
      <c r="J843">
        <v>1688.46</v>
      </c>
      <c r="K843" t="s">
        <v>19</v>
      </c>
      <c r="L843" t="s">
        <v>29</v>
      </c>
      <c r="M843" t="s">
        <v>30</v>
      </c>
      <c r="N843" t="s">
        <v>22</v>
      </c>
      <c r="O843">
        <f>Table1[[#All],[Quantity]]*Table1[[#All],[Unit Price (?)]]</f>
        <v>1940.76</v>
      </c>
      <c r="P843" t="str">
        <f>TEXT(Table1[[#All],[Order Date]],"dddd")</f>
        <v>Thursday</v>
      </c>
      <c r="Q843" t="str">
        <f>TEXT(Table1[[#All],[Order Date]],"mmm")</f>
        <v>May</v>
      </c>
      <c r="R843" t="str">
        <f>IF(Table1[[#All],[Total Price (?)]]&gt;1000,"High Value","Normal")</f>
        <v>High Value</v>
      </c>
    </row>
    <row r="844" spans="1:18" x14ac:dyDescent="0.3">
      <c r="A844" t="s">
        <v>905</v>
      </c>
      <c r="B844" s="1">
        <v>45818</v>
      </c>
      <c r="C844" t="s">
        <v>15</v>
      </c>
      <c r="D844" t="s">
        <v>25</v>
      </c>
      <c r="E844" t="s">
        <v>99</v>
      </c>
      <c r="F844" t="s">
        <v>115</v>
      </c>
      <c r="G844">
        <v>3</v>
      </c>
      <c r="H844">
        <v>4997.28</v>
      </c>
      <c r="I844">
        <v>0.2</v>
      </c>
      <c r="J844">
        <v>11993.47</v>
      </c>
      <c r="K844" t="s">
        <v>46</v>
      </c>
      <c r="L844" t="s">
        <v>29</v>
      </c>
      <c r="M844" t="s">
        <v>30</v>
      </c>
      <c r="N844" t="s">
        <v>22</v>
      </c>
      <c r="O844">
        <f>Table1[[#All],[Quantity]]*Table1[[#All],[Unit Price (?)]]</f>
        <v>14991.84</v>
      </c>
      <c r="P844" t="str">
        <f>TEXT(Table1[[#All],[Order Date]],"dddd")</f>
        <v>Tuesday</v>
      </c>
      <c r="Q844" t="str">
        <f>TEXT(Table1[[#All],[Order Date]],"mmm")</f>
        <v>Jun</v>
      </c>
      <c r="R844" t="str">
        <f>IF(Table1[[#All],[Total Price (?)]]&gt;1000,"High Value","Normal")</f>
        <v>High Value</v>
      </c>
    </row>
    <row r="845" spans="1:18" x14ac:dyDescent="0.3">
      <c r="A845" t="s">
        <v>906</v>
      </c>
      <c r="B845" s="1">
        <v>45799</v>
      </c>
      <c r="C845" t="s">
        <v>15</v>
      </c>
      <c r="D845" t="s">
        <v>16</v>
      </c>
      <c r="E845" t="s">
        <v>17</v>
      </c>
      <c r="F845" t="s">
        <v>32</v>
      </c>
      <c r="G845">
        <v>4</v>
      </c>
      <c r="H845">
        <v>4365.6499999999996</v>
      </c>
      <c r="I845">
        <v>0.1</v>
      </c>
      <c r="J845">
        <v>15716.34</v>
      </c>
      <c r="K845" t="s">
        <v>58</v>
      </c>
      <c r="L845" t="s">
        <v>20</v>
      </c>
      <c r="M845" t="s">
        <v>54</v>
      </c>
      <c r="N845" t="s">
        <v>22</v>
      </c>
      <c r="O845">
        <f>Table1[[#All],[Quantity]]*Table1[[#All],[Unit Price (?)]]</f>
        <v>17462.599999999999</v>
      </c>
      <c r="P845" t="str">
        <f>TEXT(Table1[[#All],[Order Date]],"dddd")</f>
        <v>Thursday</v>
      </c>
      <c r="Q845" t="str">
        <f>TEXT(Table1[[#All],[Order Date]],"mmm")</f>
        <v>May</v>
      </c>
      <c r="R845" t="str">
        <f>IF(Table1[[#All],[Total Price (?)]]&gt;1000,"High Value","Normal")</f>
        <v>High Value</v>
      </c>
    </row>
    <row r="846" spans="1:18" x14ac:dyDescent="0.3">
      <c r="A846" t="s">
        <v>907</v>
      </c>
      <c r="B846" s="1">
        <v>45833</v>
      </c>
      <c r="C846" t="s">
        <v>52</v>
      </c>
      <c r="D846" t="s">
        <v>25</v>
      </c>
      <c r="E846" t="s">
        <v>27</v>
      </c>
      <c r="F846" t="s">
        <v>28</v>
      </c>
      <c r="G846">
        <v>5</v>
      </c>
      <c r="H846">
        <v>3462.31</v>
      </c>
      <c r="I846">
        <v>0.22</v>
      </c>
      <c r="J846">
        <v>13503.01</v>
      </c>
      <c r="K846" t="s">
        <v>46</v>
      </c>
      <c r="L846" t="s">
        <v>34</v>
      </c>
      <c r="M846" t="s">
        <v>21</v>
      </c>
      <c r="N846" t="s">
        <v>22</v>
      </c>
      <c r="O846">
        <f>Table1[[#All],[Quantity]]*Table1[[#All],[Unit Price (?)]]</f>
        <v>17311.55</v>
      </c>
      <c r="P846" t="str">
        <f>TEXT(Table1[[#All],[Order Date]],"dddd")</f>
        <v>Wednesday</v>
      </c>
      <c r="Q846" t="str">
        <f>TEXT(Table1[[#All],[Order Date]],"mmm")</f>
        <v>Jun</v>
      </c>
      <c r="R846" t="str">
        <f>IF(Table1[[#All],[Total Price (?)]]&gt;1000,"High Value","Normal")</f>
        <v>High Value</v>
      </c>
    </row>
    <row r="847" spans="1:18" x14ac:dyDescent="0.3">
      <c r="A847" t="s">
        <v>908</v>
      </c>
      <c r="B847" s="1">
        <v>45758</v>
      </c>
      <c r="C847" t="s">
        <v>24</v>
      </c>
      <c r="D847" t="s">
        <v>25</v>
      </c>
      <c r="E847" t="s">
        <v>17</v>
      </c>
      <c r="F847" t="s">
        <v>32</v>
      </c>
      <c r="G847">
        <v>3</v>
      </c>
      <c r="H847">
        <v>3421.85</v>
      </c>
      <c r="I847">
        <v>0.06</v>
      </c>
      <c r="J847">
        <v>9649.6200000000008</v>
      </c>
      <c r="K847" t="s">
        <v>46</v>
      </c>
      <c r="L847" t="s">
        <v>20</v>
      </c>
      <c r="M847" t="s">
        <v>30</v>
      </c>
      <c r="N847" t="s">
        <v>22</v>
      </c>
      <c r="O847">
        <f>Table1[[#All],[Quantity]]*Table1[[#All],[Unit Price (?)]]</f>
        <v>10265.549999999999</v>
      </c>
      <c r="P847" t="str">
        <f>TEXT(Table1[[#All],[Order Date]],"dddd")</f>
        <v>Friday</v>
      </c>
      <c r="Q847" t="str">
        <f>TEXT(Table1[[#All],[Order Date]],"mmm")</f>
        <v>Apr</v>
      </c>
      <c r="R847" t="str">
        <f>IF(Table1[[#All],[Total Price (?)]]&gt;1000,"High Value","Normal")</f>
        <v>High Value</v>
      </c>
    </row>
    <row r="848" spans="1:18" x14ac:dyDescent="0.3">
      <c r="A848" t="s">
        <v>909</v>
      </c>
      <c r="B848" s="1">
        <v>45742</v>
      </c>
      <c r="C848" t="s">
        <v>48</v>
      </c>
      <c r="D848" t="s">
        <v>43</v>
      </c>
      <c r="E848" t="s">
        <v>17</v>
      </c>
      <c r="F848" t="s">
        <v>32</v>
      </c>
      <c r="G848">
        <v>1</v>
      </c>
      <c r="H848">
        <v>3697.96</v>
      </c>
      <c r="I848">
        <v>7.0000000000000007E-2</v>
      </c>
      <c r="J848">
        <v>3439.1</v>
      </c>
      <c r="K848" t="s">
        <v>41</v>
      </c>
      <c r="L848" t="s">
        <v>29</v>
      </c>
      <c r="M848" t="s">
        <v>54</v>
      </c>
      <c r="N848" t="s">
        <v>37</v>
      </c>
      <c r="O848">
        <f>Table1[[#All],[Quantity]]*Table1[[#All],[Unit Price (?)]]</f>
        <v>3697.96</v>
      </c>
      <c r="P848" t="str">
        <f>TEXT(Table1[[#All],[Order Date]],"dddd")</f>
        <v>Wednesday</v>
      </c>
      <c r="Q848" t="str">
        <f>TEXT(Table1[[#All],[Order Date]],"mmm")</f>
        <v>Mar</v>
      </c>
      <c r="R848" t="str">
        <f>IF(Table1[[#All],[Total Price (?)]]&gt;1000,"High Value","Normal")</f>
        <v>High Value</v>
      </c>
    </row>
    <row r="849" spans="1:18" x14ac:dyDescent="0.3">
      <c r="A849" t="s">
        <v>910</v>
      </c>
      <c r="B849" s="1">
        <v>45821</v>
      </c>
      <c r="C849" t="s">
        <v>52</v>
      </c>
      <c r="D849" t="s">
        <v>43</v>
      </c>
      <c r="E849" t="s">
        <v>27</v>
      </c>
      <c r="F849" t="s">
        <v>79</v>
      </c>
      <c r="G849">
        <v>3</v>
      </c>
      <c r="H849">
        <v>4178.54</v>
      </c>
      <c r="I849">
        <v>0.25</v>
      </c>
      <c r="J849">
        <v>9401.7199999999993</v>
      </c>
      <c r="K849" t="s">
        <v>41</v>
      </c>
      <c r="L849" t="s">
        <v>20</v>
      </c>
      <c r="M849" t="s">
        <v>30</v>
      </c>
      <c r="N849" t="s">
        <v>37</v>
      </c>
      <c r="O849">
        <f>Table1[[#All],[Quantity]]*Table1[[#All],[Unit Price (?)]]</f>
        <v>12535.619999999999</v>
      </c>
      <c r="P849" t="str">
        <f>TEXT(Table1[[#All],[Order Date]],"dddd")</f>
        <v>Friday</v>
      </c>
      <c r="Q849" t="str">
        <f>TEXT(Table1[[#All],[Order Date]],"mmm")</f>
        <v>Jun</v>
      </c>
      <c r="R849" t="str">
        <f>IF(Table1[[#All],[Total Price (?)]]&gt;1000,"High Value","Normal")</f>
        <v>High Value</v>
      </c>
    </row>
    <row r="850" spans="1:18" x14ac:dyDescent="0.3">
      <c r="A850" t="s">
        <v>911</v>
      </c>
      <c r="B850" s="1">
        <v>45836</v>
      </c>
      <c r="C850" t="s">
        <v>36</v>
      </c>
      <c r="D850" t="s">
        <v>16</v>
      </c>
      <c r="E850" t="s">
        <v>17</v>
      </c>
      <c r="F850" t="s">
        <v>40</v>
      </c>
      <c r="G850">
        <v>2</v>
      </c>
      <c r="H850">
        <v>935.12</v>
      </c>
      <c r="I850">
        <v>0.24</v>
      </c>
      <c r="J850">
        <v>1421.38</v>
      </c>
      <c r="K850" t="s">
        <v>19</v>
      </c>
      <c r="L850" t="s">
        <v>20</v>
      </c>
      <c r="M850" t="s">
        <v>21</v>
      </c>
      <c r="N850" t="s">
        <v>22</v>
      </c>
      <c r="O850">
        <f>Table1[[#All],[Quantity]]*Table1[[#All],[Unit Price (?)]]</f>
        <v>1870.24</v>
      </c>
      <c r="P850" t="str">
        <f>TEXT(Table1[[#All],[Order Date]],"dddd")</f>
        <v>Saturday</v>
      </c>
      <c r="Q850" t="str">
        <f>TEXT(Table1[[#All],[Order Date]],"mmm")</f>
        <v>Jun</v>
      </c>
      <c r="R850" t="str">
        <f>IF(Table1[[#All],[Total Price (?)]]&gt;1000,"High Value","Normal")</f>
        <v>High Value</v>
      </c>
    </row>
    <row r="851" spans="1:18" x14ac:dyDescent="0.3">
      <c r="A851" t="s">
        <v>912</v>
      </c>
      <c r="B851" s="1">
        <v>45766</v>
      </c>
      <c r="C851" t="s">
        <v>15</v>
      </c>
      <c r="D851" t="s">
        <v>16</v>
      </c>
      <c r="E851" t="s">
        <v>17</v>
      </c>
      <c r="F851" t="s">
        <v>44</v>
      </c>
      <c r="G851">
        <v>2</v>
      </c>
      <c r="H851">
        <v>3623.96</v>
      </c>
      <c r="I851">
        <v>0.17</v>
      </c>
      <c r="J851">
        <v>6015.77</v>
      </c>
      <c r="K851" t="s">
        <v>41</v>
      </c>
      <c r="L851" t="s">
        <v>34</v>
      </c>
      <c r="M851" t="s">
        <v>21</v>
      </c>
      <c r="N851" t="s">
        <v>22</v>
      </c>
      <c r="O851">
        <f>Table1[[#All],[Quantity]]*Table1[[#All],[Unit Price (?)]]</f>
        <v>7247.92</v>
      </c>
      <c r="P851" t="str">
        <f>TEXT(Table1[[#All],[Order Date]],"dddd")</f>
        <v>Saturday</v>
      </c>
      <c r="Q851" t="str">
        <f>TEXT(Table1[[#All],[Order Date]],"mmm")</f>
        <v>Apr</v>
      </c>
      <c r="R851" t="str">
        <f>IF(Table1[[#All],[Total Price (?)]]&gt;1000,"High Value","Normal")</f>
        <v>High Value</v>
      </c>
    </row>
    <row r="852" spans="1:18" x14ac:dyDescent="0.3">
      <c r="A852" t="s">
        <v>913</v>
      </c>
      <c r="B852" s="1">
        <v>45746</v>
      </c>
      <c r="C852" t="s">
        <v>24</v>
      </c>
      <c r="D852" t="s">
        <v>39</v>
      </c>
      <c r="E852" t="s">
        <v>27</v>
      </c>
      <c r="F852" t="s">
        <v>87</v>
      </c>
      <c r="G852">
        <v>5</v>
      </c>
      <c r="H852">
        <v>3855.05</v>
      </c>
      <c r="I852">
        <v>0.15</v>
      </c>
      <c r="J852">
        <v>16383.96</v>
      </c>
      <c r="K852" t="s">
        <v>46</v>
      </c>
      <c r="L852" t="s">
        <v>20</v>
      </c>
      <c r="M852" t="s">
        <v>21</v>
      </c>
      <c r="N852" t="s">
        <v>22</v>
      </c>
      <c r="O852">
        <f>Table1[[#All],[Quantity]]*Table1[[#All],[Unit Price (?)]]</f>
        <v>19275.25</v>
      </c>
      <c r="P852" t="str">
        <f>TEXT(Table1[[#All],[Order Date]],"dddd")</f>
        <v>Sunday</v>
      </c>
      <c r="Q852" t="str">
        <f>TEXT(Table1[[#All],[Order Date]],"mmm")</f>
        <v>Mar</v>
      </c>
      <c r="R852" t="str">
        <f>IF(Table1[[#All],[Total Price (?)]]&gt;1000,"High Value","Normal")</f>
        <v>High Value</v>
      </c>
    </row>
    <row r="853" spans="1:18" x14ac:dyDescent="0.3">
      <c r="A853" t="s">
        <v>914</v>
      </c>
      <c r="B853" s="1">
        <v>45834</v>
      </c>
      <c r="C853" t="s">
        <v>52</v>
      </c>
      <c r="D853" t="s">
        <v>43</v>
      </c>
      <c r="E853" t="s">
        <v>49</v>
      </c>
      <c r="F853" t="s">
        <v>50</v>
      </c>
      <c r="G853">
        <v>1</v>
      </c>
      <c r="H853">
        <v>1525.78</v>
      </c>
      <c r="I853">
        <v>0.03</v>
      </c>
      <c r="J853">
        <v>1480.01</v>
      </c>
      <c r="K853" t="s">
        <v>19</v>
      </c>
      <c r="L853" t="s">
        <v>34</v>
      </c>
      <c r="M853" t="s">
        <v>30</v>
      </c>
      <c r="N853" t="s">
        <v>22</v>
      </c>
      <c r="O853">
        <f>Table1[[#All],[Quantity]]*Table1[[#All],[Unit Price (?)]]</f>
        <v>1525.78</v>
      </c>
      <c r="P853" t="str">
        <f>TEXT(Table1[[#All],[Order Date]],"dddd")</f>
        <v>Thursday</v>
      </c>
      <c r="Q853" t="str">
        <f>TEXT(Table1[[#All],[Order Date]],"mmm")</f>
        <v>Jun</v>
      </c>
      <c r="R853" t="str">
        <f>IF(Table1[[#All],[Total Price (?)]]&gt;1000,"High Value","Normal")</f>
        <v>High Value</v>
      </c>
    </row>
    <row r="854" spans="1:18" x14ac:dyDescent="0.3">
      <c r="A854" t="s">
        <v>915</v>
      </c>
      <c r="B854" s="1">
        <v>45690</v>
      </c>
      <c r="C854" t="s">
        <v>52</v>
      </c>
      <c r="D854" t="s">
        <v>43</v>
      </c>
      <c r="E854" t="s">
        <v>17</v>
      </c>
      <c r="F854" t="s">
        <v>32</v>
      </c>
      <c r="G854">
        <v>5</v>
      </c>
      <c r="H854">
        <v>3710.9</v>
      </c>
      <c r="I854">
        <v>0.08</v>
      </c>
      <c r="J854">
        <v>17070.14</v>
      </c>
      <c r="K854" t="s">
        <v>46</v>
      </c>
      <c r="L854" t="s">
        <v>34</v>
      </c>
      <c r="M854" t="s">
        <v>21</v>
      </c>
      <c r="N854" t="s">
        <v>88</v>
      </c>
      <c r="O854">
        <f>Table1[[#All],[Quantity]]*Table1[[#All],[Unit Price (?)]]</f>
        <v>18554.5</v>
      </c>
      <c r="P854" t="str">
        <f>TEXT(Table1[[#All],[Order Date]],"dddd")</f>
        <v>Sunday</v>
      </c>
      <c r="Q854" t="str">
        <f>TEXT(Table1[[#All],[Order Date]],"mmm")</f>
        <v>Feb</v>
      </c>
      <c r="R854" t="str">
        <f>IF(Table1[[#All],[Total Price (?)]]&gt;1000,"High Value","Normal")</f>
        <v>High Value</v>
      </c>
    </row>
    <row r="855" spans="1:18" x14ac:dyDescent="0.3">
      <c r="A855" t="s">
        <v>916</v>
      </c>
      <c r="B855" s="1">
        <v>45804</v>
      </c>
      <c r="C855" t="s">
        <v>15</v>
      </c>
      <c r="D855" t="s">
        <v>25</v>
      </c>
      <c r="E855" t="s">
        <v>49</v>
      </c>
      <c r="F855" t="s">
        <v>53</v>
      </c>
      <c r="G855">
        <v>5</v>
      </c>
      <c r="H855">
        <v>2994.8</v>
      </c>
      <c r="I855">
        <v>0.03</v>
      </c>
      <c r="J855">
        <v>14524.78</v>
      </c>
      <c r="K855" t="s">
        <v>19</v>
      </c>
      <c r="L855" t="s">
        <v>29</v>
      </c>
      <c r="M855" t="s">
        <v>54</v>
      </c>
      <c r="N855" t="s">
        <v>22</v>
      </c>
      <c r="O855">
        <f>Table1[[#All],[Quantity]]*Table1[[#All],[Unit Price (?)]]</f>
        <v>14974</v>
      </c>
      <c r="P855" t="str">
        <f>TEXT(Table1[[#All],[Order Date]],"dddd")</f>
        <v>Tuesday</v>
      </c>
      <c r="Q855" t="str">
        <f>TEXT(Table1[[#All],[Order Date]],"mmm")</f>
        <v>May</v>
      </c>
      <c r="R855" t="str">
        <f>IF(Table1[[#All],[Total Price (?)]]&gt;1000,"High Value","Normal")</f>
        <v>High Value</v>
      </c>
    </row>
    <row r="856" spans="1:18" x14ac:dyDescent="0.3">
      <c r="A856" t="s">
        <v>917</v>
      </c>
      <c r="B856" s="1">
        <v>45827</v>
      </c>
      <c r="C856" t="s">
        <v>48</v>
      </c>
      <c r="D856" t="s">
        <v>16</v>
      </c>
      <c r="E856" t="s">
        <v>99</v>
      </c>
      <c r="F856" t="s">
        <v>100</v>
      </c>
      <c r="G856">
        <v>5</v>
      </c>
      <c r="H856">
        <v>1488.62</v>
      </c>
      <c r="I856">
        <v>0.19</v>
      </c>
      <c r="J856">
        <v>6028.91</v>
      </c>
      <c r="K856" t="s">
        <v>41</v>
      </c>
      <c r="L856" t="s">
        <v>20</v>
      </c>
      <c r="M856" t="s">
        <v>21</v>
      </c>
      <c r="N856" t="s">
        <v>22</v>
      </c>
      <c r="O856">
        <f>Table1[[#All],[Quantity]]*Table1[[#All],[Unit Price (?)]]</f>
        <v>7443.0999999999995</v>
      </c>
      <c r="P856" t="str">
        <f>TEXT(Table1[[#All],[Order Date]],"dddd")</f>
        <v>Thursday</v>
      </c>
      <c r="Q856" t="str">
        <f>TEXT(Table1[[#All],[Order Date]],"mmm")</f>
        <v>Jun</v>
      </c>
      <c r="R856" t="str">
        <f>IF(Table1[[#All],[Total Price (?)]]&gt;1000,"High Value","Normal")</f>
        <v>High Value</v>
      </c>
    </row>
    <row r="857" spans="1:18" x14ac:dyDescent="0.3">
      <c r="A857" t="s">
        <v>918</v>
      </c>
      <c r="B857" s="1">
        <v>45752</v>
      </c>
      <c r="C857" t="s">
        <v>15</v>
      </c>
      <c r="D857" t="s">
        <v>16</v>
      </c>
      <c r="E857" t="s">
        <v>99</v>
      </c>
      <c r="F857" t="s">
        <v>120</v>
      </c>
      <c r="G857">
        <v>2</v>
      </c>
      <c r="H857">
        <v>2525.63</v>
      </c>
      <c r="I857">
        <v>0.18</v>
      </c>
      <c r="J857">
        <v>4142.03</v>
      </c>
      <c r="K857" t="s">
        <v>33</v>
      </c>
      <c r="L857" t="s">
        <v>34</v>
      </c>
      <c r="M857" t="s">
        <v>30</v>
      </c>
      <c r="N857" t="s">
        <v>59</v>
      </c>
      <c r="O857">
        <f>Table1[[#All],[Quantity]]*Table1[[#All],[Unit Price (?)]]</f>
        <v>5051.26</v>
      </c>
      <c r="P857" t="str">
        <f>TEXT(Table1[[#All],[Order Date]],"dddd")</f>
        <v>Saturday</v>
      </c>
      <c r="Q857" t="str">
        <f>TEXT(Table1[[#All],[Order Date]],"mmm")</f>
        <v>Apr</v>
      </c>
      <c r="R857" t="str">
        <f>IF(Table1[[#All],[Total Price (?)]]&gt;1000,"High Value","Normal")</f>
        <v>High Value</v>
      </c>
    </row>
    <row r="858" spans="1:18" x14ac:dyDescent="0.3">
      <c r="A858" t="s">
        <v>919</v>
      </c>
      <c r="B858" s="1">
        <v>45747</v>
      </c>
      <c r="C858" t="s">
        <v>52</v>
      </c>
      <c r="D858" t="s">
        <v>25</v>
      </c>
      <c r="E858" t="s">
        <v>99</v>
      </c>
      <c r="F858" t="s">
        <v>100</v>
      </c>
      <c r="G858">
        <v>1</v>
      </c>
      <c r="H858">
        <v>4623.47</v>
      </c>
      <c r="I858">
        <v>0.19</v>
      </c>
      <c r="J858">
        <v>3745.01</v>
      </c>
      <c r="K858" t="s">
        <v>19</v>
      </c>
      <c r="L858" t="s">
        <v>29</v>
      </c>
      <c r="M858" t="s">
        <v>30</v>
      </c>
      <c r="N858" t="s">
        <v>22</v>
      </c>
      <c r="O858">
        <f>Table1[[#All],[Quantity]]*Table1[[#All],[Unit Price (?)]]</f>
        <v>4623.47</v>
      </c>
      <c r="P858" t="str">
        <f>TEXT(Table1[[#All],[Order Date]],"dddd")</f>
        <v>Monday</v>
      </c>
      <c r="Q858" t="str">
        <f>TEXT(Table1[[#All],[Order Date]],"mmm")</f>
        <v>Mar</v>
      </c>
      <c r="R858" t="str">
        <f>IF(Table1[[#All],[Total Price (?)]]&gt;1000,"High Value","Normal")</f>
        <v>High Value</v>
      </c>
    </row>
    <row r="859" spans="1:18" x14ac:dyDescent="0.3">
      <c r="A859" t="s">
        <v>920</v>
      </c>
      <c r="B859" s="1">
        <v>45710</v>
      </c>
      <c r="C859" t="s">
        <v>36</v>
      </c>
      <c r="D859" t="s">
        <v>25</v>
      </c>
      <c r="E859" t="s">
        <v>61</v>
      </c>
      <c r="F859" t="s">
        <v>62</v>
      </c>
      <c r="G859">
        <v>4</v>
      </c>
      <c r="H859">
        <v>3421.7</v>
      </c>
      <c r="I859">
        <v>0.25</v>
      </c>
      <c r="J859">
        <v>10265.1</v>
      </c>
      <c r="K859" t="s">
        <v>41</v>
      </c>
      <c r="L859" t="s">
        <v>34</v>
      </c>
      <c r="M859" t="s">
        <v>30</v>
      </c>
      <c r="N859" t="s">
        <v>22</v>
      </c>
      <c r="O859">
        <f>Table1[[#All],[Quantity]]*Table1[[#All],[Unit Price (?)]]</f>
        <v>13686.8</v>
      </c>
      <c r="P859" t="str">
        <f>TEXT(Table1[[#All],[Order Date]],"dddd")</f>
        <v>Saturday</v>
      </c>
      <c r="Q859" t="str">
        <f>TEXT(Table1[[#All],[Order Date]],"mmm")</f>
        <v>Feb</v>
      </c>
      <c r="R859" t="str">
        <f>IF(Table1[[#All],[Total Price (?)]]&gt;1000,"High Value","Normal")</f>
        <v>High Value</v>
      </c>
    </row>
    <row r="860" spans="1:18" x14ac:dyDescent="0.3">
      <c r="A860" t="s">
        <v>921</v>
      </c>
      <c r="B860" s="1">
        <v>45805</v>
      </c>
      <c r="C860" t="s">
        <v>52</v>
      </c>
      <c r="D860" t="s">
        <v>16</v>
      </c>
      <c r="E860" t="s">
        <v>99</v>
      </c>
      <c r="F860" t="s">
        <v>111</v>
      </c>
      <c r="G860">
        <v>1</v>
      </c>
      <c r="H860">
        <v>741.41</v>
      </c>
      <c r="I860">
        <v>0.19</v>
      </c>
      <c r="J860">
        <v>600.54</v>
      </c>
      <c r="K860" t="s">
        <v>33</v>
      </c>
      <c r="L860" t="s">
        <v>34</v>
      </c>
      <c r="M860" t="s">
        <v>21</v>
      </c>
      <c r="N860" t="s">
        <v>88</v>
      </c>
      <c r="O860">
        <f>Table1[[#All],[Quantity]]*Table1[[#All],[Unit Price (?)]]</f>
        <v>741.41</v>
      </c>
      <c r="P860" t="str">
        <f>TEXT(Table1[[#All],[Order Date]],"dddd")</f>
        <v>Wednesday</v>
      </c>
      <c r="Q860" t="str">
        <f>TEXT(Table1[[#All],[Order Date]],"mmm")</f>
        <v>May</v>
      </c>
      <c r="R860" t="str">
        <f>IF(Table1[[#All],[Total Price (?)]]&gt;1000,"High Value","Normal")</f>
        <v>Normal</v>
      </c>
    </row>
    <row r="861" spans="1:18" x14ac:dyDescent="0.3">
      <c r="A861" t="s">
        <v>922</v>
      </c>
      <c r="B861" s="1">
        <v>45708</v>
      </c>
      <c r="C861" t="s">
        <v>52</v>
      </c>
      <c r="D861" t="s">
        <v>43</v>
      </c>
      <c r="E861" t="s">
        <v>99</v>
      </c>
      <c r="F861" t="s">
        <v>115</v>
      </c>
      <c r="G861">
        <v>4</v>
      </c>
      <c r="H861">
        <v>3510.18</v>
      </c>
      <c r="I861">
        <v>7.0000000000000007E-2</v>
      </c>
      <c r="J861">
        <v>13057.87</v>
      </c>
      <c r="K861" t="s">
        <v>33</v>
      </c>
      <c r="L861" t="s">
        <v>20</v>
      </c>
      <c r="M861" t="s">
        <v>54</v>
      </c>
      <c r="N861" t="s">
        <v>22</v>
      </c>
      <c r="O861">
        <f>Table1[[#All],[Quantity]]*Table1[[#All],[Unit Price (?)]]</f>
        <v>14040.72</v>
      </c>
      <c r="P861" t="str">
        <f>TEXT(Table1[[#All],[Order Date]],"dddd")</f>
        <v>Thursday</v>
      </c>
      <c r="Q861" t="str">
        <f>TEXT(Table1[[#All],[Order Date]],"mmm")</f>
        <v>Feb</v>
      </c>
      <c r="R861" t="str">
        <f>IF(Table1[[#All],[Total Price (?)]]&gt;1000,"High Value","Normal")</f>
        <v>High Value</v>
      </c>
    </row>
    <row r="862" spans="1:18" x14ac:dyDescent="0.3">
      <c r="A862" t="s">
        <v>923</v>
      </c>
      <c r="B862" s="1">
        <v>45823</v>
      </c>
      <c r="C862" t="s">
        <v>15</v>
      </c>
      <c r="D862" t="s">
        <v>43</v>
      </c>
      <c r="E862" t="s">
        <v>61</v>
      </c>
      <c r="F862" t="s">
        <v>62</v>
      </c>
      <c r="G862">
        <v>2</v>
      </c>
      <c r="H862">
        <v>1945.12</v>
      </c>
      <c r="I862">
        <v>0.25</v>
      </c>
      <c r="J862">
        <v>2917.68</v>
      </c>
      <c r="K862" t="s">
        <v>33</v>
      </c>
      <c r="L862" t="s">
        <v>20</v>
      </c>
      <c r="M862" t="s">
        <v>21</v>
      </c>
      <c r="N862" t="s">
        <v>37</v>
      </c>
      <c r="O862">
        <f>Table1[[#All],[Quantity]]*Table1[[#All],[Unit Price (?)]]</f>
        <v>3890.24</v>
      </c>
      <c r="P862" t="str">
        <f>TEXT(Table1[[#All],[Order Date]],"dddd")</f>
        <v>Sunday</v>
      </c>
      <c r="Q862" t="str">
        <f>TEXT(Table1[[#All],[Order Date]],"mmm")</f>
        <v>Jun</v>
      </c>
      <c r="R862" t="str">
        <f>IF(Table1[[#All],[Total Price (?)]]&gt;1000,"High Value","Normal")</f>
        <v>High Value</v>
      </c>
    </row>
    <row r="863" spans="1:18" x14ac:dyDescent="0.3">
      <c r="A863" t="s">
        <v>924</v>
      </c>
      <c r="B863" s="1">
        <v>45783</v>
      </c>
      <c r="C863" t="s">
        <v>48</v>
      </c>
      <c r="D863" t="s">
        <v>25</v>
      </c>
      <c r="E863" t="s">
        <v>17</v>
      </c>
      <c r="F863" t="s">
        <v>32</v>
      </c>
      <c r="G863">
        <v>1</v>
      </c>
      <c r="H863">
        <v>4903.3599999999997</v>
      </c>
      <c r="I863">
        <v>0.16</v>
      </c>
      <c r="J863">
        <v>4118.82</v>
      </c>
      <c r="K863" t="s">
        <v>19</v>
      </c>
      <c r="L863" t="s">
        <v>20</v>
      </c>
      <c r="M863" t="s">
        <v>21</v>
      </c>
      <c r="N863" t="s">
        <v>59</v>
      </c>
      <c r="O863">
        <f>Table1[[#All],[Quantity]]*Table1[[#All],[Unit Price (?)]]</f>
        <v>4903.3599999999997</v>
      </c>
      <c r="P863" t="str">
        <f>TEXT(Table1[[#All],[Order Date]],"dddd")</f>
        <v>Tuesday</v>
      </c>
      <c r="Q863" t="str">
        <f>TEXT(Table1[[#All],[Order Date]],"mmm")</f>
        <v>May</v>
      </c>
      <c r="R863" t="str">
        <f>IF(Table1[[#All],[Total Price (?)]]&gt;1000,"High Value","Normal")</f>
        <v>High Value</v>
      </c>
    </row>
    <row r="864" spans="1:18" x14ac:dyDescent="0.3">
      <c r="A864" t="s">
        <v>925</v>
      </c>
      <c r="B864" s="1">
        <v>45713</v>
      </c>
      <c r="C864" t="s">
        <v>24</v>
      </c>
      <c r="D864" t="s">
        <v>25</v>
      </c>
      <c r="E864" t="s">
        <v>49</v>
      </c>
      <c r="F864" t="s">
        <v>73</v>
      </c>
      <c r="G864">
        <v>4</v>
      </c>
      <c r="H864">
        <v>2494.27</v>
      </c>
      <c r="I864">
        <v>0.17</v>
      </c>
      <c r="J864">
        <v>8280.98</v>
      </c>
      <c r="K864" t="s">
        <v>58</v>
      </c>
      <c r="L864" t="s">
        <v>20</v>
      </c>
      <c r="M864" t="s">
        <v>54</v>
      </c>
      <c r="N864" t="s">
        <v>88</v>
      </c>
      <c r="O864">
        <f>Table1[[#All],[Quantity]]*Table1[[#All],[Unit Price (?)]]</f>
        <v>9977.08</v>
      </c>
      <c r="P864" t="str">
        <f>TEXT(Table1[[#All],[Order Date]],"dddd")</f>
        <v>Tuesday</v>
      </c>
      <c r="Q864" t="str">
        <f>TEXT(Table1[[#All],[Order Date]],"mmm")</f>
        <v>Feb</v>
      </c>
      <c r="R864" t="str">
        <f>IF(Table1[[#All],[Total Price (?)]]&gt;1000,"High Value","Normal")</f>
        <v>High Value</v>
      </c>
    </row>
    <row r="865" spans="1:18" x14ac:dyDescent="0.3">
      <c r="A865" t="s">
        <v>926</v>
      </c>
      <c r="B865" s="1">
        <v>45808</v>
      </c>
      <c r="C865" t="s">
        <v>48</v>
      </c>
      <c r="D865" t="s">
        <v>16</v>
      </c>
      <c r="E865" t="s">
        <v>17</v>
      </c>
      <c r="F865" t="s">
        <v>40</v>
      </c>
      <c r="G865">
        <v>4</v>
      </c>
      <c r="H865">
        <v>1899.88</v>
      </c>
      <c r="I865">
        <v>0.03</v>
      </c>
      <c r="J865">
        <v>7371.53</v>
      </c>
      <c r="K865" t="s">
        <v>46</v>
      </c>
      <c r="L865" t="s">
        <v>29</v>
      </c>
      <c r="M865" t="s">
        <v>54</v>
      </c>
      <c r="N865" t="s">
        <v>22</v>
      </c>
      <c r="O865">
        <f>Table1[[#All],[Quantity]]*Table1[[#All],[Unit Price (?)]]</f>
        <v>7599.52</v>
      </c>
      <c r="P865" t="str">
        <f>TEXT(Table1[[#All],[Order Date]],"dddd")</f>
        <v>Saturday</v>
      </c>
      <c r="Q865" t="str">
        <f>TEXT(Table1[[#All],[Order Date]],"mmm")</f>
        <v>May</v>
      </c>
      <c r="R865" t="str">
        <f>IF(Table1[[#All],[Total Price (?)]]&gt;1000,"High Value","Normal")</f>
        <v>High Value</v>
      </c>
    </row>
    <row r="866" spans="1:18" x14ac:dyDescent="0.3">
      <c r="A866" t="s">
        <v>927</v>
      </c>
      <c r="B866" s="1">
        <v>45811</v>
      </c>
      <c r="C866" t="s">
        <v>24</v>
      </c>
      <c r="D866" t="s">
        <v>43</v>
      </c>
      <c r="E866" t="s">
        <v>27</v>
      </c>
      <c r="F866" t="s">
        <v>68</v>
      </c>
      <c r="G866">
        <v>5</v>
      </c>
      <c r="H866">
        <v>2449.54</v>
      </c>
      <c r="I866">
        <v>0.17</v>
      </c>
      <c r="J866">
        <v>10165.59</v>
      </c>
      <c r="K866" t="s">
        <v>33</v>
      </c>
      <c r="L866" t="s">
        <v>29</v>
      </c>
      <c r="M866" t="s">
        <v>54</v>
      </c>
      <c r="N866" t="s">
        <v>22</v>
      </c>
      <c r="O866">
        <f>Table1[[#All],[Quantity]]*Table1[[#All],[Unit Price (?)]]</f>
        <v>12247.7</v>
      </c>
      <c r="P866" t="str">
        <f>TEXT(Table1[[#All],[Order Date]],"dddd")</f>
        <v>Tuesday</v>
      </c>
      <c r="Q866" t="str">
        <f>TEXT(Table1[[#All],[Order Date]],"mmm")</f>
        <v>Jun</v>
      </c>
      <c r="R866" t="str">
        <f>IF(Table1[[#All],[Total Price (?)]]&gt;1000,"High Value","Normal")</f>
        <v>High Value</v>
      </c>
    </row>
    <row r="867" spans="1:18" x14ac:dyDescent="0.3">
      <c r="A867" t="s">
        <v>928</v>
      </c>
      <c r="B867" s="1">
        <v>45761</v>
      </c>
      <c r="C867" t="s">
        <v>36</v>
      </c>
      <c r="D867" t="s">
        <v>43</v>
      </c>
      <c r="E867" t="s">
        <v>49</v>
      </c>
      <c r="F867" t="s">
        <v>53</v>
      </c>
      <c r="G867">
        <v>3</v>
      </c>
      <c r="H867">
        <v>411.14</v>
      </c>
      <c r="I867">
        <v>0.23</v>
      </c>
      <c r="J867">
        <v>949.73</v>
      </c>
      <c r="K867" t="s">
        <v>19</v>
      </c>
      <c r="L867" t="s">
        <v>20</v>
      </c>
      <c r="M867" t="s">
        <v>21</v>
      </c>
      <c r="N867" t="s">
        <v>22</v>
      </c>
      <c r="O867">
        <f>Table1[[#All],[Quantity]]*Table1[[#All],[Unit Price (?)]]</f>
        <v>1233.42</v>
      </c>
      <c r="P867" t="str">
        <f>TEXT(Table1[[#All],[Order Date]],"dddd")</f>
        <v>Monday</v>
      </c>
      <c r="Q867" t="str">
        <f>TEXT(Table1[[#All],[Order Date]],"mmm")</f>
        <v>Apr</v>
      </c>
      <c r="R867" t="str">
        <f>IF(Table1[[#All],[Total Price (?)]]&gt;1000,"High Value","Normal")</f>
        <v>Normal</v>
      </c>
    </row>
    <row r="868" spans="1:18" x14ac:dyDescent="0.3">
      <c r="A868" t="s">
        <v>929</v>
      </c>
      <c r="B868" s="1">
        <v>45754</v>
      </c>
      <c r="C868" t="s">
        <v>36</v>
      </c>
      <c r="D868" t="s">
        <v>16</v>
      </c>
      <c r="E868" t="s">
        <v>17</v>
      </c>
      <c r="F868" t="s">
        <v>40</v>
      </c>
      <c r="G868">
        <v>4</v>
      </c>
      <c r="H868">
        <v>413.27</v>
      </c>
      <c r="I868">
        <v>0.21</v>
      </c>
      <c r="J868">
        <v>1305.93</v>
      </c>
      <c r="K868" t="s">
        <v>33</v>
      </c>
      <c r="L868" t="s">
        <v>29</v>
      </c>
      <c r="M868" t="s">
        <v>21</v>
      </c>
      <c r="N868" t="s">
        <v>88</v>
      </c>
      <c r="O868">
        <f>Table1[[#All],[Quantity]]*Table1[[#All],[Unit Price (?)]]</f>
        <v>1653.08</v>
      </c>
      <c r="P868" t="str">
        <f>TEXT(Table1[[#All],[Order Date]],"dddd")</f>
        <v>Monday</v>
      </c>
      <c r="Q868" t="str">
        <f>TEXT(Table1[[#All],[Order Date]],"mmm")</f>
        <v>Apr</v>
      </c>
      <c r="R868" t="str">
        <f>IF(Table1[[#All],[Total Price (?)]]&gt;1000,"High Value","Normal")</f>
        <v>High Value</v>
      </c>
    </row>
    <row r="869" spans="1:18" x14ac:dyDescent="0.3">
      <c r="A869" t="s">
        <v>930</v>
      </c>
      <c r="B869" s="1">
        <v>45781</v>
      </c>
      <c r="C869" t="s">
        <v>52</v>
      </c>
      <c r="D869" t="s">
        <v>16</v>
      </c>
      <c r="E869" t="s">
        <v>61</v>
      </c>
      <c r="F869" t="s">
        <v>62</v>
      </c>
      <c r="G869">
        <v>2</v>
      </c>
      <c r="H869">
        <v>126.09</v>
      </c>
      <c r="I869">
        <v>0.11</v>
      </c>
      <c r="J869">
        <v>224.44</v>
      </c>
      <c r="K869" t="s">
        <v>33</v>
      </c>
      <c r="L869" t="s">
        <v>29</v>
      </c>
      <c r="M869" t="s">
        <v>30</v>
      </c>
      <c r="N869" t="s">
        <v>22</v>
      </c>
      <c r="O869">
        <f>Table1[[#All],[Quantity]]*Table1[[#All],[Unit Price (?)]]</f>
        <v>252.18</v>
      </c>
      <c r="P869" t="str">
        <f>TEXT(Table1[[#All],[Order Date]],"dddd")</f>
        <v>Sunday</v>
      </c>
      <c r="Q869" t="str">
        <f>TEXT(Table1[[#All],[Order Date]],"mmm")</f>
        <v>May</v>
      </c>
      <c r="R869" t="str">
        <f>IF(Table1[[#All],[Total Price (?)]]&gt;1000,"High Value","Normal")</f>
        <v>Normal</v>
      </c>
    </row>
    <row r="870" spans="1:18" x14ac:dyDescent="0.3">
      <c r="A870" t="s">
        <v>931</v>
      </c>
      <c r="B870" s="1">
        <v>45706</v>
      </c>
      <c r="C870" t="s">
        <v>52</v>
      </c>
      <c r="D870" t="s">
        <v>39</v>
      </c>
      <c r="E870" t="s">
        <v>27</v>
      </c>
      <c r="F870" t="s">
        <v>68</v>
      </c>
      <c r="G870">
        <v>3</v>
      </c>
      <c r="H870">
        <v>4272.1099999999997</v>
      </c>
      <c r="I870">
        <v>0.01</v>
      </c>
      <c r="J870">
        <v>12688.17</v>
      </c>
      <c r="K870" t="s">
        <v>58</v>
      </c>
      <c r="L870" t="s">
        <v>29</v>
      </c>
      <c r="M870" t="s">
        <v>54</v>
      </c>
      <c r="N870" t="s">
        <v>22</v>
      </c>
      <c r="O870">
        <f>Table1[[#All],[Quantity]]*Table1[[#All],[Unit Price (?)]]</f>
        <v>12816.329999999998</v>
      </c>
      <c r="P870" t="str">
        <f>TEXT(Table1[[#All],[Order Date]],"dddd")</f>
        <v>Tuesday</v>
      </c>
      <c r="Q870" t="str">
        <f>TEXT(Table1[[#All],[Order Date]],"mmm")</f>
        <v>Feb</v>
      </c>
      <c r="R870" t="str">
        <f>IF(Table1[[#All],[Total Price (?)]]&gt;1000,"High Value","Normal")</f>
        <v>High Value</v>
      </c>
    </row>
    <row r="871" spans="1:18" x14ac:dyDescent="0.3">
      <c r="A871" t="s">
        <v>932</v>
      </c>
      <c r="B871" s="1">
        <v>45713</v>
      </c>
      <c r="C871" t="s">
        <v>48</v>
      </c>
      <c r="D871" t="s">
        <v>25</v>
      </c>
      <c r="E871" t="s">
        <v>27</v>
      </c>
      <c r="F871" t="s">
        <v>68</v>
      </c>
      <c r="G871">
        <v>3</v>
      </c>
      <c r="H871">
        <v>326.20999999999998</v>
      </c>
      <c r="I871">
        <v>0.24</v>
      </c>
      <c r="J871">
        <v>743.76</v>
      </c>
      <c r="K871" t="s">
        <v>58</v>
      </c>
      <c r="L871" t="s">
        <v>20</v>
      </c>
      <c r="M871" t="s">
        <v>30</v>
      </c>
      <c r="N871" t="s">
        <v>22</v>
      </c>
      <c r="O871">
        <f>Table1[[#All],[Quantity]]*Table1[[#All],[Unit Price (?)]]</f>
        <v>978.62999999999988</v>
      </c>
      <c r="P871" t="str">
        <f>TEXT(Table1[[#All],[Order Date]],"dddd")</f>
        <v>Tuesday</v>
      </c>
      <c r="Q871" t="str">
        <f>TEXT(Table1[[#All],[Order Date]],"mmm")</f>
        <v>Feb</v>
      </c>
      <c r="R871" t="str">
        <f>IF(Table1[[#All],[Total Price (?)]]&gt;1000,"High Value","Normal")</f>
        <v>Normal</v>
      </c>
    </row>
    <row r="872" spans="1:18" x14ac:dyDescent="0.3">
      <c r="A872" t="s">
        <v>933</v>
      </c>
      <c r="B872" s="1">
        <v>45745</v>
      </c>
      <c r="C872" t="s">
        <v>36</v>
      </c>
      <c r="D872" t="s">
        <v>16</v>
      </c>
      <c r="E872" t="s">
        <v>49</v>
      </c>
      <c r="F872" t="s">
        <v>53</v>
      </c>
      <c r="G872">
        <v>5</v>
      </c>
      <c r="H872">
        <v>2601.89</v>
      </c>
      <c r="I872">
        <v>0.17</v>
      </c>
      <c r="J872">
        <v>10797.84</v>
      </c>
      <c r="K872" t="s">
        <v>46</v>
      </c>
      <c r="L872" t="s">
        <v>29</v>
      </c>
      <c r="M872" t="s">
        <v>21</v>
      </c>
      <c r="N872" t="s">
        <v>22</v>
      </c>
      <c r="O872">
        <f>Table1[[#All],[Quantity]]*Table1[[#All],[Unit Price (?)]]</f>
        <v>13009.449999999999</v>
      </c>
      <c r="P872" t="str">
        <f>TEXT(Table1[[#All],[Order Date]],"dddd")</f>
        <v>Saturday</v>
      </c>
      <c r="Q872" t="str">
        <f>TEXT(Table1[[#All],[Order Date]],"mmm")</f>
        <v>Mar</v>
      </c>
      <c r="R872" t="str">
        <f>IF(Table1[[#All],[Total Price (?)]]&gt;1000,"High Value","Normal")</f>
        <v>High Value</v>
      </c>
    </row>
    <row r="873" spans="1:18" x14ac:dyDescent="0.3">
      <c r="A873" t="s">
        <v>934</v>
      </c>
      <c r="B873" s="1">
        <v>45675</v>
      </c>
      <c r="C873" t="s">
        <v>15</v>
      </c>
      <c r="D873" t="s">
        <v>43</v>
      </c>
      <c r="E873" t="s">
        <v>61</v>
      </c>
      <c r="F873" t="s">
        <v>75</v>
      </c>
      <c r="G873">
        <v>5</v>
      </c>
      <c r="H873">
        <v>2805.15</v>
      </c>
      <c r="I873">
        <v>0.15</v>
      </c>
      <c r="J873">
        <v>11921.89</v>
      </c>
      <c r="K873" t="s">
        <v>19</v>
      </c>
      <c r="L873" t="s">
        <v>20</v>
      </c>
      <c r="M873" t="s">
        <v>30</v>
      </c>
      <c r="N873" t="s">
        <v>22</v>
      </c>
      <c r="O873">
        <f>Table1[[#All],[Quantity]]*Table1[[#All],[Unit Price (?)]]</f>
        <v>14025.75</v>
      </c>
      <c r="P873" t="str">
        <f>TEXT(Table1[[#All],[Order Date]],"dddd")</f>
        <v>Saturday</v>
      </c>
      <c r="Q873" t="str">
        <f>TEXT(Table1[[#All],[Order Date]],"mmm")</f>
        <v>Jan</v>
      </c>
      <c r="R873" t="str">
        <f>IF(Table1[[#All],[Total Price (?)]]&gt;1000,"High Value","Normal")</f>
        <v>High Value</v>
      </c>
    </row>
    <row r="874" spans="1:18" x14ac:dyDescent="0.3">
      <c r="A874" t="s">
        <v>935</v>
      </c>
      <c r="B874" s="1">
        <v>45798</v>
      </c>
      <c r="C874" t="s">
        <v>36</v>
      </c>
      <c r="D874" t="s">
        <v>16</v>
      </c>
      <c r="E874" t="s">
        <v>49</v>
      </c>
      <c r="F874" t="s">
        <v>56</v>
      </c>
      <c r="G874">
        <v>4</v>
      </c>
      <c r="H874">
        <v>3283.87</v>
      </c>
      <c r="I874">
        <v>0.04</v>
      </c>
      <c r="J874">
        <v>12610.06</v>
      </c>
      <c r="K874" t="s">
        <v>46</v>
      </c>
      <c r="L874" t="s">
        <v>34</v>
      </c>
      <c r="M874" t="s">
        <v>30</v>
      </c>
      <c r="N874" t="s">
        <v>37</v>
      </c>
      <c r="O874">
        <f>Table1[[#All],[Quantity]]*Table1[[#All],[Unit Price (?)]]</f>
        <v>13135.48</v>
      </c>
      <c r="P874" t="str">
        <f>TEXT(Table1[[#All],[Order Date]],"dddd")</f>
        <v>Wednesday</v>
      </c>
      <c r="Q874" t="str">
        <f>TEXT(Table1[[#All],[Order Date]],"mmm")</f>
        <v>May</v>
      </c>
      <c r="R874" t="str">
        <f>IF(Table1[[#All],[Total Price (?)]]&gt;1000,"High Value","Normal")</f>
        <v>High Value</v>
      </c>
    </row>
    <row r="875" spans="1:18" x14ac:dyDescent="0.3">
      <c r="A875" t="s">
        <v>936</v>
      </c>
      <c r="B875" s="1">
        <v>45715</v>
      </c>
      <c r="C875" t="s">
        <v>36</v>
      </c>
      <c r="D875" t="s">
        <v>39</v>
      </c>
      <c r="E875" t="s">
        <v>49</v>
      </c>
      <c r="F875" t="s">
        <v>73</v>
      </c>
      <c r="G875">
        <v>3</v>
      </c>
      <c r="H875">
        <v>4977.26</v>
      </c>
      <c r="I875">
        <v>0.17</v>
      </c>
      <c r="J875">
        <v>12393.38</v>
      </c>
      <c r="K875" t="s">
        <v>19</v>
      </c>
      <c r="L875" t="s">
        <v>20</v>
      </c>
      <c r="M875" t="s">
        <v>54</v>
      </c>
      <c r="N875" t="s">
        <v>22</v>
      </c>
      <c r="O875">
        <f>Table1[[#All],[Quantity]]*Table1[[#All],[Unit Price (?)]]</f>
        <v>14931.78</v>
      </c>
      <c r="P875" t="str">
        <f>TEXT(Table1[[#All],[Order Date]],"dddd")</f>
        <v>Thursday</v>
      </c>
      <c r="Q875" t="str">
        <f>TEXT(Table1[[#All],[Order Date]],"mmm")</f>
        <v>Feb</v>
      </c>
      <c r="R875" t="str">
        <f>IF(Table1[[#All],[Total Price (?)]]&gt;1000,"High Value","Normal")</f>
        <v>High Value</v>
      </c>
    </row>
    <row r="876" spans="1:18" x14ac:dyDescent="0.3">
      <c r="A876" t="s">
        <v>937</v>
      </c>
      <c r="B876" s="1">
        <v>45705</v>
      </c>
      <c r="C876" t="s">
        <v>48</v>
      </c>
      <c r="D876" t="s">
        <v>16</v>
      </c>
      <c r="E876" t="s">
        <v>27</v>
      </c>
      <c r="F876" t="s">
        <v>68</v>
      </c>
      <c r="G876">
        <v>4</v>
      </c>
      <c r="H876">
        <v>1956.82</v>
      </c>
      <c r="I876">
        <v>0.24</v>
      </c>
      <c r="J876">
        <v>5948.73</v>
      </c>
      <c r="K876" t="s">
        <v>19</v>
      </c>
      <c r="L876" t="s">
        <v>34</v>
      </c>
      <c r="M876" t="s">
        <v>54</v>
      </c>
      <c r="N876" t="s">
        <v>22</v>
      </c>
      <c r="O876">
        <f>Table1[[#All],[Quantity]]*Table1[[#All],[Unit Price (?)]]</f>
        <v>7827.28</v>
      </c>
      <c r="P876" t="str">
        <f>TEXT(Table1[[#All],[Order Date]],"dddd")</f>
        <v>Monday</v>
      </c>
      <c r="Q876" t="str">
        <f>TEXT(Table1[[#All],[Order Date]],"mmm")</f>
        <v>Feb</v>
      </c>
      <c r="R876" t="str">
        <f>IF(Table1[[#All],[Total Price (?)]]&gt;1000,"High Value","Normal")</f>
        <v>High Value</v>
      </c>
    </row>
    <row r="877" spans="1:18" x14ac:dyDescent="0.3">
      <c r="A877" t="s">
        <v>938</v>
      </c>
      <c r="B877" s="1">
        <v>45712</v>
      </c>
      <c r="C877" t="s">
        <v>36</v>
      </c>
      <c r="D877" t="s">
        <v>39</v>
      </c>
      <c r="E877" t="s">
        <v>27</v>
      </c>
      <c r="F877" t="s">
        <v>79</v>
      </c>
      <c r="G877">
        <v>3</v>
      </c>
      <c r="H877">
        <v>3236.87</v>
      </c>
      <c r="I877">
        <v>0.09</v>
      </c>
      <c r="J877">
        <v>8836.66</v>
      </c>
      <c r="K877" t="s">
        <v>41</v>
      </c>
      <c r="L877" t="s">
        <v>20</v>
      </c>
      <c r="M877" t="s">
        <v>30</v>
      </c>
      <c r="N877" t="s">
        <v>22</v>
      </c>
      <c r="O877">
        <f>Table1[[#All],[Quantity]]*Table1[[#All],[Unit Price (?)]]</f>
        <v>9710.61</v>
      </c>
      <c r="P877" t="str">
        <f>TEXT(Table1[[#All],[Order Date]],"dddd")</f>
        <v>Monday</v>
      </c>
      <c r="Q877" t="str">
        <f>TEXT(Table1[[#All],[Order Date]],"mmm")</f>
        <v>Feb</v>
      </c>
      <c r="R877" t="str">
        <f>IF(Table1[[#All],[Total Price (?)]]&gt;1000,"High Value","Normal")</f>
        <v>High Value</v>
      </c>
    </row>
    <row r="878" spans="1:18" x14ac:dyDescent="0.3">
      <c r="A878" t="s">
        <v>939</v>
      </c>
      <c r="B878" s="1">
        <v>45725</v>
      </c>
      <c r="C878" t="s">
        <v>24</v>
      </c>
      <c r="D878" t="s">
        <v>43</v>
      </c>
      <c r="E878" t="s">
        <v>61</v>
      </c>
      <c r="F878" t="s">
        <v>66</v>
      </c>
      <c r="G878">
        <v>2</v>
      </c>
      <c r="H878">
        <v>1955.3</v>
      </c>
      <c r="I878">
        <v>0.03</v>
      </c>
      <c r="J878">
        <v>3793.28</v>
      </c>
      <c r="K878" t="s">
        <v>58</v>
      </c>
      <c r="L878" t="s">
        <v>34</v>
      </c>
      <c r="M878" t="s">
        <v>54</v>
      </c>
      <c r="N878" t="s">
        <v>22</v>
      </c>
      <c r="O878">
        <f>Table1[[#All],[Quantity]]*Table1[[#All],[Unit Price (?)]]</f>
        <v>3910.6</v>
      </c>
      <c r="P878" t="str">
        <f>TEXT(Table1[[#All],[Order Date]],"dddd")</f>
        <v>Sunday</v>
      </c>
      <c r="Q878" t="str">
        <f>TEXT(Table1[[#All],[Order Date]],"mmm")</f>
        <v>Mar</v>
      </c>
      <c r="R878" t="str">
        <f>IF(Table1[[#All],[Total Price (?)]]&gt;1000,"High Value","Normal")</f>
        <v>High Value</v>
      </c>
    </row>
    <row r="879" spans="1:18" x14ac:dyDescent="0.3">
      <c r="A879" t="s">
        <v>940</v>
      </c>
      <c r="B879" s="1">
        <v>45722</v>
      </c>
      <c r="C879" t="s">
        <v>24</v>
      </c>
      <c r="D879" t="s">
        <v>16</v>
      </c>
      <c r="E879" t="s">
        <v>99</v>
      </c>
      <c r="F879" t="s">
        <v>115</v>
      </c>
      <c r="G879">
        <v>5</v>
      </c>
      <c r="H879">
        <v>4340.45</v>
      </c>
      <c r="I879">
        <v>0.14000000000000001</v>
      </c>
      <c r="J879">
        <v>18663.939999999999</v>
      </c>
      <c r="K879" t="s">
        <v>33</v>
      </c>
      <c r="L879" t="s">
        <v>34</v>
      </c>
      <c r="M879" t="s">
        <v>21</v>
      </c>
      <c r="N879" t="s">
        <v>37</v>
      </c>
      <c r="O879">
        <f>Table1[[#All],[Quantity]]*Table1[[#All],[Unit Price (?)]]</f>
        <v>21702.25</v>
      </c>
      <c r="P879" t="str">
        <f>TEXT(Table1[[#All],[Order Date]],"dddd")</f>
        <v>Thursday</v>
      </c>
      <c r="Q879" t="str">
        <f>TEXT(Table1[[#All],[Order Date]],"mmm")</f>
        <v>Mar</v>
      </c>
      <c r="R879" t="str">
        <f>IF(Table1[[#All],[Total Price (?)]]&gt;1000,"High Value","Normal")</f>
        <v>High Value</v>
      </c>
    </row>
    <row r="880" spans="1:18" x14ac:dyDescent="0.3">
      <c r="A880" t="s">
        <v>941</v>
      </c>
      <c r="B880" s="1">
        <v>45833</v>
      </c>
      <c r="C880" t="s">
        <v>48</v>
      </c>
      <c r="D880" t="s">
        <v>25</v>
      </c>
      <c r="E880" t="s">
        <v>61</v>
      </c>
      <c r="F880" t="s">
        <v>66</v>
      </c>
      <c r="G880">
        <v>5</v>
      </c>
      <c r="H880">
        <v>2803.19</v>
      </c>
      <c r="I880">
        <v>0.22</v>
      </c>
      <c r="J880">
        <v>10932.44</v>
      </c>
      <c r="K880" t="s">
        <v>19</v>
      </c>
      <c r="L880" t="s">
        <v>34</v>
      </c>
      <c r="M880" t="s">
        <v>30</v>
      </c>
      <c r="N880" t="s">
        <v>22</v>
      </c>
      <c r="O880">
        <f>Table1[[#All],[Quantity]]*Table1[[#All],[Unit Price (?)]]</f>
        <v>14015.95</v>
      </c>
      <c r="P880" t="str">
        <f>TEXT(Table1[[#All],[Order Date]],"dddd")</f>
        <v>Wednesday</v>
      </c>
      <c r="Q880" t="str">
        <f>TEXT(Table1[[#All],[Order Date]],"mmm")</f>
        <v>Jun</v>
      </c>
      <c r="R880" t="str">
        <f>IF(Table1[[#All],[Total Price (?)]]&gt;1000,"High Value","Normal")</f>
        <v>High Value</v>
      </c>
    </row>
    <row r="881" spans="1:18" x14ac:dyDescent="0.3">
      <c r="A881" t="s">
        <v>942</v>
      </c>
      <c r="B881" s="1">
        <v>45764</v>
      </c>
      <c r="C881" t="s">
        <v>36</v>
      </c>
      <c r="D881" t="s">
        <v>16</v>
      </c>
      <c r="E881" t="s">
        <v>99</v>
      </c>
      <c r="F881" t="s">
        <v>120</v>
      </c>
      <c r="G881">
        <v>2</v>
      </c>
      <c r="H881">
        <v>799.08</v>
      </c>
      <c r="I881">
        <v>0.14000000000000001</v>
      </c>
      <c r="J881">
        <v>1374.42</v>
      </c>
      <c r="K881" t="s">
        <v>19</v>
      </c>
      <c r="L881" t="s">
        <v>29</v>
      </c>
      <c r="M881" t="s">
        <v>30</v>
      </c>
      <c r="N881" t="s">
        <v>37</v>
      </c>
      <c r="O881">
        <f>Table1[[#All],[Quantity]]*Table1[[#All],[Unit Price (?)]]</f>
        <v>1598.16</v>
      </c>
      <c r="P881" t="str">
        <f>TEXT(Table1[[#All],[Order Date]],"dddd")</f>
        <v>Thursday</v>
      </c>
      <c r="Q881" t="str">
        <f>TEXT(Table1[[#All],[Order Date]],"mmm")</f>
        <v>Apr</v>
      </c>
      <c r="R881" t="str">
        <f>IF(Table1[[#All],[Total Price (?)]]&gt;1000,"High Value","Normal")</f>
        <v>High Value</v>
      </c>
    </row>
    <row r="882" spans="1:18" x14ac:dyDescent="0.3">
      <c r="A882" t="s">
        <v>943</v>
      </c>
      <c r="B882" s="1">
        <v>45675</v>
      </c>
      <c r="C882" t="s">
        <v>36</v>
      </c>
      <c r="D882" t="s">
        <v>39</v>
      </c>
      <c r="E882" t="s">
        <v>99</v>
      </c>
      <c r="F882" t="s">
        <v>100</v>
      </c>
      <c r="G882">
        <v>4</v>
      </c>
      <c r="H882">
        <v>997.21</v>
      </c>
      <c r="I882">
        <v>0.25</v>
      </c>
      <c r="J882">
        <v>2991.63</v>
      </c>
      <c r="K882" t="s">
        <v>41</v>
      </c>
      <c r="L882" t="s">
        <v>29</v>
      </c>
      <c r="M882" t="s">
        <v>30</v>
      </c>
      <c r="N882" t="s">
        <v>22</v>
      </c>
      <c r="O882">
        <f>Table1[[#All],[Quantity]]*Table1[[#All],[Unit Price (?)]]</f>
        <v>3988.84</v>
      </c>
      <c r="P882" t="str">
        <f>TEXT(Table1[[#All],[Order Date]],"dddd")</f>
        <v>Saturday</v>
      </c>
      <c r="Q882" t="str">
        <f>TEXT(Table1[[#All],[Order Date]],"mmm")</f>
        <v>Jan</v>
      </c>
      <c r="R882" t="str">
        <f>IF(Table1[[#All],[Total Price (?)]]&gt;1000,"High Value","Normal")</f>
        <v>High Value</v>
      </c>
    </row>
    <row r="883" spans="1:18" x14ac:dyDescent="0.3">
      <c r="A883" t="s">
        <v>944</v>
      </c>
      <c r="B883" s="1">
        <v>45686</v>
      </c>
      <c r="C883" t="s">
        <v>15</v>
      </c>
      <c r="D883" t="s">
        <v>16</v>
      </c>
      <c r="E883" t="s">
        <v>49</v>
      </c>
      <c r="F883" t="s">
        <v>73</v>
      </c>
      <c r="G883">
        <v>4</v>
      </c>
      <c r="H883">
        <v>3875.83</v>
      </c>
      <c r="I883">
        <v>0.21</v>
      </c>
      <c r="J883">
        <v>12247.62</v>
      </c>
      <c r="K883" t="s">
        <v>58</v>
      </c>
      <c r="L883" t="s">
        <v>34</v>
      </c>
      <c r="M883" t="s">
        <v>21</v>
      </c>
      <c r="N883" t="s">
        <v>22</v>
      </c>
      <c r="O883">
        <f>Table1[[#All],[Quantity]]*Table1[[#All],[Unit Price (?)]]</f>
        <v>15503.32</v>
      </c>
      <c r="P883" t="str">
        <f>TEXT(Table1[[#All],[Order Date]],"dddd")</f>
        <v>Wednesday</v>
      </c>
      <c r="Q883" t="str">
        <f>TEXT(Table1[[#All],[Order Date]],"mmm")</f>
        <v>Jan</v>
      </c>
      <c r="R883" t="str">
        <f>IF(Table1[[#All],[Total Price (?)]]&gt;1000,"High Value","Normal")</f>
        <v>High Value</v>
      </c>
    </row>
    <row r="884" spans="1:18" x14ac:dyDescent="0.3">
      <c r="A884" t="s">
        <v>945</v>
      </c>
      <c r="B884" s="1">
        <v>45689</v>
      </c>
      <c r="C884" t="s">
        <v>52</v>
      </c>
      <c r="D884" t="s">
        <v>16</v>
      </c>
      <c r="E884" t="s">
        <v>61</v>
      </c>
      <c r="F884" t="s">
        <v>62</v>
      </c>
      <c r="G884">
        <v>1</v>
      </c>
      <c r="H884">
        <v>3742.71</v>
      </c>
      <c r="I884">
        <v>0.14000000000000001</v>
      </c>
      <c r="J884">
        <v>3218.73</v>
      </c>
      <c r="K884" t="s">
        <v>33</v>
      </c>
      <c r="L884" t="s">
        <v>20</v>
      </c>
      <c r="M884" t="s">
        <v>30</v>
      </c>
      <c r="N884" t="s">
        <v>59</v>
      </c>
      <c r="O884">
        <f>Table1[[#All],[Quantity]]*Table1[[#All],[Unit Price (?)]]</f>
        <v>3742.71</v>
      </c>
      <c r="P884" t="str">
        <f>TEXT(Table1[[#All],[Order Date]],"dddd")</f>
        <v>Saturday</v>
      </c>
      <c r="Q884" t="str">
        <f>TEXT(Table1[[#All],[Order Date]],"mmm")</f>
        <v>Feb</v>
      </c>
      <c r="R884" t="str">
        <f>IF(Table1[[#All],[Total Price (?)]]&gt;1000,"High Value","Normal")</f>
        <v>High Value</v>
      </c>
    </row>
    <row r="885" spans="1:18" x14ac:dyDescent="0.3">
      <c r="A885" t="s">
        <v>946</v>
      </c>
      <c r="B885" s="1">
        <v>45704</v>
      </c>
      <c r="C885" t="s">
        <v>48</v>
      </c>
      <c r="D885" t="s">
        <v>43</v>
      </c>
      <c r="E885" t="s">
        <v>49</v>
      </c>
      <c r="F885" t="s">
        <v>73</v>
      </c>
      <c r="G885">
        <v>5</v>
      </c>
      <c r="H885">
        <v>3519.62</v>
      </c>
      <c r="I885">
        <v>0.1</v>
      </c>
      <c r="J885">
        <v>15838.29</v>
      </c>
      <c r="K885" t="s">
        <v>41</v>
      </c>
      <c r="L885" t="s">
        <v>29</v>
      </c>
      <c r="M885" t="s">
        <v>21</v>
      </c>
      <c r="N885" t="s">
        <v>37</v>
      </c>
      <c r="O885">
        <f>Table1[[#All],[Quantity]]*Table1[[#All],[Unit Price (?)]]</f>
        <v>17598.099999999999</v>
      </c>
      <c r="P885" t="str">
        <f>TEXT(Table1[[#All],[Order Date]],"dddd")</f>
        <v>Sunday</v>
      </c>
      <c r="Q885" t="str">
        <f>TEXT(Table1[[#All],[Order Date]],"mmm")</f>
        <v>Feb</v>
      </c>
      <c r="R885" t="str">
        <f>IF(Table1[[#All],[Total Price (?)]]&gt;1000,"High Value","Normal")</f>
        <v>High Value</v>
      </c>
    </row>
    <row r="886" spans="1:18" x14ac:dyDescent="0.3">
      <c r="A886" t="s">
        <v>947</v>
      </c>
      <c r="B886" s="1">
        <v>45734</v>
      </c>
      <c r="C886" t="s">
        <v>36</v>
      </c>
      <c r="D886" t="s">
        <v>43</v>
      </c>
      <c r="E886" t="s">
        <v>17</v>
      </c>
      <c r="F886" t="s">
        <v>40</v>
      </c>
      <c r="G886">
        <v>5</v>
      </c>
      <c r="H886">
        <v>3451.98</v>
      </c>
      <c r="I886">
        <v>0.01</v>
      </c>
      <c r="J886">
        <v>17087.3</v>
      </c>
      <c r="K886" t="s">
        <v>46</v>
      </c>
      <c r="L886" t="s">
        <v>20</v>
      </c>
      <c r="M886" t="s">
        <v>30</v>
      </c>
      <c r="N886" t="s">
        <v>22</v>
      </c>
      <c r="O886">
        <f>Table1[[#All],[Quantity]]*Table1[[#All],[Unit Price (?)]]</f>
        <v>17259.900000000001</v>
      </c>
      <c r="P886" t="str">
        <f>TEXT(Table1[[#All],[Order Date]],"dddd")</f>
        <v>Tuesday</v>
      </c>
      <c r="Q886" t="str">
        <f>TEXT(Table1[[#All],[Order Date]],"mmm")</f>
        <v>Mar</v>
      </c>
      <c r="R886" t="str">
        <f>IF(Table1[[#All],[Total Price (?)]]&gt;1000,"High Value","Normal")</f>
        <v>High Value</v>
      </c>
    </row>
    <row r="887" spans="1:18" x14ac:dyDescent="0.3">
      <c r="A887" t="s">
        <v>948</v>
      </c>
      <c r="B887" s="1">
        <v>45794</v>
      </c>
      <c r="C887" t="s">
        <v>52</v>
      </c>
      <c r="D887" t="s">
        <v>25</v>
      </c>
      <c r="E887" t="s">
        <v>27</v>
      </c>
      <c r="F887" t="s">
        <v>68</v>
      </c>
      <c r="G887">
        <v>2</v>
      </c>
      <c r="H887">
        <v>2617.0500000000002</v>
      </c>
      <c r="I887">
        <v>0.24</v>
      </c>
      <c r="J887">
        <v>3977.92</v>
      </c>
      <c r="K887" t="s">
        <v>58</v>
      </c>
      <c r="L887" t="s">
        <v>34</v>
      </c>
      <c r="M887" t="s">
        <v>30</v>
      </c>
      <c r="N887" t="s">
        <v>22</v>
      </c>
      <c r="O887">
        <f>Table1[[#All],[Quantity]]*Table1[[#All],[Unit Price (?)]]</f>
        <v>5234.1000000000004</v>
      </c>
      <c r="P887" t="str">
        <f>TEXT(Table1[[#All],[Order Date]],"dddd")</f>
        <v>Saturday</v>
      </c>
      <c r="Q887" t="str">
        <f>TEXT(Table1[[#All],[Order Date]],"mmm")</f>
        <v>May</v>
      </c>
      <c r="R887" t="str">
        <f>IF(Table1[[#All],[Total Price (?)]]&gt;1000,"High Value","Normal")</f>
        <v>High Value</v>
      </c>
    </row>
    <row r="888" spans="1:18" x14ac:dyDescent="0.3">
      <c r="A888" t="s">
        <v>949</v>
      </c>
      <c r="B888" s="1">
        <v>45689</v>
      </c>
      <c r="C888" t="s">
        <v>15</v>
      </c>
      <c r="D888" t="s">
        <v>43</v>
      </c>
      <c r="E888" t="s">
        <v>99</v>
      </c>
      <c r="F888" t="s">
        <v>120</v>
      </c>
      <c r="G888">
        <v>1</v>
      </c>
      <c r="H888">
        <v>1521.32</v>
      </c>
      <c r="I888">
        <v>0.12</v>
      </c>
      <c r="J888">
        <v>1338.76</v>
      </c>
      <c r="K888" t="s">
        <v>19</v>
      </c>
      <c r="L888" t="s">
        <v>29</v>
      </c>
      <c r="M888" t="s">
        <v>30</v>
      </c>
      <c r="N888" t="s">
        <v>22</v>
      </c>
      <c r="O888">
        <f>Table1[[#All],[Quantity]]*Table1[[#All],[Unit Price (?)]]</f>
        <v>1521.32</v>
      </c>
      <c r="P888" t="str">
        <f>TEXT(Table1[[#All],[Order Date]],"dddd")</f>
        <v>Saturday</v>
      </c>
      <c r="Q888" t="str">
        <f>TEXT(Table1[[#All],[Order Date]],"mmm")</f>
        <v>Feb</v>
      </c>
      <c r="R888" t="str">
        <f>IF(Table1[[#All],[Total Price (?)]]&gt;1000,"High Value","Normal")</f>
        <v>High Value</v>
      </c>
    </row>
    <row r="889" spans="1:18" x14ac:dyDescent="0.3">
      <c r="A889" t="s">
        <v>950</v>
      </c>
      <c r="B889" s="1">
        <v>45797</v>
      </c>
      <c r="C889" t="s">
        <v>52</v>
      </c>
      <c r="D889" t="s">
        <v>25</v>
      </c>
      <c r="E889" t="s">
        <v>27</v>
      </c>
      <c r="F889" t="s">
        <v>87</v>
      </c>
      <c r="G889">
        <v>5</v>
      </c>
      <c r="H889">
        <v>4146.0600000000004</v>
      </c>
      <c r="I889">
        <v>0.01</v>
      </c>
      <c r="J889">
        <v>20523</v>
      </c>
      <c r="K889" t="s">
        <v>46</v>
      </c>
      <c r="L889" t="s">
        <v>29</v>
      </c>
      <c r="M889" t="s">
        <v>30</v>
      </c>
      <c r="N889" t="s">
        <v>22</v>
      </c>
      <c r="O889">
        <f>Table1[[#All],[Quantity]]*Table1[[#All],[Unit Price (?)]]</f>
        <v>20730.300000000003</v>
      </c>
      <c r="P889" t="str">
        <f>TEXT(Table1[[#All],[Order Date]],"dddd")</f>
        <v>Tuesday</v>
      </c>
      <c r="Q889" t="str">
        <f>TEXT(Table1[[#All],[Order Date]],"mmm")</f>
        <v>May</v>
      </c>
      <c r="R889" t="str">
        <f>IF(Table1[[#All],[Total Price (?)]]&gt;1000,"High Value","Normal")</f>
        <v>High Value</v>
      </c>
    </row>
    <row r="890" spans="1:18" x14ac:dyDescent="0.3">
      <c r="A890" t="s">
        <v>951</v>
      </c>
      <c r="B890" s="1">
        <v>45701</v>
      </c>
      <c r="C890" t="s">
        <v>15</v>
      </c>
      <c r="D890" t="s">
        <v>25</v>
      </c>
      <c r="E890" t="s">
        <v>17</v>
      </c>
      <c r="F890" t="s">
        <v>40</v>
      </c>
      <c r="G890">
        <v>1</v>
      </c>
      <c r="H890">
        <v>125.26</v>
      </c>
      <c r="I890">
        <v>0.22</v>
      </c>
      <c r="J890">
        <v>97.7</v>
      </c>
      <c r="K890" t="s">
        <v>46</v>
      </c>
      <c r="L890" t="s">
        <v>34</v>
      </c>
      <c r="M890" t="s">
        <v>54</v>
      </c>
      <c r="N890" t="s">
        <v>22</v>
      </c>
      <c r="O890">
        <f>Table1[[#All],[Quantity]]*Table1[[#All],[Unit Price (?)]]</f>
        <v>125.26</v>
      </c>
      <c r="P890" t="str">
        <f>TEXT(Table1[[#All],[Order Date]],"dddd")</f>
        <v>Thursday</v>
      </c>
      <c r="Q890" t="str">
        <f>TEXT(Table1[[#All],[Order Date]],"mmm")</f>
        <v>Feb</v>
      </c>
      <c r="R890" t="str">
        <f>IF(Table1[[#All],[Total Price (?)]]&gt;1000,"High Value","Normal")</f>
        <v>Normal</v>
      </c>
    </row>
    <row r="891" spans="1:18" x14ac:dyDescent="0.3">
      <c r="A891" t="s">
        <v>952</v>
      </c>
      <c r="B891" s="1">
        <v>45672</v>
      </c>
      <c r="C891" t="s">
        <v>48</v>
      </c>
      <c r="D891" t="s">
        <v>25</v>
      </c>
      <c r="E891" t="s">
        <v>17</v>
      </c>
      <c r="F891" t="s">
        <v>40</v>
      </c>
      <c r="G891">
        <v>5</v>
      </c>
      <c r="H891">
        <v>2620.16</v>
      </c>
      <c r="I891">
        <v>0.04</v>
      </c>
      <c r="J891">
        <v>12576.77</v>
      </c>
      <c r="K891" t="s">
        <v>19</v>
      </c>
      <c r="L891" t="s">
        <v>20</v>
      </c>
      <c r="M891" t="s">
        <v>54</v>
      </c>
      <c r="N891" t="s">
        <v>22</v>
      </c>
      <c r="O891">
        <f>Table1[[#All],[Quantity]]*Table1[[#All],[Unit Price (?)]]</f>
        <v>13100.8</v>
      </c>
      <c r="P891" t="str">
        <f>TEXT(Table1[[#All],[Order Date]],"dddd")</f>
        <v>Wednesday</v>
      </c>
      <c r="Q891" t="str">
        <f>TEXT(Table1[[#All],[Order Date]],"mmm")</f>
        <v>Jan</v>
      </c>
      <c r="R891" t="str">
        <f>IF(Table1[[#All],[Total Price (?)]]&gt;1000,"High Value","Normal")</f>
        <v>High Value</v>
      </c>
    </row>
    <row r="892" spans="1:18" x14ac:dyDescent="0.3">
      <c r="A892" t="s">
        <v>953</v>
      </c>
      <c r="B892" s="1">
        <v>45740</v>
      </c>
      <c r="C892" t="s">
        <v>48</v>
      </c>
      <c r="D892" t="s">
        <v>39</v>
      </c>
      <c r="E892" t="s">
        <v>99</v>
      </c>
      <c r="F892" t="s">
        <v>100</v>
      </c>
      <c r="G892">
        <v>3</v>
      </c>
      <c r="H892">
        <v>1886.03</v>
      </c>
      <c r="I892">
        <v>0.22</v>
      </c>
      <c r="J892">
        <v>4413.3100000000004</v>
      </c>
      <c r="K892" t="s">
        <v>41</v>
      </c>
      <c r="L892" t="s">
        <v>34</v>
      </c>
      <c r="M892" t="s">
        <v>21</v>
      </c>
      <c r="N892" t="s">
        <v>22</v>
      </c>
      <c r="O892">
        <f>Table1[[#All],[Quantity]]*Table1[[#All],[Unit Price (?)]]</f>
        <v>5658.09</v>
      </c>
      <c r="P892" t="str">
        <f>TEXT(Table1[[#All],[Order Date]],"dddd")</f>
        <v>Monday</v>
      </c>
      <c r="Q892" t="str">
        <f>TEXT(Table1[[#All],[Order Date]],"mmm")</f>
        <v>Mar</v>
      </c>
      <c r="R892" t="str">
        <f>IF(Table1[[#All],[Total Price (?)]]&gt;1000,"High Value","Normal")</f>
        <v>High Value</v>
      </c>
    </row>
    <row r="893" spans="1:18" x14ac:dyDescent="0.3">
      <c r="A893" t="s">
        <v>954</v>
      </c>
      <c r="B893" s="1">
        <v>45739</v>
      </c>
      <c r="C893" t="s">
        <v>52</v>
      </c>
      <c r="D893" t="s">
        <v>43</v>
      </c>
      <c r="E893" t="s">
        <v>49</v>
      </c>
      <c r="F893" t="s">
        <v>50</v>
      </c>
      <c r="G893">
        <v>4</v>
      </c>
      <c r="H893">
        <v>128.47</v>
      </c>
      <c r="I893">
        <v>0.22</v>
      </c>
      <c r="J893">
        <v>400.83</v>
      </c>
      <c r="K893" t="s">
        <v>19</v>
      </c>
      <c r="L893" t="s">
        <v>34</v>
      </c>
      <c r="M893" t="s">
        <v>21</v>
      </c>
      <c r="N893" t="s">
        <v>22</v>
      </c>
      <c r="O893">
        <f>Table1[[#All],[Quantity]]*Table1[[#All],[Unit Price (?)]]</f>
        <v>513.88</v>
      </c>
      <c r="P893" t="str">
        <f>TEXT(Table1[[#All],[Order Date]],"dddd")</f>
        <v>Sunday</v>
      </c>
      <c r="Q893" t="str">
        <f>TEXT(Table1[[#All],[Order Date]],"mmm")</f>
        <v>Mar</v>
      </c>
      <c r="R893" t="str">
        <f>IF(Table1[[#All],[Total Price (?)]]&gt;1000,"High Value","Normal")</f>
        <v>Normal</v>
      </c>
    </row>
    <row r="894" spans="1:18" x14ac:dyDescent="0.3">
      <c r="A894" t="s">
        <v>955</v>
      </c>
      <c r="B894" s="1">
        <v>45724</v>
      </c>
      <c r="C894" t="s">
        <v>52</v>
      </c>
      <c r="D894" t="s">
        <v>25</v>
      </c>
      <c r="E894" t="s">
        <v>99</v>
      </c>
      <c r="F894" t="s">
        <v>120</v>
      </c>
      <c r="G894">
        <v>3</v>
      </c>
      <c r="H894">
        <v>4514.8900000000003</v>
      </c>
      <c r="I894">
        <v>0.04</v>
      </c>
      <c r="J894">
        <v>13002.88</v>
      </c>
      <c r="K894" t="s">
        <v>41</v>
      </c>
      <c r="L894" t="s">
        <v>34</v>
      </c>
      <c r="M894" t="s">
        <v>54</v>
      </c>
      <c r="N894" t="s">
        <v>59</v>
      </c>
      <c r="O894">
        <f>Table1[[#All],[Quantity]]*Table1[[#All],[Unit Price (?)]]</f>
        <v>13544.670000000002</v>
      </c>
      <c r="P894" t="str">
        <f>TEXT(Table1[[#All],[Order Date]],"dddd")</f>
        <v>Saturday</v>
      </c>
      <c r="Q894" t="str">
        <f>TEXT(Table1[[#All],[Order Date]],"mmm")</f>
        <v>Mar</v>
      </c>
      <c r="R894" t="str">
        <f>IF(Table1[[#All],[Total Price (?)]]&gt;1000,"High Value","Normal")</f>
        <v>High Value</v>
      </c>
    </row>
    <row r="895" spans="1:18" x14ac:dyDescent="0.3">
      <c r="A895" t="s">
        <v>956</v>
      </c>
      <c r="B895" s="1">
        <v>45765</v>
      </c>
      <c r="C895" t="s">
        <v>48</v>
      </c>
      <c r="D895" t="s">
        <v>25</v>
      </c>
      <c r="E895" t="s">
        <v>99</v>
      </c>
      <c r="F895" t="s">
        <v>120</v>
      </c>
      <c r="G895">
        <v>4</v>
      </c>
      <c r="H895">
        <v>4019.12</v>
      </c>
      <c r="I895">
        <v>0.18</v>
      </c>
      <c r="J895">
        <v>13182.71</v>
      </c>
      <c r="K895" t="s">
        <v>41</v>
      </c>
      <c r="L895" t="s">
        <v>29</v>
      </c>
      <c r="M895" t="s">
        <v>30</v>
      </c>
      <c r="N895" t="s">
        <v>22</v>
      </c>
      <c r="O895">
        <f>Table1[[#All],[Quantity]]*Table1[[#All],[Unit Price (?)]]</f>
        <v>16076.48</v>
      </c>
      <c r="P895" t="str">
        <f>TEXT(Table1[[#All],[Order Date]],"dddd")</f>
        <v>Friday</v>
      </c>
      <c r="Q895" t="str">
        <f>TEXT(Table1[[#All],[Order Date]],"mmm")</f>
        <v>Apr</v>
      </c>
      <c r="R895" t="str">
        <f>IF(Table1[[#All],[Total Price (?)]]&gt;1000,"High Value","Normal")</f>
        <v>High Value</v>
      </c>
    </row>
    <row r="896" spans="1:18" x14ac:dyDescent="0.3">
      <c r="A896" t="s">
        <v>957</v>
      </c>
      <c r="B896" s="1">
        <v>45750</v>
      </c>
      <c r="C896" t="s">
        <v>24</v>
      </c>
      <c r="D896" t="s">
        <v>43</v>
      </c>
      <c r="E896" t="s">
        <v>49</v>
      </c>
      <c r="F896" t="s">
        <v>73</v>
      </c>
      <c r="G896">
        <v>2</v>
      </c>
      <c r="H896">
        <v>862.16</v>
      </c>
      <c r="I896">
        <v>0.13</v>
      </c>
      <c r="J896">
        <v>1500.16</v>
      </c>
      <c r="K896" t="s">
        <v>58</v>
      </c>
      <c r="L896" t="s">
        <v>20</v>
      </c>
      <c r="M896" t="s">
        <v>21</v>
      </c>
      <c r="N896" t="s">
        <v>22</v>
      </c>
      <c r="O896">
        <f>Table1[[#All],[Quantity]]*Table1[[#All],[Unit Price (?)]]</f>
        <v>1724.32</v>
      </c>
      <c r="P896" t="str">
        <f>TEXT(Table1[[#All],[Order Date]],"dddd")</f>
        <v>Thursday</v>
      </c>
      <c r="Q896" t="str">
        <f>TEXT(Table1[[#All],[Order Date]],"mmm")</f>
        <v>Apr</v>
      </c>
      <c r="R896" t="str">
        <f>IF(Table1[[#All],[Total Price (?)]]&gt;1000,"High Value","Normal")</f>
        <v>High Value</v>
      </c>
    </row>
    <row r="897" spans="1:18" x14ac:dyDescent="0.3">
      <c r="A897" t="s">
        <v>958</v>
      </c>
      <c r="B897" s="1">
        <v>45740</v>
      </c>
      <c r="C897" t="s">
        <v>36</v>
      </c>
      <c r="D897" t="s">
        <v>43</v>
      </c>
      <c r="E897" t="s">
        <v>99</v>
      </c>
      <c r="F897" t="s">
        <v>115</v>
      </c>
      <c r="G897">
        <v>4</v>
      </c>
      <c r="H897">
        <v>1518.39</v>
      </c>
      <c r="I897">
        <v>0.12</v>
      </c>
      <c r="J897">
        <v>5344.73</v>
      </c>
      <c r="K897" t="s">
        <v>58</v>
      </c>
      <c r="L897" t="s">
        <v>34</v>
      </c>
      <c r="M897" t="s">
        <v>30</v>
      </c>
      <c r="N897" t="s">
        <v>22</v>
      </c>
      <c r="O897">
        <f>Table1[[#All],[Quantity]]*Table1[[#All],[Unit Price (?)]]</f>
        <v>6073.56</v>
      </c>
      <c r="P897" t="str">
        <f>TEXT(Table1[[#All],[Order Date]],"dddd")</f>
        <v>Monday</v>
      </c>
      <c r="Q897" t="str">
        <f>TEXT(Table1[[#All],[Order Date]],"mmm")</f>
        <v>Mar</v>
      </c>
      <c r="R897" t="str">
        <f>IF(Table1[[#All],[Total Price (?)]]&gt;1000,"High Value","Normal")</f>
        <v>High Value</v>
      </c>
    </row>
    <row r="898" spans="1:18" x14ac:dyDescent="0.3">
      <c r="A898" t="s">
        <v>959</v>
      </c>
      <c r="B898" s="1">
        <v>45672</v>
      </c>
      <c r="C898" t="s">
        <v>52</v>
      </c>
      <c r="D898" t="s">
        <v>43</v>
      </c>
      <c r="E898" t="s">
        <v>27</v>
      </c>
      <c r="F898" t="s">
        <v>68</v>
      </c>
      <c r="G898">
        <v>3</v>
      </c>
      <c r="H898">
        <v>4971.8599999999997</v>
      </c>
      <c r="I898">
        <v>0.06</v>
      </c>
      <c r="J898">
        <v>14020.65</v>
      </c>
      <c r="K898" t="s">
        <v>46</v>
      </c>
      <c r="L898" t="s">
        <v>20</v>
      </c>
      <c r="M898" t="s">
        <v>30</v>
      </c>
      <c r="N898" t="s">
        <v>22</v>
      </c>
      <c r="O898">
        <f>Table1[[#All],[Quantity]]*Table1[[#All],[Unit Price (?)]]</f>
        <v>14915.579999999998</v>
      </c>
      <c r="P898" t="str">
        <f>TEXT(Table1[[#All],[Order Date]],"dddd")</f>
        <v>Wednesday</v>
      </c>
      <c r="Q898" t="str">
        <f>TEXT(Table1[[#All],[Order Date]],"mmm")</f>
        <v>Jan</v>
      </c>
      <c r="R898" t="str">
        <f>IF(Table1[[#All],[Total Price (?)]]&gt;1000,"High Value","Normal")</f>
        <v>High Value</v>
      </c>
    </row>
    <row r="899" spans="1:18" x14ac:dyDescent="0.3">
      <c r="A899" t="s">
        <v>960</v>
      </c>
      <c r="B899" s="1">
        <v>45700</v>
      </c>
      <c r="C899" t="s">
        <v>52</v>
      </c>
      <c r="D899" t="s">
        <v>39</v>
      </c>
      <c r="E899" t="s">
        <v>17</v>
      </c>
      <c r="F899" t="s">
        <v>44</v>
      </c>
      <c r="G899">
        <v>2</v>
      </c>
      <c r="H899">
        <v>1223.98</v>
      </c>
      <c r="I899">
        <v>0.03</v>
      </c>
      <c r="J899">
        <v>2374.52</v>
      </c>
      <c r="K899" t="s">
        <v>33</v>
      </c>
      <c r="L899" t="s">
        <v>29</v>
      </c>
      <c r="M899" t="s">
        <v>54</v>
      </c>
      <c r="N899" t="s">
        <v>59</v>
      </c>
      <c r="O899">
        <f>Table1[[#All],[Quantity]]*Table1[[#All],[Unit Price (?)]]</f>
        <v>2447.96</v>
      </c>
      <c r="P899" t="str">
        <f>TEXT(Table1[[#All],[Order Date]],"dddd")</f>
        <v>Wednesday</v>
      </c>
      <c r="Q899" t="str">
        <f>TEXT(Table1[[#All],[Order Date]],"mmm")</f>
        <v>Feb</v>
      </c>
      <c r="R899" t="str">
        <f>IF(Table1[[#All],[Total Price (?)]]&gt;1000,"High Value","Normal")</f>
        <v>High Value</v>
      </c>
    </row>
    <row r="900" spans="1:18" x14ac:dyDescent="0.3">
      <c r="A900" t="s">
        <v>961</v>
      </c>
      <c r="B900" s="1">
        <v>45821</v>
      </c>
      <c r="C900" t="s">
        <v>24</v>
      </c>
      <c r="D900" t="s">
        <v>39</v>
      </c>
      <c r="E900" t="s">
        <v>61</v>
      </c>
      <c r="F900" t="s">
        <v>92</v>
      </c>
      <c r="G900">
        <v>1</v>
      </c>
      <c r="H900">
        <v>4335.32</v>
      </c>
      <c r="I900">
        <v>0.1</v>
      </c>
      <c r="J900">
        <v>3901.79</v>
      </c>
      <c r="K900" t="s">
        <v>33</v>
      </c>
      <c r="L900" t="s">
        <v>20</v>
      </c>
      <c r="M900" t="s">
        <v>21</v>
      </c>
      <c r="N900" t="s">
        <v>22</v>
      </c>
      <c r="O900">
        <f>Table1[[#All],[Quantity]]*Table1[[#All],[Unit Price (?)]]</f>
        <v>4335.32</v>
      </c>
      <c r="P900" t="str">
        <f>TEXT(Table1[[#All],[Order Date]],"dddd")</f>
        <v>Friday</v>
      </c>
      <c r="Q900" t="str">
        <f>TEXT(Table1[[#All],[Order Date]],"mmm")</f>
        <v>Jun</v>
      </c>
      <c r="R900" t="str">
        <f>IF(Table1[[#All],[Total Price (?)]]&gt;1000,"High Value","Normal")</f>
        <v>High Value</v>
      </c>
    </row>
    <row r="901" spans="1:18" x14ac:dyDescent="0.3">
      <c r="A901" t="s">
        <v>962</v>
      </c>
      <c r="B901" s="1">
        <v>45741</v>
      </c>
      <c r="C901" t="s">
        <v>15</v>
      </c>
      <c r="D901" t="s">
        <v>16</v>
      </c>
      <c r="E901" t="s">
        <v>61</v>
      </c>
      <c r="F901" t="s">
        <v>75</v>
      </c>
      <c r="G901">
        <v>1</v>
      </c>
      <c r="H901">
        <v>2598.33</v>
      </c>
      <c r="I901">
        <v>0.16</v>
      </c>
      <c r="J901">
        <v>2182.6</v>
      </c>
      <c r="K901" t="s">
        <v>41</v>
      </c>
      <c r="L901" t="s">
        <v>34</v>
      </c>
      <c r="M901" t="s">
        <v>30</v>
      </c>
      <c r="N901" t="s">
        <v>22</v>
      </c>
      <c r="O901">
        <f>Table1[[#All],[Quantity]]*Table1[[#All],[Unit Price (?)]]</f>
        <v>2598.33</v>
      </c>
      <c r="P901" t="str">
        <f>TEXT(Table1[[#All],[Order Date]],"dddd")</f>
        <v>Tuesday</v>
      </c>
      <c r="Q901" t="str">
        <f>TEXT(Table1[[#All],[Order Date]],"mmm")</f>
        <v>Mar</v>
      </c>
      <c r="R901" t="str">
        <f>IF(Table1[[#All],[Total Price (?)]]&gt;1000,"High Value","Normal")</f>
        <v>High Value</v>
      </c>
    </row>
    <row r="902" spans="1:18" x14ac:dyDescent="0.3">
      <c r="A902" t="s">
        <v>963</v>
      </c>
      <c r="B902" s="1">
        <v>45735</v>
      </c>
      <c r="C902" t="s">
        <v>48</v>
      </c>
      <c r="D902" t="s">
        <v>39</v>
      </c>
      <c r="E902" t="s">
        <v>99</v>
      </c>
      <c r="F902" t="s">
        <v>111</v>
      </c>
      <c r="G902">
        <v>1</v>
      </c>
      <c r="H902">
        <v>990.58</v>
      </c>
      <c r="I902">
        <v>0</v>
      </c>
      <c r="J902">
        <v>990.58</v>
      </c>
      <c r="K902" t="s">
        <v>19</v>
      </c>
      <c r="L902" t="s">
        <v>34</v>
      </c>
      <c r="M902" t="s">
        <v>21</v>
      </c>
      <c r="N902" t="s">
        <v>22</v>
      </c>
      <c r="O902">
        <f>Table1[[#All],[Quantity]]*Table1[[#All],[Unit Price (?)]]</f>
        <v>990.58</v>
      </c>
      <c r="P902" t="str">
        <f>TEXT(Table1[[#All],[Order Date]],"dddd")</f>
        <v>Wednesday</v>
      </c>
      <c r="Q902" t="str">
        <f>TEXT(Table1[[#All],[Order Date]],"mmm")</f>
        <v>Mar</v>
      </c>
      <c r="R902" t="str">
        <f>IF(Table1[[#All],[Total Price (?)]]&gt;1000,"High Value","Normal")</f>
        <v>Normal</v>
      </c>
    </row>
    <row r="903" spans="1:18" x14ac:dyDescent="0.3">
      <c r="A903" t="s">
        <v>964</v>
      </c>
      <c r="B903" s="1">
        <v>45835</v>
      </c>
      <c r="C903" t="s">
        <v>36</v>
      </c>
      <c r="D903" t="s">
        <v>39</v>
      </c>
      <c r="E903" t="s">
        <v>49</v>
      </c>
      <c r="F903" t="s">
        <v>53</v>
      </c>
      <c r="G903">
        <v>2</v>
      </c>
      <c r="H903">
        <v>1336.09</v>
      </c>
      <c r="I903">
        <v>0.12</v>
      </c>
      <c r="J903">
        <v>2351.52</v>
      </c>
      <c r="K903" t="s">
        <v>58</v>
      </c>
      <c r="L903" t="s">
        <v>34</v>
      </c>
      <c r="M903" t="s">
        <v>30</v>
      </c>
      <c r="N903" t="s">
        <v>22</v>
      </c>
      <c r="O903">
        <f>Table1[[#All],[Quantity]]*Table1[[#All],[Unit Price (?)]]</f>
        <v>2672.18</v>
      </c>
      <c r="P903" t="str">
        <f>TEXT(Table1[[#All],[Order Date]],"dddd")</f>
        <v>Friday</v>
      </c>
      <c r="Q903" t="str">
        <f>TEXT(Table1[[#All],[Order Date]],"mmm")</f>
        <v>Jun</v>
      </c>
      <c r="R903" t="str">
        <f>IF(Table1[[#All],[Total Price (?)]]&gt;1000,"High Value","Normal")</f>
        <v>High Value</v>
      </c>
    </row>
    <row r="904" spans="1:18" x14ac:dyDescent="0.3">
      <c r="A904" t="s">
        <v>965</v>
      </c>
      <c r="B904" s="1">
        <v>45809</v>
      </c>
      <c r="C904" t="s">
        <v>15</v>
      </c>
      <c r="D904" t="s">
        <v>39</v>
      </c>
      <c r="E904" t="s">
        <v>17</v>
      </c>
      <c r="F904" t="s">
        <v>44</v>
      </c>
      <c r="G904">
        <v>3</v>
      </c>
      <c r="H904">
        <v>3740.37</v>
      </c>
      <c r="I904">
        <v>0.15</v>
      </c>
      <c r="J904">
        <v>9537.94</v>
      </c>
      <c r="K904" t="s">
        <v>46</v>
      </c>
      <c r="L904" t="s">
        <v>29</v>
      </c>
      <c r="M904" t="s">
        <v>21</v>
      </c>
      <c r="N904" t="s">
        <v>22</v>
      </c>
      <c r="O904">
        <f>Table1[[#All],[Quantity]]*Table1[[#All],[Unit Price (?)]]</f>
        <v>11221.11</v>
      </c>
      <c r="P904" t="str">
        <f>TEXT(Table1[[#All],[Order Date]],"dddd")</f>
        <v>Sunday</v>
      </c>
      <c r="Q904" t="str">
        <f>TEXT(Table1[[#All],[Order Date]],"mmm")</f>
        <v>Jun</v>
      </c>
      <c r="R904" t="str">
        <f>IF(Table1[[#All],[Total Price (?)]]&gt;1000,"High Value","Normal")</f>
        <v>High Value</v>
      </c>
    </row>
    <row r="905" spans="1:18" x14ac:dyDescent="0.3">
      <c r="A905" t="s">
        <v>966</v>
      </c>
      <c r="B905" s="1">
        <v>45773</v>
      </c>
      <c r="C905" t="s">
        <v>36</v>
      </c>
      <c r="D905" t="s">
        <v>16</v>
      </c>
      <c r="E905" t="s">
        <v>99</v>
      </c>
      <c r="F905" t="s">
        <v>100</v>
      </c>
      <c r="G905">
        <v>1</v>
      </c>
      <c r="H905">
        <v>739.38</v>
      </c>
      <c r="I905">
        <v>0.19</v>
      </c>
      <c r="J905">
        <v>598.9</v>
      </c>
      <c r="K905" t="s">
        <v>41</v>
      </c>
      <c r="L905" t="s">
        <v>20</v>
      </c>
      <c r="M905" t="s">
        <v>54</v>
      </c>
      <c r="N905" t="s">
        <v>22</v>
      </c>
      <c r="O905">
        <f>Table1[[#All],[Quantity]]*Table1[[#All],[Unit Price (?)]]</f>
        <v>739.38</v>
      </c>
      <c r="P905" t="str">
        <f>TEXT(Table1[[#All],[Order Date]],"dddd")</f>
        <v>Saturday</v>
      </c>
      <c r="Q905" t="str">
        <f>TEXT(Table1[[#All],[Order Date]],"mmm")</f>
        <v>Apr</v>
      </c>
      <c r="R905" t="str">
        <f>IF(Table1[[#All],[Total Price (?)]]&gt;1000,"High Value","Normal")</f>
        <v>Normal</v>
      </c>
    </row>
    <row r="906" spans="1:18" x14ac:dyDescent="0.3">
      <c r="A906" t="s">
        <v>967</v>
      </c>
      <c r="B906" s="1">
        <v>45795</v>
      </c>
      <c r="C906" t="s">
        <v>48</v>
      </c>
      <c r="D906" t="s">
        <v>43</v>
      </c>
      <c r="E906" t="s">
        <v>61</v>
      </c>
      <c r="F906" t="s">
        <v>75</v>
      </c>
      <c r="G906">
        <v>5</v>
      </c>
      <c r="H906">
        <v>3133.15</v>
      </c>
      <c r="I906">
        <v>0.08</v>
      </c>
      <c r="J906">
        <v>14412.49</v>
      </c>
      <c r="K906" t="s">
        <v>58</v>
      </c>
      <c r="L906" t="s">
        <v>20</v>
      </c>
      <c r="M906" t="s">
        <v>30</v>
      </c>
      <c r="N906" t="s">
        <v>22</v>
      </c>
      <c r="O906">
        <f>Table1[[#All],[Quantity]]*Table1[[#All],[Unit Price (?)]]</f>
        <v>15665.75</v>
      </c>
      <c r="P906" t="str">
        <f>TEXT(Table1[[#All],[Order Date]],"dddd")</f>
        <v>Sunday</v>
      </c>
      <c r="Q906" t="str">
        <f>TEXT(Table1[[#All],[Order Date]],"mmm")</f>
        <v>May</v>
      </c>
      <c r="R906" t="str">
        <f>IF(Table1[[#All],[Total Price (?)]]&gt;1000,"High Value","Normal")</f>
        <v>High Value</v>
      </c>
    </row>
    <row r="907" spans="1:18" x14ac:dyDescent="0.3">
      <c r="A907" t="s">
        <v>968</v>
      </c>
      <c r="B907" s="1">
        <v>45663</v>
      </c>
      <c r="C907" t="s">
        <v>52</v>
      </c>
      <c r="D907" t="s">
        <v>39</v>
      </c>
      <c r="E907" t="s">
        <v>61</v>
      </c>
      <c r="F907" t="s">
        <v>62</v>
      </c>
      <c r="G907">
        <v>5</v>
      </c>
      <c r="H907">
        <v>3586.86</v>
      </c>
      <c r="I907">
        <v>0.22</v>
      </c>
      <c r="J907">
        <v>13988.75</v>
      </c>
      <c r="K907" t="s">
        <v>19</v>
      </c>
      <c r="L907" t="s">
        <v>34</v>
      </c>
      <c r="M907" t="s">
        <v>21</v>
      </c>
      <c r="N907" t="s">
        <v>37</v>
      </c>
      <c r="O907">
        <f>Table1[[#All],[Quantity]]*Table1[[#All],[Unit Price (?)]]</f>
        <v>17934.3</v>
      </c>
      <c r="P907" t="str">
        <f>TEXT(Table1[[#All],[Order Date]],"dddd")</f>
        <v>Monday</v>
      </c>
      <c r="Q907" t="str">
        <f>TEXT(Table1[[#All],[Order Date]],"mmm")</f>
        <v>Jan</v>
      </c>
      <c r="R907" t="str">
        <f>IF(Table1[[#All],[Total Price (?)]]&gt;1000,"High Value","Normal")</f>
        <v>High Value</v>
      </c>
    </row>
    <row r="908" spans="1:18" x14ac:dyDescent="0.3">
      <c r="A908" t="s">
        <v>969</v>
      </c>
      <c r="B908" s="1">
        <v>45826</v>
      </c>
      <c r="C908" t="s">
        <v>48</v>
      </c>
      <c r="D908" t="s">
        <v>43</v>
      </c>
      <c r="E908" t="s">
        <v>49</v>
      </c>
      <c r="F908" t="s">
        <v>56</v>
      </c>
      <c r="G908">
        <v>4</v>
      </c>
      <c r="H908">
        <v>2666.44</v>
      </c>
      <c r="I908">
        <v>0.24</v>
      </c>
      <c r="J908">
        <v>8105.98</v>
      </c>
      <c r="K908" t="s">
        <v>58</v>
      </c>
      <c r="L908" t="s">
        <v>34</v>
      </c>
      <c r="M908" t="s">
        <v>54</v>
      </c>
      <c r="N908" t="s">
        <v>22</v>
      </c>
      <c r="O908">
        <f>Table1[[#All],[Quantity]]*Table1[[#All],[Unit Price (?)]]</f>
        <v>10665.76</v>
      </c>
      <c r="P908" t="str">
        <f>TEXT(Table1[[#All],[Order Date]],"dddd")</f>
        <v>Wednesday</v>
      </c>
      <c r="Q908" t="str">
        <f>TEXT(Table1[[#All],[Order Date]],"mmm")</f>
        <v>Jun</v>
      </c>
      <c r="R908" t="str">
        <f>IF(Table1[[#All],[Total Price (?)]]&gt;1000,"High Value","Normal")</f>
        <v>High Value</v>
      </c>
    </row>
    <row r="909" spans="1:18" x14ac:dyDescent="0.3">
      <c r="A909" t="s">
        <v>970</v>
      </c>
      <c r="B909" s="1">
        <v>45831</v>
      </c>
      <c r="C909" t="s">
        <v>24</v>
      </c>
      <c r="D909" t="s">
        <v>16</v>
      </c>
      <c r="E909" t="s">
        <v>61</v>
      </c>
      <c r="F909" t="s">
        <v>66</v>
      </c>
      <c r="G909">
        <v>2</v>
      </c>
      <c r="H909">
        <v>3729.5</v>
      </c>
      <c r="I909">
        <v>0.1</v>
      </c>
      <c r="J909">
        <v>6713.1</v>
      </c>
      <c r="K909" t="s">
        <v>33</v>
      </c>
      <c r="L909" t="s">
        <v>20</v>
      </c>
      <c r="M909" t="s">
        <v>21</v>
      </c>
      <c r="N909" t="s">
        <v>22</v>
      </c>
      <c r="O909">
        <f>Table1[[#All],[Quantity]]*Table1[[#All],[Unit Price (?)]]</f>
        <v>7459</v>
      </c>
      <c r="P909" t="str">
        <f>TEXT(Table1[[#All],[Order Date]],"dddd")</f>
        <v>Monday</v>
      </c>
      <c r="Q909" t="str">
        <f>TEXT(Table1[[#All],[Order Date]],"mmm")</f>
        <v>Jun</v>
      </c>
      <c r="R909" t="str">
        <f>IF(Table1[[#All],[Total Price (?)]]&gt;1000,"High Value","Normal")</f>
        <v>High Value</v>
      </c>
    </row>
    <row r="910" spans="1:18" x14ac:dyDescent="0.3">
      <c r="A910" t="s">
        <v>971</v>
      </c>
      <c r="B910" s="1">
        <v>45808</v>
      </c>
      <c r="C910" t="s">
        <v>36</v>
      </c>
      <c r="D910" t="s">
        <v>43</v>
      </c>
      <c r="E910" t="s">
        <v>27</v>
      </c>
      <c r="F910" t="s">
        <v>87</v>
      </c>
      <c r="G910">
        <v>5</v>
      </c>
      <c r="H910">
        <v>1430.32</v>
      </c>
      <c r="I910">
        <v>0.05</v>
      </c>
      <c r="J910">
        <v>6794.02</v>
      </c>
      <c r="K910" t="s">
        <v>41</v>
      </c>
      <c r="L910" t="s">
        <v>34</v>
      </c>
      <c r="M910" t="s">
        <v>54</v>
      </c>
      <c r="N910" t="s">
        <v>22</v>
      </c>
      <c r="O910">
        <f>Table1[[#All],[Quantity]]*Table1[[#All],[Unit Price (?)]]</f>
        <v>7151.5999999999995</v>
      </c>
      <c r="P910" t="str">
        <f>TEXT(Table1[[#All],[Order Date]],"dddd")</f>
        <v>Saturday</v>
      </c>
      <c r="Q910" t="str">
        <f>TEXT(Table1[[#All],[Order Date]],"mmm")</f>
        <v>May</v>
      </c>
      <c r="R910" t="str">
        <f>IF(Table1[[#All],[Total Price (?)]]&gt;1000,"High Value","Normal")</f>
        <v>High Value</v>
      </c>
    </row>
    <row r="911" spans="1:18" x14ac:dyDescent="0.3">
      <c r="A911" t="s">
        <v>972</v>
      </c>
      <c r="B911" s="1">
        <v>45771</v>
      </c>
      <c r="C911" t="s">
        <v>36</v>
      </c>
      <c r="D911" t="s">
        <v>16</v>
      </c>
      <c r="E911" t="s">
        <v>17</v>
      </c>
      <c r="F911" t="s">
        <v>40</v>
      </c>
      <c r="G911">
        <v>3</v>
      </c>
      <c r="H911">
        <v>4277.13</v>
      </c>
      <c r="I911">
        <v>7.0000000000000007E-2</v>
      </c>
      <c r="J911">
        <v>11933.19</v>
      </c>
      <c r="K911" t="s">
        <v>33</v>
      </c>
      <c r="L911" t="s">
        <v>34</v>
      </c>
      <c r="M911" t="s">
        <v>30</v>
      </c>
      <c r="N911" t="s">
        <v>22</v>
      </c>
      <c r="O911">
        <f>Table1[[#All],[Quantity]]*Table1[[#All],[Unit Price (?)]]</f>
        <v>12831.39</v>
      </c>
      <c r="P911" t="str">
        <f>TEXT(Table1[[#All],[Order Date]],"dddd")</f>
        <v>Thursday</v>
      </c>
      <c r="Q911" t="str">
        <f>TEXT(Table1[[#All],[Order Date]],"mmm")</f>
        <v>Apr</v>
      </c>
      <c r="R911" t="str">
        <f>IF(Table1[[#All],[Total Price (?)]]&gt;1000,"High Value","Normal")</f>
        <v>High Value</v>
      </c>
    </row>
    <row r="912" spans="1:18" x14ac:dyDescent="0.3">
      <c r="A912" t="s">
        <v>973</v>
      </c>
      <c r="B912" s="1">
        <v>45733</v>
      </c>
      <c r="C912" t="s">
        <v>15</v>
      </c>
      <c r="D912" t="s">
        <v>39</v>
      </c>
      <c r="E912" t="s">
        <v>17</v>
      </c>
      <c r="F912" t="s">
        <v>44</v>
      </c>
      <c r="G912">
        <v>2</v>
      </c>
      <c r="H912">
        <v>4716.03</v>
      </c>
      <c r="I912">
        <v>7.0000000000000007E-2</v>
      </c>
      <c r="J912">
        <v>8771.82</v>
      </c>
      <c r="K912" t="s">
        <v>58</v>
      </c>
      <c r="L912" t="s">
        <v>29</v>
      </c>
      <c r="M912" t="s">
        <v>54</v>
      </c>
      <c r="N912" t="s">
        <v>37</v>
      </c>
      <c r="O912">
        <f>Table1[[#All],[Quantity]]*Table1[[#All],[Unit Price (?)]]</f>
        <v>9432.06</v>
      </c>
      <c r="P912" t="str">
        <f>TEXT(Table1[[#All],[Order Date]],"dddd")</f>
        <v>Monday</v>
      </c>
      <c r="Q912" t="str">
        <f>TEXT(Table1[[#All],[Order Date]],"mmm")</f>
        <v>Mar</v>
      </c>
      <c r="R912" t="str">
        <f>IF(Table1[[#All],[Total Price (?)]]&gt;1000,"High Value","Normal")</f>
        <v>High Value</v>
      </c>
    </row>
    <row r="913" spans="1:18" x14ac:dyDescent="0.3">
      <c r="A913" t="s">
        <v>974</v>
      </c>
      <c r="B913" s="1">
        <v>45752</v>
      </c>
      <c r="C913" t="s">
        <v>52</v>
      </c>
      <c r="D913" t="s">
        <v>39</v>
      </c>
      <c r="E913" t="s">
        <v>17</v>
      </c>
      <c r="F913" t="s">
        <v>44</v>
      </c>
      <c r="G913">
        <v>1</v>
      </c>
      <c r="H913">
        <v>3278.36</v>
      </c>
      <c r="I913">
        <v>0.16</v>
      </c>
      <c r="J913">
        <v>2753.82</v>
      </c>
      <c r="K913" t="s">
        <v>33</v>
      </c>
      <c r="L913" t="s">
        <v>20</v>
      </c>
      <c r="M913" t="s">
        <v>30</v>
      </c>
      <c r="N913" t="s">
        <v>22</v>
      </c>
      <c r="O913">
        <f>Table1[[#All],[Quantity]]*Table1[[#All],[Unit Price (?)]]</f>
        <v>3278.36</v>
      </c>
      <c r="P913" t="str">
        <f>TEXT(Table1[[#All],[Order Date]],"dddd")</f>
        <v>Saturday</v>
      </c>
      <c r="Q913" t="str">
        <f>TEXT(Table1[[#All],[Order Date]],"mmm")</f>
        <v>Apr</v>
      </c>
      <c r="R913" t="str">
        <f>IF(Table1[[#All],[Total Price (?)]]&gt;1000,"High Value","Normal")</f>
        <v>High Value</v>
      </c>
    </row>
    <row r="914" spans="1:18" x14ac:dyDescent="0.3">
      <c r="A914" t="s">
        <v>975</v>
      </c>
      <c r="B914" s="1">
        <v>45661</v>
      </c>
      <c r="C914" t="s">
        <v>52</v>
      </c>
      <c r="D914" t="s">
        <v>39</v>
      </c>
      <c r="E914" t="s">
        <v>27</v>
      </c>
      <c r="F914" t="s">
        <v>28</v>
      </c>
      <c r="G914">
        <v>3</v>
      </c>
      <c r="H914">
        <v>1690.71</v>
      </c>
      <c r="I914">
        <v>0.01</v>
      </c>
      <c r="J914">
        <v>5021.41</v>
      </c>
      <c r="K914" t="s">
        <v>41</v>
      </c>
      <c r="L914" t="s">
        <v>29</v>
      </c>
      <c r="M914" t="s">
        <v>54</v>
      </c>
      <c r="N914" t="s">
        <v>22</v>
      </c>
      <c r="O914">
        <f>Table1[[#All],[Quantity]]*Table1[[#All],[Unit Price (?)]]</f>
        <v>5072.13</v>
      </c>
      <c r="P914" t="str">
        <f>TEXT(Table1[[#All],[Order Date]],"dddd")</f>
        <v>Saturday</v>
      </c>
      <c r="Q914" t="str">
        <f>TEXT(Table1[[#All],[Order Date]],"mmm")</f>
        <v>Jan</v>
      </c>
      <c r="R914" t="str">
        <f>IF(Table1[[#All],[Total Price (?)]]&gt;1000,"High Value","Normal")</f>
        <v>High Value</v>
      </c>
    </row>
    <row r="915" spans="1:18" x14ac:dyDescent="0.3">
      <c r="A915" t="s">
        <v>976</v>
      </c>
      <c r="B915" s="1">
        <v>45728</v>
      </c>
      <c r="C915" t="s">
        <v>15</v>
      </c>
      <c r="D915" t="s">
        <v>39</v>
      </c>
      <c r="E915" t="s">
        <v>99</v>
      </c>
      <c r="F915" t="s">
        <v>100</v>
      </c>
      <c r="G915">
        <v>5</v>
      </c>
      <c r="H915">
        <v>621.57000000000005</v>
      </c>
      <c r="I915">
        <v>0.19</v>
      </c>
      <c r="J915">
        <v>2517.36</v>
      </c>
      <c r="K915" t="s">
        <v>58</v>
      </c>
      <c r="L915" t="s">
        <v>29</v>
      </c>
      <c r="M915" t="s">
        <v>30</v>
      </c>
      <c r="N915" t="s">
        <v>37</v>
      </c>
      <c r="O915">
        <f>Table1[[#All],[Quantity]]*Table1[[#All],[Unit Price (?)]]</f>
        <v>3107.8500000000004</v>
      </c>
      <c r="P915" t="str">
        <f>TEXT(Table1[[#All],[Order Date]],"dddd")</f>
        <v>Wednesday</v>
      </c>
      <c r="Q915" t="str">
        <f>TEXT(Table1[[#All],[Order Date]],"mmm")</f>
        <v>Mar</v>
      </c>
      <c r="R915" t="str">
        <f>IF(Table1[[#All],[Total Price (?)]]&gt;1000,"High Value","Normal")</f>
        <v>High Value</v>
      </c>
    </row>
    <row r="916" spans="1:18" x14ac:dyDescent="0.3">
      <c r="A916" t="s">
        <v>977</v>
      </c>
      <c r="B916" s="1">
        <v>45717</v>
      </c>
      <c r="C916" t="s">
        <v>48</v>
      </c>
      <c r="D916" t="s">
        <v>43</v>
      </c>
      <c r="E916" t="s">
        <v>27</v>
      </c>
      <c r="F916" t="s">
        <v>68</v>
      </c>
      <c r="G916">
        <v>3</v>
      </c>
      <c r="H916">
        <v>1099.2</v>
      </c>
      <c r="I916">
        <v>0.16</v>
      </c>
      <c r="J916">
        <v>2769.98</v>
      </c>
      <c r="K916" t="s">
        <v>19</v>
      </c>
      <c r="L916" t="s">
        <v>34</v>
      </c>
      <c r="M916" t="s">
        <v>30</v>
      </c>
      <c r="N916" t="s">
        <v>22</v>
      </c>
      <c r="O916">
        <f>Table1[[#All],[Quantity]]*Table1[[#All],[Unit Price (?)]]</f>
        <v>3297.6000000000004</v>
      </c>
      <c r="P916" t="str">
        <f>TEXT(Table1[[#All],[Order Date]],"dddd")</f>
        <v>Saturday</v>
      </c>
      <c r="Q916" t="str">
        <f>TEXT(Table1[[#All],[Order Date]],"mmm")</f>
        <v>Mar</v>
      </c>
      <c r="R916" t="str">
        <f>IF(Table1[[#All],[Total Price (?)]]&gt;1000,"High Value","Normal")</f>
        <v>High Value</v>
      </c>
    </row>
    <row r="917" spans="1:18" x14ac:dyDescent="0.3">
      <c r="A917" t="s">
        <v>978</v>
      </c>
      <c r="B917" s="1">
        <v>45806</v>
      </c>
      <c r="C917" t="s">
        <v>52</v>
      </c>
      <c r="D917" t="s">
        <v>43</v>
      </c>
      <c r="E917" t="s">
        <v>49</v>
      </c>
      <c r="F917" t="s">
        <v>53</v>
      </c>
      <c r="G917">
        <v>4</v>
      </c>
      <c r="H917">
        <v>989.42</v>
      </c>
      <c r="I917">
        <v>0.05</v>
      </c>
      <c r="J917">
        <v>3759.8</v>
      </c>
      <c r="K917" t="s">
        <v>41</v>
      </c>
      <c r="L917" t="s">
        <v>20</v>
      </c>
      <c r="M917" t="s">
        <v>54</v>
      </c>
      <c r="N917" t="s">
        <v>22</v>
      </c>
      <c r="O917">
        <f>Table1[[#All],[Quantity]]*Table1[[#All],[Unit Price (?)]]</f>
        <v>3957.68</v>
      </c>
      <c r="P917" t="str">
        <f>TEXT(Table1[[#All],[Order Date]],"dddd")</f>
        <v>Thursday</v>
      </c>
      <c r="Q917" t="str">
        <f>TEXT(Table1[[#All],[Order Date]],"mmm")</f>
        <v>May</v>
      </c>
      <c r="R917" t="str">
        <f>IF(Table1[[#All],[Total Price (?)]]&gt;1000,"High Value","Normal")</f>
        <v>High Value</v>
      </c>
    </row>
    <row r="918" spans="1:18" x14ac:dyDescent="0.3">
      <c r="A918" t="s">
        <v>979</v>
      </c>
      <c r="B918" s="1">
        <v>45735</v>
      </c>
      <c r="C918" t="s">
        <v>24</v>
      </c>
      <c r="D918" t="s">
        <v>16</v>
      </c>
      <c r="E918" t="s">
        <v>61</v>
      </c>
      <c r="F918" t="s">
        <v>66</v>
      </c>
      <c r="G918">
        <v>2</v>
      </c>
      <c r="H918">
        <v>4105.75</v>
      </c>
      <c r="I918">
        <v>0.17</v>
      </c>
      <c r="J918">
        <v>6815.55</v>
      </c>
      <c r="K918" t="s">
        <v>46</v>
      </c>
      <c r="L918" t="s">
        <v>20</v>
      </c>
      <c r="M918" t="s">
        <v>54</v>
      </c>
      <c r="N918" t="s">
        <v>22</v>
      </c>
      <c r="O918">
        <f>Table1[[#All],[Quantity]]*Table1[[#All],[Unit Price (?)]]</f>
        <v>8211.5</v>
      </c>
      <c r="P918" t="str">
        <f>TEXT(Table1[[#All],[Order Date]],"dddd")</f>
        <v>Wednesday</v>
      </c>
      <c r="Q918" t="str">
        <f>TEXT(Table1[[#All],[Order Date]],"mmm")</f>
        <v>Mar</v>
      </c>
      <c r="R918" t="str">
        <f>IF(Table1[[#All],[Total Price (?)]]&gt;1000,"High Value","Normal")</f>
        <v>High Value</v>
      </c>
    </row>
    <row r="919" spans="1:18" x14ac:dyDescent="0.3">
      <c r="A919" t="s">
        <v>980</v>
      </c>
      <c r="B919" s="1">
        <v>45825</v>
      </c>
      <c r="C919" t="s">
        <v>48</v>
      </c>
      <c r="D919" t="s">
        <v>16</v>
      </c>
      <c r="E919" t="s">
        <v>49</v>
      </c>
      <c r="F919" t="s">
        <v>73</v>
      </c>
      <c r="G919">
        <v>5</v>
      </c>
      <c r="H919">
        <v>772.73</v>
      </c>
      <c r="I919">
        <v>0.19</v>
      </c>
      <c r="J919">
        <v>3129.56</v>
      </c>
      <c r="K919" t="s">
        <v>41</v>
      </c>
      <c r="L919" t="s">
        <v>20</v>
      </c>
      <c r="M919" t="s">
        <v>54</v>
      </c>
      <c r="N919" t="s">
        <v>22</v>
      </c>
      <c r="O919">
        <f>Table1[[#All],[Quantity]]*Table1[[#All],[Unit Price (?)]]</f>
        <v>3863.65</v>
      </c>
      <c r="P919" t="str">
        <f>TEXT(Table1[[#All],[Order Date]],"dddd")</f>
        <v>Tuesday</v>
      </c>
      <c r="Q919" t="str">
        <f>TEXT(Table1[[#All],[Order Date]],"mmm")</f>
        <v>Jun</v>
      </c>
      <c r="R919" t="str">
        <f>IF(Table1[[#All],[Total Price (?)]]&gt;1000,"High Value","Normal")</f>
        <v>High Value</v>
      </c>
    </row>
    <row r="920" spans="1:18" x14ac:dyDescent="0.3">
      <c r="A920" t="s">
        <v>981</v>
      </c>
      <c r="B920" s="1">
        <v>45833</v>
      </c>
      <c r="C920" t="s">
        <v>24</v>
      </c>
      <c r="D920" t="s">
        <v>16</v>
      </c>
      <c r="E920" t="s">
        <v>17</v>
      </c>
      <c r="F920" t="s">
        <v>18</v>
      </c>
      <c r="G920">
        <v>2</v>
      </c>
      <c r="H920">
        <v>3873.58</v>
      </c>
      <c r="I920">
        <v>7.0000000000000007E-2</v>
      </c>
      <c r="J920">
        <v>7204.86</v>
      </c>
      <c r="K920" t="s">
        <v>58</v>
      </c>
      <c r="L920" t="s">
        <v>20</v>
      </c>
      <c r="M920" t="s">
        <v>21</v>
      </c>
      <c r="N920" t="s">
        <v>88</v>
      </c>
      <c r="O920">
        <f>Table1[[#All],[Quantity]]*Table1[[#All],[Unit Price (?)]]</f>
        <v>7747.16</v>
      </c>
      <c r="P920" t="str">
        <f>TEXT(Table1[[#All],[Order Date]],"dddd")</f>
        <v>Wednesday</v>
      </c>
      <c r="Q920" t="str">
        <f>TEXT(Table1[[#All],[Order Date]],"mmm")</f>
        <v>Jun</v>
      </c>
      <c r="R920" t="str">
        <f>IF(Table1[[#All],[Total Price (?)]]&gt;1000,"High Value","Normal")</f>
        <v>High Value</v>
      </c>
    </row>
    <row r="921" spans="1:18" x14ac:dyDescent="0.3">
      <c r="A921" t="s">
        <v>982</v>
      </c>
      <c r="B921" s="1">
        <v>45822</v>
      </c>
      <c r="C921" t="s">
        <v>36</v>
      </c>
      <c r="D921" t="s">
        <v>25</v>
      </c>
      <c r="E921" t="s">
        <v>17</v>
      </c>
      <c r="F921" t="s">
        <v>18</v>
      </c>
      <c r="G921">
        <v>1</v>
      </c>
      <c r="H921">
        <v>1091.3800000000001</v>
      </c>
      <c r="I921">
        <v>0.12</v>
      </c>
      <c r="J921">
        <v>960.41</v>
      </c>
      <c r="K921" t="s">
        <v>46</v>
      </c>
      <c r="L921" t="s">
        <v>29</v>
      </c>
      <c r="M921" t="s">
        <v>21</v>
      </c>
      <c r="N921" t="s">
        <v>88</v>
      </c>
      <c r="O921">
        <f>Table1[[#All],[Quantity]]*Table1[[#All],[Unit Price (?)]]</f>
        <v>1091.3800000000001</v>
      </c>
      <c r="P921" t="str">
        <f>TEXT(Table1[[#All],[Order Date]],"dddd")</f>
        <v>Saturday</v>
      </c>
      <c r="Q921" t="str">
        <f>TEXT(Table1[[#All],[Order Date]],"mmm")</f>
        <v>Jun</v>
      </c>
      <c r="R921" t="str">
        <f>IF(Table1[[#All],[Total Price (?)]]&gt;1000,"High Value","Normal")</f>
        <v>Normal</v>
      </c>
    </row>
    <row r="922" spans="1:18" x14ac:dyDescent="0.3">
      <c r="A922" t="s">
        <v>983</v>
      </c>
      <c r="B922" s="1">
        <v>45741</v>
      </c>
      <c r="C922" t="s">
        <v>48</v>
      </c>
      <c r="D922" t="s">
        <v>16</v>
      </c>
      <c r="E922" t="s">
        <v>99</v>
      </c>
      <c r="F922" t="s">
        <v>111</v>
      </c>
      <c r="G922">
        <v>1</v>
      </c>
      <c r="H922">
        <v>2763.28</v>
      </c>
      <c r="I922">
        <v>7.0000000000000007E-2</v>
      </c>
      <c r="J922">
        <v>2569.85</v>
      </c>
      <c r="K922" t="s">
        <v>19</v>
      </c>
      <c r="L922" t="s">
        <v>20</v>
      </c>
      <c r="M922" t="s">
        <v>21</v>
      </c>
      <c r="N922" t="s">
        <v>22</v>
      </c>
      <c r="O922">
        <f>Table1[[#All],[Quantity]]*Table1[[#All],[Unit Price (?)]]</f>
        <v>2763.28</v>
      </c>
      <c r="P922" t="str">
        <f>TEXT(Table1[[#All],[Order Date]],"dddd")</f>
        <v>Tuesday</v>
      </c>
      <c r="Q922" t="str">
        <f>TEXT(Table1[[#All],[Order Date]],"mmm")</f>
        <v>Mar</v>
      </c>
      <c r="R922" t="str">
        <f>IF(Table1[[#All],[Total Price (?)]]&gt;1000,"High Value","Normal")</f>
        <v>High Value</v>
      </c>
    </row>
    <row r="923" spans="1:18" x14ac:dyDescent="0.3">
      <c r="A923" t="s">
        <v>984</v>
      </c>
      <c r="B923" s="1">
        <v>45764</v>
      </c>
      <c r="C923" t="s">
        <v>36</v>
      </c>
      <c r="D923" t="s">
        <v>43</v>
      </c>
      <c r="E923" t="s">
        <v>17</v>
      </c>
      <c r="F923" t="s">
        <v>18</v>
      </c>
      <c r="G923">
        <v>5</v>
      </c>
      <c r="H923">
        <v>4443.6400000000003</v>
      </c>
      <c r="I923">
        <v>0.1</v>
      </c>
      <c r="J923">
        <v>19996.38</v>
      </c>
      <c r="K923" t="s">
        <v>46</v>
      </c>
      <c r="L923" t="s">
        <v>20</v>
      </c>
      <c r="M923" t="s">
        <v>54</v>
      </c>
      <c r="N923" t="s">
        <v>22</v>
      </c>
      <c r="O923">
        <f>Table1[[#All],[Quantity]]*Table1[[#All],[Unit Price (?)]]</f>
        <v>22218.2</v>
      </c>
      <c r="P923" t="str">
        <f>TEXT(Table1[[#All],[Order Date]],"dddd")</f>
        <v>Thursday</v>
      </c>
      <c r="Q923" t="str">
        <f>TEXT(Table1[[#All],[Order Date]],"mmm")</f>
        <v>Apr</v>
      </c>
      <c r="R923" t="str">
        <f>IF(Table1[[#All],[Total Price (?)]]&gt;1000,"High Value","Normal")</f>
        <v>High Value</v>
      </c>
    </row>
    <row r="924" spans="1:18" x14ac:dyDescent="0.3">
      <c r="A924" t="s">
        <v>985</v>
      </c>
      <c r="B924" s="1">
        <v>45805</v>
      </c>
      <c r="C924" t="s">
        <v>52</v>
      </c>
      <c r="D924" t="s">
        <v>16</v>
      </c>
      <c r="E924" t="s">
        <v>49</v>
      </c>
      <c r="F924" t="s">
        <v>50</v>
      </c>
      <c r="G924">
        <v>3</v>
      </c>
      <c r="H924">
        <v>1206.83</v>
      </c>
      <c r="I924">
        <v>0.22</v>
      </c>
      <c r="J924">
        <v>2823.98</v>
      </c>
      <c r="K924" t="s">
        <v>46</v>
      </c>
      <c r="L924" t="s">
        <v>29</v>
      </c>
      <c r="M924" t="s">
        <v>30</v>
      </c>
      <c r="N924" t="s">
        <v>22</v>
      </c>
      <c r="O924">
        <f>Table1[[#All],[Quantity]]*Table1[[#All],[Unit Price (?)]]</f>
        <v>3620.49</v>
      </c>
      <c r="P924" t="str">
        <f>TEXT(Table1[[#All],[Order Date]],"dddd")</f>
        <v>Wednesday</v>
      </c>
      <c r="Q924" t="str">
        <f>TEXT(Table1[[#All],[Order Date]],"mmm")</f>
        <v>May</v>
      </c>
      <c r="R924" t="str">
        <f>IF(Table1[[#All],[Total Price (?)]]&gt;1000,"High Value","Normal")</f>
        <v>High Value</v>
      </c>
    </row>
    <row r="925" spans="1:18" x14ac:dyDescent="0.3">
      <c r="A925" t="s">
        <v>986</v>
      </c>
      <c r="B925" s="1">
        <v>45802</v>
      </c>
      <c r="C925" t="s">
        <v>24</v>
      </c>
      <c r="D925" t="s">
        <v>16</v>
      </c>
      <c r="E925" t="s">
        <v>17</v>
      </c>
      <c r="F925" t="s">
        <v>44</v>
      </c>
      <c r="G925">
        <v>1</v>
      </c>
      <c r="H925">
        <v>3116.91</v>
      </c>
      <c r="I925">
        <v>0.03</v>
      </c>
      <c r="J925">
        <v>3023.4</v>
      </c>
      <c r="K925" t="s">
        <v>46</v>
      </c>
      <c r="L925" t="s">
        <v>34</v>
      </c>
      <c r="M925" t="s">
        <v>54</v>
      </c>
      <c r="N925" t="s">
        <v>22</v>
      </c>
      <c r="O925">
        <f>Table1[[#All],[Quantity]]*Table1[[#All],[Unit Price (?)]]</f>
        <v>3116.91</v>
      </c>
      <c r="P925" t="str">
        <f>TEXT(Table1[[#All],[Order Date]],"dddd")</f>
        <v>Sunday</v>
      </c>
      <c r="Q925" t="str">
        <f>TEXT(Table1[[#All],[Order Date]],"mmm")</f>
        <v>May</v>
      </c>
      <c r="R925" t="str">
        <f>IF(Table1[[#All],[Total Price (?)]]&gt;1000,"High Value","Normal")</f>
        <v>High Value</v>
      </c>
    </row>
    <row r="926" spans="1:18" x14ac:dyDescent="0.3">
      <c r="A926" t="s">
        <v>987</v>
      </c>
      <c r="B926" s="1">
        <v>45766</v>
      </c>
      <c r="C926" t="s">
        <v>36</v>
      </c>
      <c r="D926" t="s">
        <v>39</v>
      </c>
      <c r="E926" t="s">
        <v>61</v>
      </c>
      <c r="F926" t="s">
        <v>92</v>
      </c>
      <c r="G926">
        <v>2</v>
      </c>
      <c r="H926">
        <v>3429.22</v>
      </c>
      <c r="I926">
        <v>0.04</v>
      </c>
      <c r="J926">
        <v>6584.1</v>
      </c>
      <c r="K926" t="s">
        <v>46</v>
      </c>
      <c r="L926" t="s">
        <v>29</v>
      </c>
      <c r="M926" t="s">
        <v>21</v>
      </c>
      <c r="N926" t="s">
        <v>22</v>
      </c>
      <c r="O926">
        <f>Table1[[#All],[Quantity]]*Table1[[#All],[Unit Price (?)]]</f>
        <v>6858.44</v>
      </c>
      <c r="P926" t="str">
        <f>TEXT(Table1[[#All],[Order Date]],"dddd")</f>
        <v>Saturday</v>
      </c>
      <c r="Q926" t="str">
        <f>TEXT(Table1[[#All],[Order Date]],"mmm")</f>
        <v>Apr</v>
      </c>
      <c r="R926" t="str">
        <f>IF(Table1[[#All],[Total Price (?)]]&gt;1000,"High Value","Normal")</f>
        <v>High Value</v>
      </c>
    </row>
    <row r="927" spans="1:18" x14ac:dyDescent="0.3">
      <c r="A927" t="s">
        <v>988</v>
      </c>
      <c r="B927" s="1">
        <v>45815</v>
      </c>
      <c r="C927" t="s">
        <v>24</v>
      </c>
      <c r="D927" t="s">
        <v>16</v>
      </c>
      <c r="E927" t="s">
        <v>99</v>
      </c>
      <c r="F927" t="s">
        <v>111</v>
      </c>
      <c r="G927">
        <v>3</v>
      </c>
      <c r="H927">
        <v>4671.12</v>
      </c>
      <c r="I927">
        <v>0.2</v>
      </c>
      <c r="J927">
        <v>11210.69</v>
      </c>
      <c r="K927" t="s">
        <v>46</v>
      </c>
      <c r="L927" t="s">
        <v>34</v>
      </c>
      <c r="M927" t="s">
        <v>21</v>
      </c>
      <c r="N927" t="s">
        <v>88</v>
      </c>
      <c r="O927">
        <f>Table1[[#All],[Quantity]]*Table1[[#All],[Unit Price (?)]]</f>
        <v>14013.36</v>
      </c>
      <c r="P927" t="str">
        <f>TEXT(Table1[[#All],[Order Date]],"dddd")</f>
        <v>Saturday</v>
      </c>
      <c r="Q927" t="str">
        <f>TEXT(Table1[[#All],[Order Date]],"mmm")</f>
        <v>Jun</v>
      </c>
      <c r="R927" t="str">
        <f>IF(Table1[[#All],[Total Price (?)]]&gt;1000,"High Value","Normal")</f>
        <v>High Value</v>
      </c>
    </row>
    <row r="928" spans="1:18" x14ac:dyDescent="0.3">
      <c r="A928" t="s">
        <v>989</v>
      </c>
      <c r="B928" s="1">
        <v>45777</v>
      </c>
      <c r="C928" t="s">
        <v>15</v>
      </c>
      <c r="D928" t="s">
        <v>16</v>
      </c>
      <c r="E928" t="s">
        <v>61</v>
      </c>
      <c r="F928" t="s">
        <v>75</v>
      </c>
      <c r="G928">
        <v>4</v>
      </c>
      <c r="H928">
        <v>3634.58</v>
      </c>
      <c r="I928">
        <v>0.2</v>
      </c>
      <c r="J928">
        <v>11630.66</v>
      </c>
      <c r="K928" t="s">
        <v>19</v>
      </c>
      <c r="L928" t="s">
        <v>34</v>
      </c>
      <c r="M928" t="s">
        <v>30</v>
      </c>
      <c r="N928" t="s">
        <v>22</v>
      </c>
      <c r="O928">
        <f>Table1[[#All],[Quantity]]*Table1[[#All],[Unit Price (?)]]</f>
        <v>14538.32</v>
      </c>
      <c r="P928" t="str">
        <f>TEXT(Table1[[#All],[Order Date]],"dddd")</f>
        <v>Wednesday</v>
      </c>
      <c r="Q928" t="str">
        <f>TEXT(Table1[[#All],[Order Date]],"mmm")</f>
        <v>Apr</v>
      </c>
      <c r="R928" t="str">
        <f>IF(Table1[[#All],[Total Price (?)]]&gt;1000,"High Value","Normal")</f>
        <v>High Value</v>
      </c>
    </row>
    <row r="929" spans="1:18" x14ac:dyDescent="0.3">
      <c r="A929" t="s">
        <v>990</v>
      </c>
      <c r="B929" s="1">
        <v>45834</v>
      </c>
      <c r="C929" t="s">
        <v>52</v>
      </c>
      <c r="D929" t="s">
        <v>25</v>
      </c>
      <c r="E929" t="s">
        <v>49</v>
      </c>
      <c r="F929" t="s">
        <v>53</v>
      </c>
      <c r="G929">
        <v>2</v>
      </c>
      <c r="H929">
        <v>991.17</v>
      </c>
      <c r="I929">
        <v>0.1</v>
      </c>
      <c r="J929">
        <v>1784.11</v>
      </c>
      <c r="K929" t="s">
        <v>58</v>
      </c>
      <c r="L929" t="s">
        <v>34</v>
      </c>
      <c r="M929" t="s">
        <v>30</v>
      </c>
      <c r="N929" t="s">
        <v>22</v>
      </c>
      <c r="O929">
        <f>Table1[[#All],[Quantity]]*Table1[[#All],[Unit Price (?)]]</f>
        <v>1982.34</v>
      </c>
      <c r="P929" t="str">
        <f>TEXT(Table1[[#All],[Order Date]],"dddd")</f>
        <v>Thursday</v>
      </c>
      <c r="Q929" t="str">
        <f>TEXT(Table1[[#All],[Order Date]],"mmm")</f>
        <v>Jun</v>
      </c>
      <c r="R929" t="str">
        <f>IF(Table1[[#All],[Total Price (?)]]&gt;1000,"High Value","Normal")</f>
        <v>High Value</v>
      </c>
    </row>
    <row r="930" spans="1:18" x14ac:dyDescent="0.3">
      <c r="A930" t="s">
        <v>991</v>
      </c>
      <c r="B930" s="1">
        <v>45702</v>
      </c>
      <c r="C930" t="s">
        <v>52</v>
      </c>
      <c r="D930" t="s">
        <v>43</v>
      </c>
      <c r="E930" t="s">
        <v>49</v>
      </c>
      <c r="F930" t="s">
        <v>53</v>
      </c>
      <c r="G930">
        <v>4</v>
      </c>
      <c r="H930">
        <v>2791.76</v>
      </c>
      <c r="I930">
        <v>0.13</v>
      </c>
      <c r="J930">
        <v>9715.32</v>
      </c>
      <c r="K930" t="s">
        <v>19</v>
      </c>
      <c r="L930" t="s">
        <v>34</v>
      </c>
      <c r="M930" t="s">
        <v>30</v>
      </c>
      <c r="N930" t="s">
        <v>22</v>
      </c>
      <c r="O930">
        <f>Table1[[#All],[Quantity]]*Table1[[#All],[Unit Price (?)]]</f>
        <v>11167.04</v>
      </c>
      <c r="P930" t="str">
        <f>TEXT(Table1[[#All],[Order Date]],"dddd")</f>
        <v>Friday</v>
      </c>
      <c r="Q930" t="str">
        <f>TEXT(Table1[[#All],[Order Date]],"mmm")</f>
        <v>Feb</v>
      </c>
      <c r="R930" t="str">
        <f>IF(Table1[[#All],[Total Price (?)]]&gt;1000,"High Value","Normal")</f>
        <v>High Value</v>
      </c>
    </row>
    <row r="931" spans="1:18" x14ac:dyDescent="0.3">
      <c r="A931" t="s">
        <v>992</v>
      </c>
      <c r="B931" s="1">
        <v>45754</v>
      </c>
      <c r="C931" t="s">
        <v>36</v>
      </c>
      <c r="D931" t="s">
        <v>43</v>
      </c>
      <c r="E931" t="s">
        <v>27</v>
      </c>
      <c r="F931" t="s">
        <v>87</v>
      </c>
      <c r="G931">
        <v>2</v>
      </c>
      <c r="H931">
        <v>3545.16</v>
      </c>
      <c r="I931">
        <v>0.06</v>
      </c>
      <c r="J931">
        <v>6664.9</v>
      </c>
      <c r="K931" t="s">
        <v>33</v>
      </c>
      <c r="L931" t="s">
        <v>29</v>
      </c>
      <c r="M931" t="s">
        <v>54</v>
      </c>
      <c r="N931" t="s">
        <v>59</v>
      </c>
      <c r="O931">
        <f>Table1[[#All],[Quantity]]*Table1[[#All],[Unit Price (?)]]</f>
        <v>7090.32</v>
      </c>
      <c r="P931" t="str">
        <f>TEXT(Table1[[#All],[Order Date]],"dddd")</f>
        <v>Monday</v>
      </c>
      <c r="Q931" t="str">
        <f>TEXT(Table1[[#All],[Order Date]],"mmm")</f>
        <v>Apr</v>
      </c>
      <c r="R931" t="str">
        <f>IF(Table1[[#All],[Total Price (?)]]&gt;1000,"High Value","Normal")</f>
        <v>High Value</v>
      </c>
    </row>
    <row r="932" spans="1:18" x14ac:dyDescent="0.3">
      <c r="A932" t="s">
        <v>993</v>
      </c>
      <c r="B932" s="1">
        <v>45702</v>
      </c>
      <c r="C932" t="s">
        <v>36</v>
      </c>
      <c r="D932" t="s">
        <v>39</v>
      </c>
      <c r="E932" t="s">
        <v>17</v>
      </c>
      <c r="F932" t="s">
        <v>32</v>
      </c>
      <c r="G932">
        <v>1</v>
      </c>
      <c r="H932">
        <v>391.93</v>
      </c>
      <c r="I932">
        <v>0.09</v>
      </c>
      <c r="J932">
        <v>356.66</v>
      </c>
      <c r="K932" t="s">
        <v>41</v>
      </c>
      <c r="L932" t="s">
        <v>20</v>
      </c>
      <c r="M932" t="s">
        <v>54</v>
      </c>
      <c r="N932" t="s">
        <v>22</v>
      </c>
      <c r="O932">
        <f>Table1[[#All],[Quantity]]*Table1[[#All],[Unit Price (?)]]</f>
        <v>391.93</v>
      </c>
      <c r="P932" t="str">
        <f>TEXT(Table1[[#All],[Order Date]],"dddd")</f>
        <v>Friday</v>
      </c>
      <c r="Q932" t="str">
        <f>TEXT(Table1[[#All],[Order Date]],"mmm")</f>
        <v>Feb</v>
      </c>
      <c r="R932" t="str">
        <f>IF(Table1[[#All],[Total Price (?)]]&gt;1000,"High Value","Normal")</f>
        <v>Normal</v>
      </c>
    </row>
    <row r="933" spans="1:18" x14ac:dyDescent="0.3">
      <c r="A933" t="s">
        <v>994</v>
      </c>
      <c r="B933" s="1">
        <v>45712</v>
      </c>
      <c r="C933" t="s">
        <v>52</v>
      </c>
      <c r="D933" t="s">
        <v>43</v>
      </c>
      <c r="E933" t="s">
        <v>27</v>
      </c>
      <c r="F933" t="s">
        <v>87</v>
      </c>
      <c r="G933">
        <v>1</v>
      </c>
      <c r="H933">
        <v>3760.28</v>
      </c>
      <c r="I933">
        <v>0.03</v>
      </c>
      <c r="J933">
        <v>3647.47</v>
      </c>
      <c r="K933" t="s">
        <v>19</v>
      </c>
      <c r="L933" t="s">
        <v>20</v>
      </c>
      <c r="M933" t="s">
        <v>21</v>
      </c>
      <c r="N933" t="s">
        <v>22</v>
      </c>
      <c r="O933">
        <f>Table1[[#All],[Quantity]]*Table1[[#All],[Unit Price (?)]]</f>
        <v>3760.28</v>
      </c>
      <c r="P933" t="str">
        <f>TEXT(Table1[[#All],[Order Date]],"dddd")</f>
        <v>Monday</v>
      </c>
      <c r="Q933" t="str">
        <f>TEXT(Table1[[#All],[Order Date]],"mmm")</f>
        <v>Feb</v>
      </c>
      <c r="R933" t="str">
        <f>IF(Table1[[#All],[Total Price (?)]]&gt;1000,"High Value","Normal")</f>
        <v>High Value</v>
      </c>
    </row>
    <row r="934" spans="1:18" x14ac:dyDescent="0.3">
      <c r="A934" t="s">
        <v>995</v>
      </c>
      <c r="B934" s="1">
        <v>45744</v>
      </c>
      <c r="C934" t="s">
        <v>15</v>
      </c>
      <c r="D934" t="s">
        <v>43</v>
      </c>
      <c r="E934" t="s">
        <v>17</v>
      </c>
      <c r="F934" t="s">
        <v>40</v>
      </c>
      <c r="G934">
        <v>1</v>
      </c>
      <c r="H934">
        <v>3347.46</v>
      </c>
      <c r="I934">
        <v>0.02</v>
      </c>
      <c r="J934">
        <v>3280.51</v>
      </c>
      <c r="K934" t="s">
        <v>58</v>
      </c>
      <c r="L934" t="s">
        <v>29</v>
      </c>
      <c r="M934" t="s">
        <v>21</v>
      </c>
      <c r="N934" t="s">
        <v>22</v>
      </c>
      <c r="O934">
        <f>Table1[[#All],[Quantity]]*Table1[[#All],[Unit Price (?)]]</f>
        <v>3347.46</v>
      </c>
      <c r="P934" t="str">
        <f>TEXT(Table1[[#All],[Order Date]],"dddd")</f>
        <v>Friday</v>
      </c>
      <c r="Q934" t="str">
        <f>TEXT(Table1[[#All],[Order Date]],"mmm")</f>
        <v>Mar</v>
      </c>
      <c r="R934" t="str">
        <f>IF(Table1[[#All],[Total Price (?)]]&gt;1000,"High Value","Normal")</f>
        <v>High Value</v>
      </c>
    </row>
    <row r="935" spans="1:18" x14ac:dyDescent="0.3">
      <c r="A935" t="s">
        <v>996</v>
      </c>
      <c r="B935" s="1">
        <v>45754</v>
      </c>
      <c r="C935" t="s">
        <v>24</v>
      </c>
      <c r="D935" t="s">
        <v>43</v>
      </c>
      <c r="E935" t="s">
        <v>99</v>
      </c>
      <c r="F935" t="s">
        <v>100</v>
      </c>
      <c r="G935">
        <v>1</v>
      </c>
      <c r="H935">
        <v>2889</v>
      </c>
      <c r="I935">
        <v>0.2</v>
      </c>
      <c r="J935">
        <v>2311.1999999999998</v>
      </c>
      <c r="K935" t="s">
        <v>19</v>
      </c>
      <c r="L935" t="s">
        <v>20</v>
      </c>
      <c r="M935" t="s">
        <v>54</v>
      </c>
      <c r="N935" t="s">
        <v>22</v>
      </c>
      <c r="O935">
        <f>Table1[[#All],[Quantity]]*Table1[[#All],[Unit Price (?)]]</f>
        <v>2889</v>
      </c>
      <c r="P935" t="str">
        <f>TEXT(Table1[[#All],[Order Date]],"dddd")</f>
        <v>Monday</v>
      </c>
      <c r="Q935" t="str">
        <f>TEXT(Table1[[#All],[Order Date]],"mmm")</f>
        <v>Apr</v>
      </c>
      <c r="R935" t="str">
        <f>IF(Table1[[#All],[Total Price (?)]]&gt;1000,"High Value","Normal")</f>
        <v>High Value</v>
      </c>
    </row>
    <row r="936" spans="1:18" x14ac:dyDescent="0.3">
      <c r="A936" t="s">
        <v>997</v>
      </c>
      <c r="B936" s="1">
        <v>45665</v>
      </c>
      <c r="C936" t="s">
        <v>48</v>
      </c>
      <c r="D936" t="s">
        <v>39</v>
      </c>
      <c r="E936" t="s">
        <v>61</v>
      </c>
      <c r="F936" t="s">
        <v>66</v>
      </c>
      <c r="G936">
        <v>3</v>
      </c>
      <c r="H936">
        <v>2275.4699999999998</v>
      </c>
      <c r="I936">
        <v>0.16</v>
      </c>
      <c r="J936">
        <v>5734.18</v>
      </c>
      <c r="K936" t="s">
        <v>41</v>
      </c>
      <c r="L936" t="s">
        <v>29</v>
      </c>
      <c r="M936" t="s">
        <v>54</v>
      </c>
      <c r="N936" t="s">
        <v>22</v>
      </c>
      <c r="O936">
        <f>Table1[[#All],[Quantity]]*Table1[[#All],[Unit Price (?)]]</f>
        <v>6826.41</v>
      </c>
      <c r="P936" t="str">
        <f>TEXT(Table1[[#All],[Order Date]],"dddd")</f>
        <v>Wednesday</v>
      </c>
      <c r="Q936" t="str">
        <f>TEXT(Table1[[#All],[Order Date]],"mmm")</f>
        <v>Jan</v>
      </c>
      <c r="R936" t="str">
        <f>IF(Table1[[#All],[Total Price (?)]]&gt;1000,"High Value","Normal")</f>
        <v>High Value</v>
      </c>
    </row>
    <row r="937" spans="1:18" x14ac:dyDescent="0.3">
      <c r="A937" t="s">
        <v>998</v>
      </c>
      <c r="B937" s="1">
        <v>45735</v>
      </c>
      <c r="C937" t="s">
        <v>36</v>
      </c>
      <c r="D937" t="s">
        <v>25</v>
      </c>
      <c r="E937" t="s">
        <v>17</v>
      </c>
      <c r="F937" t="s">
        <v>18</v>
      </c>
      <c r="G937">
        <v>2</v>
      </c>
      <c r="H937">
        <v>153.25</v>
      </c>
      <c r="I937">
        <v>0.21</v>
      </c>
      <c r="J937">
        <v>242.14</v>
      </c>
      <c r="K937" t="s">
        <v>19</v>
      </c>
      <c r="L937" t="s">
        <v>29</v>
      </c>
      <c r="M937" t="s">
        <v>21</v>
      </c>
      <c r="N937" t="s">
        <v>22</v>
      </c>
      <c r="O937">
        <f>Table1[[#All],[Quantity]]*Table1[[#All],[Unit Price (?)]]</f>
        <v>306.5</v>
      </c>
      <c r="P937" t="str">
        <f>TEXT(Table1[[#All],[Order Date]],"dddd")</f>
        <v>Wednesday</v>
      </c>
      <c r="Q937" t="str">
        <f>TEXT(Table1[[#All],[Order Date]],"mmm")</f>
        <v>Mar</v>
      </c>
      <c r="R937" t="str">
        <f>IF(Table1[[#All],[Total Price (?)]]&gt;1000,"High Value","Normal")</f>
        <v>Normal</v>
      </c>
    </row>
    <row r="938" spans="1:18" x14ac:dyDescent="0.3">
      <c r="A938" t="s">
        <v>999</v>
      </c>
      <c r="B938" s="1">
        <v>45725</v>
      </c>
      <c r="C938" t="s">
        <v>52</v>
      </c>
      <c r="D938" t="s">
        <v>43</v>
      </c>
      <c r="E938" t="s">
        <v>99</v>
      </c>
      <c r="F938" t="s">
        <v>111</v>
      </c>
      <c r="G938">
        <v>3</v>
      </c>
      <c r="H938">
        <v>4868.3</v>
      </c>
      <c r="I938">
        <v>0.13</v>
      </c>
      <c r="J938">
        <v>12706.26</v>
      </c>
      <c r="K938" t="s">
        <v>41</v>
      </c>
      <c r="L938" t="s">
        <v>20</v>
      </c>
      <c r="M938" t="s">
        <v>54</v>
      </c>
      <c r="N938" t="s">
        <v>22</v>
      </c>
      <c r="O938">
        <f>Table1[[#All],[Quantity]]*Table1[[#All],[Unit Price (?)]]</f>
        <v>14604.900000000001</v>
      </c>
      <c r="P938" t="str">
        <f>TEXT(Table1[[#All],[Order Date]],"dddd")</f>
        <v>Sunday</v>
      </c>
      <c r="Q938" t="str">
        <f>TEXT(Table1[[#All],[Order Date]],"mmm")</f>
        <v>Mar</v>
      </c>
      <c r="R938" t="str">
        <f>IF(Table1[[#All],[Total Price (?)]]&gt;1000,"High Value","Normal")</f>
        <v>High Value</v>
      </c>
    </row>
    <row r="939" spans="1:18" x14ac:dyDescent="0.3">
      <c r="A939" t="s">
        <v>1000</v>
      </c>
      <c r="B939" s="1">
        <v>45789</v>
      </c>
      <c r="C939" t="s">
        <v>48</v>
      </c>
      <c r="D939" t="s">
        <v>25</v>
      </c>
      <c r="E939" t="s">
        <v>17</v>
      </c>
      <c r="F939" t="s">
        <v>44</v>
      </c>
      <c r="G939">
        <v>5</v>
      </c>
      <c r="H939">
        <v>3064.91</v>
      </c>
      <c r="I939">
        <v>0.02</v>
      </c>
      <c r="J939">
        <v>15018.06</v>
      </c>
      <c r="K939" t="s">
        <v>19</v>
      </c>
      <c r="L939" t="s">
        <v>29</v>
      </c>
      <c r="M939" t="s">
        <v>21</v>
      </c>
      <c r="N939" t="s">
        <v>22</v>
      </c>
      <c r="O939">
        <f>Table1[[#All],[Quantity]]*Table1[[#All],[Unit Price (?)]]</f>
        <v>15324.55</v>
      </c>
      <c r="P939" t="str">
        <f>TEXT(Table1[[#All],[Order Date]],"dddd")</f>
        <v>Monday</v>
      </c>
      <c r="Q939" t="str">
        <f>TEXT(Table1[[#All],[Order Date]],"mmm")</f>
        <v>May</v>
      </c>
      <c r="R939" t="str">
        <f>IF(Table1[[#All],[Total Price (?)]]&gt;1000,"High Value","Normal")</f>
        <v>High Value</v>
      </c>
    </row>
    <row r="940" spans="1:18" x14ac:dyDescent="0.3">
      <c r="A940" t="s">
        <v>1001</v>
      </c>
      <c r="B940" s="1">
        <v>45791</v>
      </c>
      <c r="C940" t="s">
        <v>52</v>
      </c>
      <c r="D940" t="s">
        <v>39</v>
      </c>
      <c r="E940" t="s">
        <v>49</v>
      </c>
      <c r="F940" t="s">
        <v>50</v>
      </c>
      <c r="G940">
        <v>4</v>
      </c>
      <c r="H940">
        <v>1054.18</v>
      </c>
      <c r="I940">
        <v>0.03</v>
      </c>
      <c r="J940">
        <v>4090.22</v>
      </c>
      <c r="K940" t="s">
        <v>58</v>
      </c>
      <c r="L940" t="s">
        <v>34</v>
      </c>
      <c r="M940" t="s">
        <v>54</v>
      </c>
      <c r="N940" t="s">
        <v>22</v>
      </c>
      <c r="O940">
        <f>Table1[[#All],[Quantity]]*Table1[[#All],[Unit Price (?)]]</f>
        <v>4216.72</v>
      </c>
      <c r="P940" t="str">
        <f>TEXT(Table1[[#All],[Order Date]],"dddd")</f>
        <v>Wednesday</v>
      </c>
      <c r="Q940" t="str">
        <f>TEXT(Table1[[#All],[Order Date]],"mmm")</f>
        <v>May</v>
      </c>
      <c r="R940" t="str">
        <f>IF(Table1[[#All],[Total Price (?)]]&gt;1000,"High Value","Normal")</f>
        <v>High Value</v>
      </c>
    </row>
    <row r="941" spans="1:18" x14ac:dyDescent="0.3">
      <c r="A941" t="s">
        <v>1002</v>
      </c>
      <c r="B941" s="1">
        <v>45814</v>
      </c>
      <c r="C941" t="s">
        <v>52</v>
      </c>
      <c r="D941" t="s">
        <v>39</v>
      </c>
      <c r="E941" t="s">
        <v>99</v>
      </c>
      <c r="F941" t="s">
        <v>120</v>
      </c>
      <c r="G941">
        <v>5</v>
      </c>
      <c r="H941">
        <v>621.67999999999995</v>
      </c>
      <c r="I941">
        <v>0.05</v>
      </c>
      <c r="J941">
        <v>2952.98</v>
      </c>
      <c r="K941" t="s">
        <v>46</v>
      </c>
      <c r="L941" t="s">
        <v>20</v>
      </c>
      <c r="M941" t="s">
        <v>54</v>
      </c>
      <c r="N941" t="s">
        <v>22</v>
      </c>
      <c r="O941">
        <f>Table1[[#All],[Quantity]]*Table1[[#All],[Unit Price (?)]]</f>
        <v>3108.3999999999996</v>
      </c>
      <c r="P941" t="str">
        <f>TEXT(Table1[[#All],[Order Date]],"dddd")</f>
        <v>Friday</v>
      </c>
      <c r="Q941" t="str">
        <f>TEXT(Table1[[#All],[Order Date]],"mmm")</f>
        <v>Jun</v>
      </c>
      <c r="R941" t="str">
        <f>IF(Table1[[#All],[Total Price (?)]]&gt;1000,"High Value","Normal")</f>
        <v>High Value</v>
      </c>
    </row>
    <row r="942" spans="1:18" x14ac:dyDescent="0.3">
      <c r="A942" t="s">
        <v>1003</v>
      </c>
      <c r="B942" s="1">
        <v>45738</v>
      </c>
      <c r="C942" t="s">
        <v>52</v>
      </c>
      <c r="D942" t="s">
        <v>16</v>
      </c>
      <c r="E942" t="s">
        <v>61</v>
      </c>
      <c r="F942" t="s">
        <v>62</v>
      </c>
      <c r="G942">
        <v>5</v>
      </c>
      <c r="H942">
        <v>2867.5</v>
      </c>
      <c r="I942">
        <v>0.14000000000000001</v>
      </c>
      <c r="J942">
        <v>12330.25</v>
      </c>
      <c r="K942" t="s">
        <v>46</v>
      </c>
      <c r="L942" t="s">
        <v>20</v>
      </c>
      <c r="M942" t="s">
        <v>30</v>
      </c>
      <c r="N942" t="s">
        <v>22</v>
      </c>
      <c r="O942">
        <f>Table1[[#All],[Quantity]]*Table1[[#All],[Unit Price (?)]]</f>
        <v>14337.5</v>
      </c>
      <c r="P942" t="str">
        <f>TEXT(Table1[[#All],[Order Date]],"dddd")</f>
        <v>Saturday</v>
      </c>
      <c r="Q942" t="str">
        <f>TEXT(Table1[[#All],[Order Date]],"mmm")</f>
        <v>Mar</v>
      </c>
      <c r="R942" t="str">
        <f>IF(Table1[[#All],[Total Price (?)]]&gt;1000,"High Value","Normal")</f>
        <v>High Value</v>
      </c>
    </row>
    <row r="943" spans="1:18" x14ac:dyDescent="0.3">
      <c r="A943" t="s">
        <v>1004</v>
      </c>
      <c r="B943" s="1">
        <v>45800</v>
      </c>
      <c r="C943" t="s">
        <v>24</v>
      </c>
      <c r="D943" t="s">
        <v>39</v>
      </c>
      <c r="E943" t="s">
        <v>17</v>
      </c>
      <c r="F943" t="s">
        <v>32</v>
      </c>
      <c r="G943">
        <v>4</v>
      </c>
      <c r="H943">
        <v>2551.06</v>
      </c>
      <c r="I943">
        <v>0.08</v>
      </c>
      <c r="J943">
        <v>9387.9</v>
      </c>
      <c r="K943" t="s">
        <v>46</v>
      </c>
      <c r="L943" t="s">
        <v>34</v>
      </c>
      <c r="M943" t="s">
        <v>30</v>
      </c>
      <c r="N943" t="s">
        <v>59</v>
      </c>
      <c r="O943">
        <f>Table1[[#All],[Quantity]]*Table1[[#All],[Unit Price (?)]]</f>
        <v>10204.24</v>
      </c>
      <c r="P943" t="str">
        <f>TEXT(Table1[[#All],[Order Date]],"dddd")</f>
        <v>Friday</v>
      </c>
      <c r="Q943" t="str">
        <f>TEXT(Table1[[#All],[Order Date]],"mmm")</f>
        <v>May</v>
      </c>
      <c r="R943" t="str">
        <f>IF(Table1[[#All],[Total Price (?)]]&gt;1000,"High Value","Normal")</f>
        <v>High Value</v>
      </c>
    </row>
    <row r="944" spans="1:18" x14ac:dyDescent="0.3">
      <c r="A944" t="s">
        <v>1005</v>
      </c>
      <c r="B944" s="1">
        <v>45692</v>
      </c>
      <c r="C944" t="s">
        <v>48</v>
      </c>
      <c r="D944" t="s">
        <v>25</v>
      </c>
      <c r="E944" t="s">
        <v>17</v>
      </c>
      <c r="F944" t="s">
        <v>32</v>
      </c>
      <c r="G944">
        <v>5</v>
      </c>
      <c r="H944">
        <v>4056.72</v>
      </c>
      <c r="I944">
        <v>0.04</v>
      </c>
      <c r="J944">
        <v>19472.259999999998</v>
      </c>
      <c r="K944" t="s">
        <v>33</v>
      </c>
      <c r="L944" t="s">
        <v>20</v>
      </c>
      <c r="M944" t="s">
        <v>21</v>
      </c>
      <c r="N944" t="s">
        <v>22</v>
      </c>
      <c r="O944">
        <f>Table1[[#All],[Quantity]]*Table1[[#All],[Unit Price (?)]]</f>
        <v>20283.599999999999</v>
      </c>
      <c r="P944" t="str">
        <f>TEXT(Table1[[#All],[Order Date]],"dddd")</f>
        <v>Tuesday</v>
      </c>
      <c r="Q944" t="str">
        <f>TEXT(Table1[[#All],[Order Date]],"mmm")</f>
        <v>Feb</v>
      </c>
      <c r="R944" t="str">
        <f>IF(Table1[[#All],[Total Price (?)]]&gt;1000,"High Value","Normal")</f>
        <v>High Value</v>
      </c>
    </row>
    <row r="945" spans="1:18" x14ac:dyDescent="0.3">
      <c r="A945" t="s">
        <v>1006</v>
      </c>
      <c r="B945" s="1">
        <v>45823</v>
      </c>
      <c r="C945" t="s">
        <v>52</v>
      </c>
      <c r="D945" t="s">
        <v>43</v>
      </c>
      <c r="E945" t="s">
        <v>17</v>
      </c>
      <c r="F945" t="s">
        <v>32</v>
      </c>
      <c r="G945">
        <v>4</v>
      </c>
      <c r="H945">
        <v>485.89</v>
      </c>
      <c r="I945">
        <v>0.16</v>
      </c>
      <c r="J945">
        <v>1632.59</v>
      </c>
      <c r="K945" t="s">
        <v>19</v>
      </c>
      <c r="L945" t="s">
        <v>29</v>
      </c>
      <c r="M945" t="s">
        <v>21</v>
      </c>
      <c r="N945" t="s">
        <v>37</v>
      </c>
      <c r="O945">
        <f>Table1[[#All],[Quantity]]*Table1[[#All],[Unit Price (?)]]</f>
        <v>1943.56</v>
      </c>
      <c r="P945" t="str">
        <f>TEXT(Table1[[#All],[Order Date]],"dddd")</f>
        <v>Sunday</v>
      </c>
      <c r="Q945" t="str">
        <f>TEXT(Table1[[#All],[Order Date]],"mmm")</f>
        <v>Jun</v>
      </c>
      <c r="R945" t="str">
        <f>IF(Table1[[#All],[Total Price (?)]]&gt;1000,"High Value","Normal")</f>
        <v>High Value</v>
      </c>
    </row>
    <row r="946" spans="1:18" x14ac:dyDescent="0.3">
      <c r="A946" t="s">
        <v>1007</v>
      </c>
      <c r="B946" s="1">
        <v>45750</v>
      </c>
      <c r="C946" t="s">
        <v>36</v>
      </c>
      <c r="D946" t="s">
        <v>25</v>
      </c>
      <c r="E946" t="s">
        <v>61</v>
      </c>
      <c r="F946" t="s">
        <v>75</v>
      </c>
      <c r="G946">
        <v>5</v>
      </c>
      <c r="H946">
        <v>3291.84</v>
      </c>
      <c r="I946">
        <v>0.23</v>
      </c>
      <c r="J946">
        <v>12673.58</v>
      </c>
      <c r="K946" t="s">
        <v>33</v>
      </c>
      <c r="L946" t="s">
        <v>29</v>
      </c>
      <c r="M946" t="s">
        <v>30</v>
      </c>
      <c r="N946" t="s">
        <v>88</v>
      </c>
      <c r="O946">
        <f>Table1[[#All],[Quantity]]*Table1[[#All],[Unit Price (?)]]</f>
        <v>16459.2</v>
      </c>
      <c r="P946" t="str">
        <f>TEXT(Table1[[#All],[Order Date]],"dddd")</f>
        <v>Thursday</v>
      </c>
      <c r="Q946" t="str">
        <f>TEXT(Table1[[#All],[Order Date]],"mmm")</f>
        <v>Apr</v>
      </c>
      <c r="R946" t="str">
        <f>IF(Table1[[#All],[Total Price (?)]]&gt;1000,"High Value","Normal")</f>
        <v>High Value</v>
      </c>
    </row>
    <row r="947" spans="1:18" x14ac:dyDescent="0.3">
      <c r="A947" t="s">
        <v>1008</v>
      </c>
      <c r="B947" s="1">
        <v>45838</v>
      </c>
      <c r="C947" t="s">
        <v>15</v>
      </c>
      <c r="D947" t="s">
        <v>43</v>
      </c>
      <c r="E947" t="s">
        <v>99</v>
      </c>
      <c r="F947" t="s">
        <v>111</v>
      </c>
      <c r="G947">
        <v>1</v>
      </c>
      <c r="H947">
        <v>4464.33</v>
      </c>
      <c r="I947">
        <v>0.19</v>
      </c>
      <c r="J947">
        <v>3616.11</v>
      </c>
      <c r="K947" t="s">
        <v>33</v>
      </c>
      <c r="L947" t="s">
        <v>34</v>
      </c>
      <c r="M947" t="s">
        <v>30</v>
      </c>
      <c r="N947" t="s">
        <v>22</v>
      </c>
      <c r="O947">
        <f>Table1[[#All],[Quantity]]*Table1[[#All],[Unit Price (?)]]</f>
        <v>4464.33</v>
      </c>
      <c r="P947" t="str">
        <f>TEXT(Table1[[#All],[Order Date]],"dddd")</f>
        <v>Monday</v>
      </c>
      <c r="Q947" t="str">
        <f>TEXT(Table1[[#All],[Order Date]],"mmm")</f>
        <v>Jun</v>
      </c>
      <c r="R947" t="str">
        <f>IF(Table1[[#All],[Total Price (?)]]&gt;1000,"High Value","Normal")</f>
        <v>High Value</v>
      </c>
    </row>
    <row r="948" spans="1:18" x14ac:dyDescent="0.3">
      <c r="A948" t="s">
        <v>1009</v>
      </c>
      <c r="B948" s="1">
        <v>45684</v>
      </c>
      <c r="C948" t="s">
        <v>52</v>
      </c>
      <c r="D948" t="s">
        <v>16</v>
      </c>
      <c r="E948" t="s">
        <v>27</v>
      </c>
      <c r="F948" t="s">
        <v>79</v>
      </c>
      <c r="G948">
        <v>4</v>
      </c>
      <c r="H948">
        <v>577.29</v>
      </c>
      <c r="I948">
        <v>0</v>
      </c>
      <c r="J948">
        <v>2309.16</v>
      </c>
      <c r="K948" t="s">
        <v>33</v>
      </c>
      <c r="L948" t="s">
        <v>29</v>
      </c>
      <c r="M948" t="s">
        <v>30</v>
      </c>
      <c r="N948" t="s">
        <v>22</v>
      </c>
      <c r="O948">
        <f>Table1[[#All],[Quantity]]*Table1[[#All],[Unit Price (?)]]</f>
        <v>2309.16</v>
      </c>
      <c r="P948" t="str">
        <f>TEXT(Table1[[#All],[Order Date]],"dddd")</f>
        <v>Monday</v>
      </c>
      <c r="Q948" t="str">
        <f>TEXT(Table1[[#All],[Order Date]],"mmm")</f>
        <v>Jan</v>
      </c>
      <c r="R948" t="str">
        <f>IF(Table1[[#All],[Total Price (?)]]&gt;1000,"High Value","Normal")</f>
        <v>High Value</v>
      </c>
    </row>
    <row r="949" spans="1:18" x14ac:dyDescent="0.3">
      <c r="A949" t="s">
        <v>1010</v>
      </c>
      <c r="B949" s="1">
        <v>45780</v>
      </c>
      <c r="C949" t="s">
        <v>52</v>
      </c>
      <c r="D949" t="s">
        <v>16</v>
      </c>
      <c r="E949" t="s">
        <v>49</v>
      </c>
      <c r="F949" t="s">
        <v>53</v>
      </c>
      <c r="G949">
        <v>1</v>
      </c>
      <c r="H949">
        <v>1472.57</v>
      </c>
      <c r="I949">
        <v>0.09</v>
      </c>
      <c r="J949">
        <v>1340.04</v>
      </c>
      <c r="K949" t="s">
        <v>46</v>
      </c>
      <c r="L949" t="s">
        <v>20</v>
      </c>
      <c r="M949" t="s">
        <v>54</v>
      </c>
      <c r="N949" t="s">
        <v>22</v>
      </c>
      <c r="O949">
        <f>Table1[[#All],[Quantity]]*Table1[[#All],[Unit Price (?)]]</f>
        <v>1472.57</v>
      </c>
      <c r="P949" t="str">
        <f>TEXT(Table1[[#All],[Order Date]],"dddd")</f>
        <v>Saturday</v>
      </c>
      <c r="Q949" t="str">
        <f>TEXT(Table1[[#All],[Order Date]],"mmm")</f>
        <v>May</v>
      </c>
      <c r="R949" t="str">
        <f>IF(Table1[[#All],[Total Price (?)]]&gt;1000,"High Value","Normal")</f>
        <v>High Value</v>
      </c>
    </row>
    <row r="950" spans="1:18" x14ac:dyDescent="0.3">
      <c r="A950" t="s">
        <v>1011</v>
      </c>
      <c r="B950" s="1">
        <v>45763</v>
      </c>
      <c r="C950" t="s">
        <v>48</v>
      </c>
      <c r="D950" t="s">
        <v>16</v>
      </c>
      <c r="E950" t="s">
        <v>49</v>
      </c>
      <c r="F950" t="s">
        <v>53</v>
      </c>
      <c r="G950">
        <v>2</v>
      </c>
      <c r="H950">
        <v>4705.16</v>
      </c>
      <c r="I950">
        <v>0.24</v>
      </c>
      <c r="J950">
        <v>7151.84</v>
      </c>
      <c r="K950" t="s">
        <v>46</v>
      </c>
      <c r="L950" t="s">
        <v>34</v>
      </c>
      <c r="M950" t="s">
        <v>30</v>
      </c>
      <c r="N950" t="s">
        <v>22</v>
      </c>
      <c r="O950">
        <f>Table1[[#All],[Quantity]]*Table1[[#All],[Unit Price (?)]]</f>
        <v>9410.32</v>
      </c>
      <c r="P950" t="str">
        <f>TEXT(Table1[[#All],[Order Date]],"dddd")</f>
        <v>Wednesday</v>
      </c>
      <c r="Q950" t="str">
        <f>TEXT(Table1[[#All],[Order Date]],"mmm")</f>
        <v>Apr</v>
      </c>
      <c r="R950" t="str">
        <f>IF(Table1[[#All],[Total Price (?)]]&gt;1000,"High Value","Normal")</f>
        <v>High Value</v>
      </c>
    </row>
    <row r="951" spans="1:18" x14ac:dyDescent="0.3">
      <c r="A951" t="s">
        <v>1012</v>
      </c>
      <c r="B951" s="1">
        <v>45665</v>
      </c>
      <c r="C951" t="s">
        <v>48</v>
      </c>
      <c r="D951" t="s">
        <v>39</v>
      </c>
      <c r="E951" t="s">
        <v>99</v>
      </c>
      <c r="F951" t="s">
        <v>115</v>
      </c>
      <c r="G951">
        <v>2</v>
      </c>
      <c r="H951">
        <v>2260.06</v>
      </c>
      <c r="I951">
        <v>0.13</v>
      </c>
      <c r="J951">
        <v>3932.5</v>
      </c>
      <c r="K951" t="s">
        <v>33</v>
      </c>
      <c r="L951" t="s">
        <v>29</v>
      </c>
      <c r="M951" t="s">
        <v>21</v>
      </c>
      <c r="N951" t="s">
        <v>22</v>
      </c>
      <c r="O951">
        <f>Table1[[#All],[Quantity]]*Table1[[#All],[Unit Price (?)]]</f>
        <v>4520.12</v>
      </c>
      <c r="P951" t="str">
        <f>TEXT(Table1[[#All],[Order Date]],"dddd")</f>
        <v>Wednesday</v>
      </c>
      <c r="Q951" t="str">
        <f>TEXT(Table1[[#All],[Order Date]],"mmm")</f>
        <v>Jan</v>
      </c>
      <c r="R951" t="str">
        <f>IF(Table1[[#All],[Total Price (?)]]&gt;1000,"High Value","Normal")</f>
        <v>High Value</v>
      </c>
    </row>
    <row r="952" spans="1:18" x14ac:dyDescent="0.3">
      <c r="A952" t="s">
        <v>1013</v>
      </c>
      <c r="B952" s="1">
        <v>45836</v>
      </c>
      <c r="C952" t="s">
        <v>15</v>
      </c>
      <c r="D952" t="s">
        <v>16</v>
      </c>
      <c r="E952" t="s">
        <v>49</v>
      </c>
      <c r="F952" t="s">
        <v>50</v>
      </c>
      <c r="G952">
        <v>1</v>
      </c>
      <c r="H952">
        <v>3731.11</v>
      </c>
      <c r="I952">
        <v>0.06</v>
      </c>
      <c r="J952">
        <v>3507.24</v>
      </c>
      <c r="K952" t="s">
        <v>58</v>
      </c>
      <c r="L952" t="s">
        <v>29</v>
      </c>
      <c r="M952" t="s">
        <v>21</v>
      </c>
      <c r="N952" t="s">
        <v>22</v>
      </c>
      <c r="O952">
        <f>Table1[[#All],[Quantity]]*Table1[[#All],[Unit Price (?)]]</f>
        <v>3731.11</v>
      </c>
      <c r="P952" t="str">
        <f>TEXT(Table1[[#All],[Order Date]],"dddd")</f>
        <v>Saturday</v>
      </c>
      <c r="Q952" t="str">
        <f>TEXT(Table1[[#All],[Order Date]],"mmm")</f>
        <v>Jun</v>
      </c>
      <c r="R952" t="str">
        <f>IF(Table1[[#All],[Total Price (?)]]&gt;1000,"High Value","Normal")</f>
        <v>High Value</v>
      </c>
    </row>
    <row r="953" spans="1:18" x14ac:dyDescent="0.3">
      <c r="A953" t="s">
        <v>1014</v>
      </c>
      <c r="B953" s="1">
        <v>45736</v>
      </c>
      <c r="C953" t="s">
        <v>48</v>
      </c>
      <c r="D953" t="s">
        <v>16</v>
      </c>
      <c r="E953" t="s">
        <v>17</v>
      </c>
      <c r="F953" t="s">
        <v>32</v>
      </c>
      <c r="G953">
        <v>4</v>
      </c>
      <c r="H953">
        <v>4283.76</v>
      </c>
      <c r="I953">
        <v>0.06</v>
      </c>
      <c r="J953">
        <v>16106.94</v>
      </c>
      <c r="K953" t="s">
        <v>19</v>
      </c>
      <c r="L953" t="s">
        <v>29</v>
      </c>
      <c r="M953" t="s">
        <v>30</v>
      </c>
      <c r="N953" t="s">
        <v>22</v>
      </c>
      <c r="O953">
        <f>Table1[[#All],[Quantity]]*Table1[[#All],[Unit Price (?)]]</f>
        <v>17135.04</v>
      </c>
      <c r="P953" t="str">
        <f>TEXT(Table1[[#All],[Order Date]],"dddd")</f>
        <v>Thursday</v>
      </c>
      <c r="Q953" t="str">
        <f>TEXT(Table1[[#All],[Order Date]],"mmm")</f>
        <v>Mar</v>
      </c>
      <c r="R953" t="str">
        <f>IF(Table1[[#All],[Total Price (?)]]&gt;1000,"High Value","Normal")</f>
        <v>High Value</v>
      </c>
    </row>
    <row r="954" spans="1:18" x14ac:dyDescent="0.3">
      <c r="A954" t="s">
        <v>1015</v>
      </c>
      <c r="B954" s="1">
        <v>45774</v>
      </c>
      <c r="C954" t="s">
        <v>24</v>
      </c>
      <c r="D954" t="s">
        <v>43</v>
      </c>
      <c r="E954" t="s">
        <v>49</v>
      </c>
      <c r="F954" t="s">
        <v>50</v>
      </c>
      <c r="G954">
        <v>1</v>
      </c>
      <c r="H954">
        <v>4595.5600000000004</v>
      </c>
      <c r="I954">
        <v>0.23</v>
      </c>
      <c r="J954">
        <v>3538.58</v>
      </c>
      <c r="K954" t="s">
        <v>58</v>
      </c>
      <c r="L954" t="s">
        <v>20</v>
      </c>
      <c r="M954" t="s">
        <v>30</v>
      </c>
      <c r="N954" t="s">
        <v>22</v>
      </c>
      <c r="O954">
        <f>Table1[[#All],[Quantity]]*Table1[[#All],[Unit Price (?)]]</f>
        <v>4595.5600000000004</v>
      </c>
      <c r="P954" t="str">
        <f>TEXT(Table1[[#All],[Order Date]],"dddd")</f>
        <v>Sunday</v>
      </c>
      <c r="Q954" t="str">
        <f>TEXT(Table1[[#All],[Order Date]],"mmm")</f>
        <v>Apr</v>
      </c>
      <c r="R954" t="str">
        <f>IF(Table1[[#All],[Total Price (?)]]&gt;1000,"High Value","Normal")</f>
        <v>High Value</v>
      </c>
    </row>
    <row r="955" spans="1:18" x14ac:dyDescent="0.3">
      <c r="A955" t="s">
        <v>1016</v>
      </c>
      <c r="B955" s="1">
        <v>45769</v>
      </c>
      <c r="C955" t="s">
        <v>15</v>
      </c>
      <c r="D955" t="s">
        <v>25</v>
      </c>
      <c r="E955" t="s">
        <v>17</v>
      </c>
      <c r="F955" t="s">
        <v>32</v>
      </c>
      <c r="G955">
        <v>2</v>
      </c>
      <c r="H955">
        <v>3541.23</v>
      </c>
      <c r="I955">
        <v>0.12</v>
      </c>
      <c r="J955">
        <v>6232.56</v>
      </c>
      <c r="K955" t="s">
        <v>33</v>
      </c>
      <c r="L955" t="s">
        <v>34</v>
      </c>
      <c r="M955" t="s">
        <v>30</v>
      </c>
      <c r="N955" t="s">
        <v>22</v>
      </c>
      <c r="O955">
        <f>Table1[[#All],[Quantity]]*Table1[[#All],[Unit Price (?)]]</f>
        <v>7082.46</v>
      </c>
      <c r="P955" t="str">
        <f>TEXT(Table1[[#All],[Order Date]],"dddd")</f>
        <v>Tuesday</v>
      </c>
      <c r="Q955" t="str">
        <f>TEXT(Table1[[#All],[Order Date]],"mmm")</f>
        <v>Apr</v>
      </c>
      <c r="R955" t="str">
        <f>IF(Table1[[#All],[Total Price (?)]]&gt;1000,"High Value","Normal")</f>
        <v>High Value</v>
      </c>
    </row>
    <row r="956" spans="1:18" x14ac:dyDescent="0.3">
      <c r="A956" t="s">
        <v>1017</v>
      </c>
      <c r="B956" s="1">
        <v>45788</v>
      </c>
      <c r="C956" t="s">
        <v>52</v>
      </c>
      <c r="D956" t="s">
        <v>16</v>
      </c>
      <c r="E956" t="s">
        <v>61</v>
      </c>
      <c r="F956" t="s">
        <v>92</v>
      </c>
      <c r="G956">
        <v>5</v>
      </c>
      <c r="H956">
        <v>253.48</v>
      </c>
      <c r="I956">
        <v>0.15</v>
      </c>
      <c r="J956">
        <v>1077.29</v>
      </c>
      <c r="K956" t="s">
        <v>19</v>
      </c>
      <c r="L956" t="s">
        <v>34</v>
      </c>
      <c r="M956" t="s">
        <v>30</v>
      </c>
      <c r="N956" t="s">
        <v>37</v>
      </c>
      <c r="O956">
        <f>Table1[[#All],[Quantity]]*Table1[[#All],[Unit Price (?)]]</f>
        <v>1267.3999999999999</v>
      </c>
      <c r="P956" t="str">
        <f>TEXT(Table1[[#All],[Order Date]],"dddd")</f>
        <v>Sunday</v>
      </c>
      <c r="Q956" t="str">
        <f>TEXT(Table1[[#All],[Order Date]],"mmm")</f>
        <v>May</v>
      </c>
      <c r="R956" t="str">
        <f>IF(Table1[[#All],[Total Price (?)]]&gt;1000,"High Value","Normal")</f>
        <v>High Value</v>
      </c>
    </row>
    <row r="957" spans="1:18" x14ac:dyDescent="0.3">
      <c r="A957" t="s">
        <v>1018</v>
      </c>
      <c r="B957" s="1">
        <v>45665</v>
      </c>
      <c r="C957" t="s">
        <v>48</v>
      </c>
      <c r="D957" t="s">
        <v>25</v>
      </c>
      <c r="E957" t="s">
        <v>99</v>
      </c>
      <c r="F957" t="s">
        <v>115</v>
      </c>
      <c r="G957">
        <v>2</v>
      </c>
      <c r="H957">
        <v>4353.3</v>
      </c>
      <c r="I957">
        <v>0.24</v>
      </c>
      <c r="J957">
        <v>6617.02</v>
      </c>
      <c r="K957" t="s">
        <v>19</v>
      </c>
      <c r="L957" t="s">
        <v>20</v>
      </c>
      <c r="M957" t="s">
        <v>21</v>
      </c>
      <c r="N957" t="s">
        <v>22</v>
      </c>
      <c r="O957">
        <f>Table1[[#All],[Quantity]]*Table1[[#All],[Unit Price (?)]]</f>
        <v>8706.6</v>
      </c>
      <c r="P957" t="str">
        <f>TEXT(Table1[[#All],[Order Date]],"dddd")</f>
        <v>Wednesday</v>
      </c>
      <c r="Q957" t="str">
        <f>TEXT(Table1[[#All],[Order Date]],"mmm")</f>
        <v>Jan</v>
      </c>
      <c r="R957" t="str">
        <f>IF(Table1[[#All],[Total Price (?)]]&gt;1000,"High Value","Normal")</f>
        <v>High Value</v>
      </c>
    </row>
    <row r="958" spans="1:18" x14ac:dyDescent="0.3">
      <c r="A958" t="s">
        <v>1019</v>
      </c>
      <c r="B958" s="1">
        <v>45676</v>
      </c>
      <c r="C958" t="s">
        <v>52</v>
      </c>
      <c r="D958" t="s">
        <v>25</v>
      </c>
      <c r="E958" t="s">
        <v>61</v>
      </c>
      <c r="F958" t="s">
        <v>62</v>
      </c>
      <c r="G958">
        <v>4</v>
      </c>
      <c r="H958">
        <v>500.37</v>
      </c>
      <c r="I958">
        <v>0.22</v>
      </c>
      <c r="J958">
        <v>1561.15</v>
      </c>
      <c r="K958" t="s">
        <v>58</v>
      </c>
      <c r="L958" t="s">
        <v>34</v>
      </c>
      <c r="M958" t="s">
        <v>30</v>
      </c>
      <c r="N958" t="s">
        <v>22</v>
      </c>
      <c r="O958">
        <f>Table1[[#All],[Quantity]]*Table1[[#All],[Unit Price (?)]]</f>
        <v>2001.48</v>
      </c>
      <c r="P958" t="str">
        <f>TEXT(Table1[[#All],[Order Date]],"dddd")</f>
        <v>Sunday</v>
      </c>
      <c r="Q958" t="str">
        <f>TEXT(Table1[[#All],[Order Date]],"mmm")</f>
        <v>Jan</v>
      </c>
      <c r="R958" t="str">
        <f>IF(Table1[[#All],[Total Price (?)]]&gt;1000,"High Value","Normal")</f>
        <v>High Value</v>
      </c>
    </row>
    <row r="959" spans="1:18" x14ac:dyDescent="0.3">
      <c r="A959" t="s">
        <v>1020</v>
      </c>
      <c r="B959" s="1">
        <v>45784</v>
      </c>
      <c r="C959" t="s">
        <v>24</v>
      </c>
      <c r="D959" t="s">
        <v>39</v>
      </c>
      <c r="E959" t="s">
        <v>99</v>
      </c>
      <c r="F959" t="s">
        <v>100</v>
      </c>
      <c r="G959">
        <v>3</v>
      </c>
      <c r="H959">
        <v>4820.49</v>
      </c>
      <c r="I959">
        <v>7.0000000000000007E-2</v>
      </c>
      <c r="J959">
        <v>13449.17</v>
      </c>
      <c r="K959" t="s">
        <v>58</v>
      </c>
      <c r="L959" t="s">
        <v>34</v>
      </c>
      <c r="M959" t="s">
        <v>54</v>
      </c>
      <c r="N959" t="s">
        <v>37</v>
      </c>
      <c r="O959">
        <f>Table1[[#All],[Quantity]]*Table1[[#All],[Unit Price (?)]]</f>
        <v>14461.47</v>
      </c>
      <c r="P959" t="str">
        <f>TEXT(Table1[[#All],[Order Date]],"dddd")</f>
        <v>Wednesday</v>
      </c>
      <c r="Q959" t="str">
        <f>TEXT(Table1[[#All],[Order Date]],"mmm")</f>
        <v>May</v>
      </c>
      <c r="R959" t="str">
        <f>IF(Table1[[#All],[Total Price (?)]]&gt;1000,"High Value","Normal")</f>
        <v>High Value</v>
      </c>
    </row>
    <row r="960" spans="1:18" x14ac:dyDescent="0.3">
      <c r="A960" t="s">
        <v>1021</v>
      </c>
      <c r="B960" s="1">
        <v>45743</v>
      </c>
      <c r="C960" t="s">
        <v>36</v>
      </c>
      <c r="D960" t="s">
        <v>16</v>
      </c>
      <c r="E960" t="s">
        <v>49</v>
      </c>
      <c r="F960" t="s">
        <v>50</v>
      </c>
      <c r="G960">
        <v>4</v>
      </c>
      <c r="H960">
        <v>1837.99</v>
      </c>
      <c r="I960">
        <v>0.17</v>
      </c>
      <c r="J960">
        <v>6102.13</v>
      </c>
      <c r="K960" t="s">
        <v>19</v>
      </c>
      <c r="L960" t="s">
        <v>29</v>
      </c>
      <c r="M960" t="s">
        <v>30</v>
      </c>
      <c r="N960" t="s">
        <v>22</v>
      </c>
      <c r="O960">
        <f>Table1[[#All],[Quantity]]*Table1[[#All],[Unit Price (?)]]</f>
        <v>7351.96</v>
      </c>
      <c r="P960" t="str">
        <f>TEXT(Table1[[#All],[Order Date]],"dddd")</f>
        <v>Thursday</v>
      </c>
      <c r="Q960" t="str">
        <f>TEXT(Table1[[#All],[Order Date]],"mmm")</f>
        <v>Mar</v>
      </c>
      <c r="R960" t="str">
        <f>IF(Table1[[#All],[Total Price (?)]]&gt;1000,"High Value","Normal")</f>
        <v>High Value</v>
      </c>
    </row>
    <row r="961" spans="1:18" x14ac:dyDescent="0.3">
      <c r="A961" t="s">
        <v>1022</v>
      </c>
      <c r="B961" s="1">
        <v>45686</v>
      </c>
      <c r="C961" t="s">
        <v>24</v>
      </c>
      <c r="D961" t="s">
        <v>39</v>
      </c>
      <c r="E961" t="s">
        <v>27</v>
      </c>
      <c r="F961" t="s">
        <v>68</v>
      </c>
      <c r="G961">
        <v>2</v>
      </c>
      <c r="H961">
        <v>1686.29</v>
      </c>
      <c r="I961">
        <v>0.25</v>
      </c>
      <c r="J961">
        <v>2529.4299999999998</v>
      </c>
      <c r="K961" t="s">
        <v>33</v>
      </c>
      <c r="L961" t="s">
        <v>29</v>
      </c>
      <c r="M961" t="s">
        <v>21</v>
      </c>
      <c r="N961" t="s">
        <v>22</v>
      </c>
      <c r="O961">
        <f>Table1[[#All],[Quantity]]*Table1[[#All],[Unit Price (?)]]</f>
        <v>3372.58</v>
      </c>
      <c r="P961" t="str">
        <f>TEXT(Table1[[#All],[Order Date]],"dddd")</f>
        <v>Wednesday</v>
      </c>
      <c r="Q961" t="str">
        <f>TEXT(Table1[[#All],[Order Date]],"mmm")</f>
        <v>Jan</v>
      </c>
      <c r="R961" t="str">
        <f>IF(Table1[[#All],[Total Price (?)]]&gt;1000,"High Value","Normal")</f>
        <v>High Value</v>
      </c>
    </row>
    <row r="962" spans="1:18" x14ac:dyDescent="0.3">
      <c r="A962" t="s">
        <v>1023</v>
      </c>
      <c r="B962" s="1">
        <v>45828</v>
      </c>
      <c r="C962" t="s">
        <v>48</v>
      </c>
      <c r="D962" t="s">
        <v>43</v>
      </c>
      <c r="E962" t="s">
        <v>49</v>
      </c>
      <c r="F962" t="s">
        <v>73</v>
      </c>
      <c r="G962">
        <v>4</v>
      </c>
      <c r="H962">
        <v>1387.73</v>
      </c>
      <c r="I962">
        <v>0.18</v>
      </c>
      <c r="J962">
        <v>4551.75</v>
      </c>
      <c r="K962" t="s">
        <v>46</v>
      </c>
      <c r="L962" t="s">
        <v>20</v>
      </c>
      <c r="M962" t="s">
        <v>30</v>
      </c>
      <c r="N962" t="s">
        <v>22</v>
      </c>
      <c r="O962">
        <f>Table1[[#All],[Quantity]]*Table1[[#All],[Unit Price (?)]]</f>
        <v>5550.92</v>
      </c>
      <c r="P962" t="str">
        <f>TEXT(Table1[[#All],[Order Date]],"dddd")</f>
        <v>Friday</v>
      </c>
      <c r="Q962" t="str">
        <f>TEXT(Table1[[#All],[Order Date]],"mmm")</f>
        <v>Jun</v>
      </c>
      <c r="R962" t="str">
        <f>IF(Table1[[#All],[Total Price (?)]]&gt;1000,"High Value","Normal")</f>
        <v>High Value</v>
      </c>
    </row>
    <row r="963" spans="1:18" x14ac:dyDescent="0.3">
      <c r="A963" t="s">
        <v>1024</v>
      </c>
      <c r="B963" s="1">
        <v>45749</v>
      </c>
      <c r="C963" t="s">
        <v>24</v>
      </c>
      <c r="D963" t="s">
        <v>25</v>
      </c>
      <c r="E963" t="s">
        <v>27</v>
      </c>
      <c r="F963" t="s">
        <v>79</v>
      </c>
      <c r="G963">
        <v>2</v>
      </c>
      <c r="H963">
        <v>2158.86</v>
      </c>
      <c r="I963">
        <v>0.14000000000000001</v>
      </c>
      <c r="J963">
        <v>3713.24</v>
      </c>
      <c r="K963" t="s">
        <v>19</v>
      </c>
      <c r="L963" t="s">
        <v>29</v>
      </c>
      <c r="M963" t="s">
        <v>54</v>
      </c>
      <c r="N963" t="s">
        <v>22</v>
      </c>
      <c r="O963">
        <f>Table1[[#All],[Quantity]]*Table1[[#All],[Unit Price (?)]]</f>
        <v>4317.72</v>
      </c>
      <c r="P963" t="str">
        <f>TEXT(Table1[[#All],[Order Date]],"dddd")</f>
        <v>Wednesday</v>
      </c>
      <c r="Q963" t="str">
        <f>TEXT(Table1[[#All],[Order Date]],"mmm")</f>
        <v>Apr</v>
      </c>
      <c r="R963" t="str">
        <f>IF(Table1[[#All],[Total Price (?)]]&gt;1000,"High Value","Normal")</f>
        <v>High Value</v>
      </c>
    </row>
    <row r="964" spans="1:18" x14ac:dyDescent="0.3">
      <c r="A964" t="s">
        <v>1025</v>
      </c>
      <c r="B964" s="1">
        <v>45695</v>
      </c>
      <c r="C964" t="s">
        <v>36</v>
      </c>
      <c r="D964" t="s">
        <v>16</v>
      </c>
      <c r="E964" t="s">
        <v>61</v>
      </c>
      <c r="F964" t="s">
        <v>75</v>
      </c>
      <c r="G964">
        <v>3</v>
      </c>
      <c r="H964">
        <v>179.34</v>
      </c>
      <c r="I964">
        <v>0.22</v>
      </c>
      <c r="J964">
        <v>419.66</v>
      </c>
      <c r="K964" t="s">
        <v>58</v>
      </c>
      <c r="L964" t="s">
        <v>34</v>
      </c>
      <c r="M964" t="s">
        <v>21</v>
      </c>
      <c r="N964" t="s">
        <v>22</v>
      </c>
      <c r="O964">
        <f>Table1[[#All],[Quantity]]*Table1[[#All],[Unit Price (?)]]</f>
        <v>538.02</v>
      </c>
      <c r="P964" t="str">
        <f>TEXT(Table1[[#All],[Order Date]],"dddd")</f>
        <v>Friday</v>
      </c>
      <c r="Q964" t="str">
        <f>TEXT(Table1[[#All],[Order Date]],"mmm")</f>
        <v>Feb</v>
      </c>
      <c r="R964" t="str">
        <f>IF(Table1[[#All],[Total Price (?)]]&gt;1000,"High Value","Normal")</f>
        <v>Normal</v>
      </c>
    </row>
    <row r="965" spans="1:18" x14ac:dyDescent="0.3">
      <c r="A965" t="s">
        <v>1026</v>
      </c>
      <c r="B965" s="1">
        <v>45669</v>
      </c>
      <c r="C965" t="s">
        <v>48</v>
      </c>
      <c r="D965" t="s">
        <v>16</v>
      </c>
      <c r="E965" t="s">
        <v>49</v>
      </c>
      <c r="F965" t="s">
        <v>50</v>
      </c>
      <c r="G965">
        <v>5</v>
      </c>
      <c r="H965">
        <v>2186.66</v>
      </c>
      <c r="I965">
        <v>0.24</v>
      </c>
      <c r="J965">
        <v>8309.31</v>
      </c>
      <c r="K965" t="s">
        <v>46</v>
      </c>
      <c r="L965" t="s">
        <v>34</v>
      </c>
      <c r="M965" t="s">
        <v>30</v>
      </c>
      <c r="N965" t="s">
        <v>37</v>
      </c>
      <c r="O965">
        <f>Table1[[#All],[Quantity]]*Table1[[#All],[Unit Price (?)]]</f>
        <v>10933.3</v>
      </c>
      <c r="P965" t="str">
        <f>TEXT(Table1[[#All],[Order Date]],"dddd")</f>
        <v>Sunday</v>
      </c>
      <c r="Q965" t="str">
        <f>TEXT(Table1[[#All],[Order Date]],"mmm")</f>
        <v>Jan</v>
      </c>
      <c r="R965" t="str">
        <f>IF(Table1[[#All],[Total Price (?)]]&gt;1000,"High Value","Normal")</f>
        <v>High Value</v>
      </c>
    </row>
    <row r="966" spans="1:18" x14ac:dyDescent="0.3">
      <c r="A966" t="s">
        <v>1027</v>
      </c>
      <c r="B966" s="1">
        <v>45710</v>
      </c>
      <c r="C966" t="s">
        <v>15</v>
      </c>
      <c r="D966" t="s">
        <v>25</v>
      </c>
      <c r="E966" t="s">
        <v>49</v>
      </c>
      <c r="F966" t="s">
        <v>50</v>
      </c>
      <c r="G966">
        <v>5</v>
      </c>
      <c r="H966">
        <v>897.02</v>
      </c>
      <c r="I966">
        <v>0.11</v>
      </c>
      <c r="J966">
        <v>3991.74</v>
      </c>
      <c r="K966" t="s">
        <v>19</v>
      </c>
      <c r="L966" t="s">
        <v>29</v>
      </c>
      <c r="M966" t="s">
        <v>30</v>
      </c>
      <c r="N966" t="s">
        <v>22</v>
      </c>
      <c r="O966">
        <f>Table1[[#All],[Quantity]]*Table1[[#All],[Unit Price (?)]]</f>
        <v>4485.1000000000004</v>
      </c>
      <c r="P966" t="str">
        <f>TEXT(Table1[[#All],[Order Date]],"dddd")</f>
        <v>Saturday</v>
      </c>
      <c r="Q966" t="str">
        <f>TEXT(Table1[[#All],[Order Date]],"mmm")</f>
        <v>Feb</v>
      </c>
      <c r="R966" t="str">
        <f>IF(Table1[[#All],[Total Price (?)]]&gt;1000,"High Value","Normal")</f>
        <v>High Value</v>
      </c>
    </row>
    <row r="967" spans="1:18" x14ac:dyDescent="0.3">
      <c r="A967" t="s">
        <v>1028</v>
      </c>
      <c r="B967" s="1">
        <v>45733</v>
      </c>
      <c r="C967" t="s">
        <v>24</v>
      </c>
      <c r="D967" t="s">
        <v>16</v>
      </c>
      <c r="E967" t="s">
        <v>27</v>
      </c>
      <c r="F967" t="s">
        <v>79</v>
      </c>
      <c r="G967">
        <v>1</v>
      </c>
      <c r="H967">
        <v>3119.68</v>
      </c>
      <c r="I967">
        <v>0.1</v>
      </c>
      <c r="J967">
        <v>2807.71</v>
      </c>
      <c r="K967" t="s">
        <v>58</v>
      </c>
      <c r="L967" t="s">
        <v>20</v>
      </c>
      <c r="M967" t="s">
        <v>30</v>
      </c>
      <c r="N967" t="s">
        <v>22</v>
      </c>
      <c r="O967">
        <f>Table1[[#All],[Quantity]]*Table1[[#All],[Unit Price (?)]]</f>
        <v>3119.68</v>
      </c>
      <c r="P967" t="str">
        <f>TEXT(Table1[[#All],[Order Date]],"dddd")</f>
        <v>Monday</v>
      </c>
      <c r="Q967" t="str">
        <f>TEXT(Table1[[#All],[Order Date]],"mmm")</f>
        <v>Mar</v>
      </c>
      <c r="R967" t="str">
        <f>IF(Table1[[#All],[Total Price (?)]]&gt;1000,"High Value","Normal")</f>
        <v>High Value</v>
      </c>
    </row>
    <row r="968" spans="1:18" x14ac:dyDescent="0.3">
      <c r="A968" t="s">
        <v>1029</v>
      </c>
      <c r="B968" s="1">
        <v>45723</v>
      </c>
      <c r="C968" t="s">
        <v>15</v>
      </c>
      <c r="D968" t="s">
        <v>43</v>
      </c>
      <c r="E968" t="s">
        <v>27</v>
      </c>
      <c r="F968" t="s">
        <v>79</v>
      </c>
      <c r="G968">
        <v>2</v>
      </c>
      <c r="H968">
        <v>3906.71</v>
      </c>
      <c r="I968">
        <v>0.14000000000000001</v>
      </c>
      <c r="J968">
        <v>6719.54</v>
      </c>
      <c r="K968" t="s">
        <v>41</v>
      </c>
      <c r="L968" t="s">
        <v>20</v>
      </c>
      <c r="M968" t="s">
        <v>54</v>
      </c>
      <c r="N968" t="s">
        <v>37</v>
      </c>
      <c r="O968">
        <f>Table1[[#All],[Quantity]]*Table1[[#All],[Unit Price (?)]]</f>
        <v>7813.42</v>
      </c>
      <c r="P968" t="str">
        <f>TEXT(Table1[[#All],[Order Date]],"dddd")</f>
        <v>Friday</v>
      </c>
      <c r="Q968" t="str">
        <f>TEXT(Table1[[#All],[Order Date]],"mmm")</f>
        <v>Mar</v>
      </c>
      <c r="R968" t="str">
        <f>IF(Table1[[#All],[Total Price (?)]]&gt;1000,"High Value","Normal")</f>
        <v>High Value</v>
      </c>
    </row>
    <row r="969" spans="1:18" x14ac:dyDescent="0.3">
      <c r="A969" t="s">
        <v>1030</v>
      </c>
      <c r="B969" s="1">
        <v>45701</v>
      </c>
      <c r="C969" t="s">
        <v>48</v>
      </c>
      <c r="D969" t="s">
        <v>39</v>
      </c>
      <c r="E969" t="s">
        <v>17</v>
      </c>
      <c r="F969" t="s">
        <v>32</v>
      </c>
      <c r="G969">
        <v>4</v>
      </c>
      <c r="H969">
        <v>137.27000000000001</v>
      </c>
      <c r="I969">
        <v>0.09</v>
      </c>
      <c r="J969">
        <v>499.66</v>
      </c>
      <c r="K969" t="s">
        <v>41</v>
      </c>
      <c r="L969" t="s">
        <v>29</v>
      </c>
      <c r="M969" t="s">
        <v>54</v>
      </c>
      <c r="N969" t="s">
        <v>22</v>
      </c>
      <c r="O969">
        <f>Table1[[#All],[Quantity]]*Table1[[#All],[Unit Price (?)]]</f>
        <v>549.08000000000004</v>
      </c>
      <c r="P969" t="str">
        <f>TEXT(Table1[[#All],[Order Date]],"dddd")</f>
        <v>Thursday</v>
      </c>
      <c r="Q969" t="str">
        <f>TEXT(Table1[[#All],[Order Date]],"mmm")</f>
        <v>Feb</v>
      </c>
      <c r="R969" t="str">
        <f>IF(Table1[[#All],[Total Price (?)]]&gt;1000,"High Value","Normal")</f>
        <v>Normal</v>
      </c>
    </row>
    <row r="970" spans="1:18" x14ac:dyDescent="0.3">
      <c r="A970" t="s">
        <v>1031</v>
      </c>
      <c r="B970" s="1">
        <v>45748</v>
      </c>
      <c r="C970" t="s">
        <v>48</v>
      </c>
      <c r="D970" t="s">
        <v>39</v>
      </c>
      <c r="E970" t="s">
        <v>99</v>
      </c>
      <c r="F970" t="s">
        <v>111</v>
      </c>
      <c r="G970">
        <v>4</v>
      </c>
      <c r="H970">
        <v>260.11</v>
      </c>
      <c r="I970">
        <v>0.01</v>
      </c>
      <c r="J970">
        <v>1030.04</v>
      </c>
      <c r="K970" t="s">
        <v>19</v>
      </c>
      <c r="L970" t="s">
        <v>20</v>
      </c>
      <c r="M970" t="s">
        <v>30</v>
      </c>
      <c r="N970" t="s">
        <v>22</v>
      </c>
      <c r="O970">
        <f>Table1[[#All],[Quantity]]*Table1[[#All],[Unit Price (?)]]</f>
        <v>1040.44</v>
      </c>
      <c r="P970" t="str">
        <f>TEXT(Table1[[#All],[Order Date]],"dddd")</f>
        <v>Tuesday</v>
      </c>
      <c r="Q970" t="str">
        <f>TEXT(Table1[[#All],[Order Date]],"mmm")</f>
        <v>Apr</v>
      </c>
      <c r="R970" t="str">
        <f>IF(Table1[[#All],[Total Price (?)]]&gt;1000,"High Value","Normal")</f>
        <v>High Value</v>
      </c>
    </row>
    <row r="971" spans="1:18" x14ac:dyDescent="0.3">
      <c r="A971" t="s">
        <v>1032</v>
      </c>
      <c r="B971" s="1">
        <v>45723</v>
      </c>
      <c r="C971" t="s">
        <v>52</v>
      </c>
      <c r="D971" t="s">
        <v>25</v>
      </c>
      <c r="E971" t="s">
        <v>27</v>
      </c>
      <c r="F971" t="s">
        <v>87</v>
      </c>
      <c r="G971">
        <v>2</v>
      </c>
      <c r="H971">
        <v>3119.71</v>
      </c>
      <c r="I971">
        <v>0.1</v>
      </c>
      <c r="J971">
        <v>5615.48</v>
      </c>
      <c r="K971" t="s">
        <v>33</v>
      </c>
      <c r="L971" t="s">
        <v>34</v>
      </c>
      <c r="M971" t="s">
        <v>54</v>
      </c>
      <c r="N971" t="s">
        <v>22</v>
      </c>
      <c r="O971">
        <f>Table1[[#All],[Quantity]]*Table1[[#All],[Unit Price (?)]]</f>
        <v>6239.42</v>
      </c>
      <c r="P971" t="str">
        <f>TEXT(Table1[[#All],[Order Date]],"dddd")</f>
        <v>Friday</v>
      </c>
      <c r="Q971" t="str">
        <f>TEXT(Table1[[#All],[Order Date]],"mmm")</f>
        <v>Mar</v>
      </c>
      <c r="R971" t="str">
        <f>IF(Table1[[#All],[Total Price (?)]]&gt;1000,"High Value","Normal")</f>
        <v>High Value</v>
      </c>
    </row>
    <row r="972" spans="1:18" x14ac:dyDescent="0.3">
      <c r="A972" t="s">
        <v>1033</v>
      </c>
      <c r="B972" s="1">
        <v>45725</v>
      </c>
      <c r="C972" t="s">
        <v>48</v>
      </c>
      <c r="D972" t="s">
        <v>16</v>
      </c>
      <c r="E972" t="s">
        <v>49</v>
      </c>
      <c r="F972" t="s">
        <v>73</v>
      </c>
      <c r="G972">
        <v>2</v>
      </c>
      <c r="H972">
        <v>2243.27</v>
      </c>
      <c r="I972">
        <v>0.02</v>
      </c>
      <c r="J972">
        <v>4396.8100000000004</v>
      </c>
      <c r="K972" t="s">
        <v>46</v>
      </c>
      <c r="L972" t="s">
        <v>29</v>
      </c>
      <c r="M972" t="s">
        <v>54</v>
      </c>
      <c r="N972" t="s">
        <v>22</v>
      </c>
      <c r="O972">
        <f>Table1[[#All],[Quantity]]*Table1[[#All],[Unit Price (?)]]</f>
        <v>4486.54</v>
      </c>
      <c r="P972" t="str">
        <f>TEXT(Table1[[#All],[Order Date]],"dddd")</f>
        <v>Sunday</v>
      </c>
      <c r="Q972" t="str">
        <f>TEXT(Table1[[#All],[Order Date]],"mmm")</f>
        <v>Mar</v>
      </c>
      <c r="R972" t="str">
        <f>IF(Table1[[#All],[Total Price (?)]]&gt;1000,"High Value","Normal")</f>
        <v>High Value</v>
      </c>
    </row>
    <row r="973" spans="1:18" x14ac:dyDescent="0.3">
      <c r="A973" t="s">
        <v>1034</v>
      </c>
      <c r="B973" s="1">
        <v>45807</v>
      </c>
      <c r="C973" t="s">
        <v>36</v>
      </c>
      <c r="D973" t="s">
        <v>43</v>
      </c>
      <c r="E973" t="s">
        <v>49</v>
      </c>
      <c r="F973" t="s">
        <v>53</v>
      </c>
      <c r="G973">
        <v>2</v>
      </c>
      <c r="H973">
        <v>556.95000000000005</v>
      </c>
      <c r="I973">
        <v>0.01</v>
      </c>
      <c r="J973">
        <v>1102.76</v>
      </c>
      <c r="K973" t="s">
        <v>19</v>
      </c>
      <c r="L973" t="s">
        <v>34</v>
      </c>
      <c r="M973" t="s">
        <v>54</v>
      </c>
      <c r="N973" t="s">
        <v>22</v>
      </c>
      <c r="O973">
        <f>Table1[[#All],[Quantity]]*Table1[[#All],[Unit Price (?)]]</f>
        <v>1113.9000000000001</v>
      </c>
      <c r="P973" t="str">
        <f>TEXT(Table1[[#All],[Order Date]],"dddd")</f>
        <v>Friday</v>
      </c>
      <c r="Q973" t="str">
        <f>TEXT(Table1[[#All],[Order Date]],"mmm")</f>
        <v>May</v>
      </c>
      <c r="R973" t="str">
        <f>IF(Table1[[#All],[Total Price (?)]]&gt;1000,"High Value","Normal")</f>
        <v>High Value</v>
      </c>
    </row>
    <row r="974" spans="1:18" x14ac:dyDescent="0.3">
      <c r="A974" t="s">
        <v>1035</v>
      </c>
      <c r="B974" s="1">
        <v>45830</v>
      </c>
      <c r="C974" t="s">
        <v>36</v>
      </c>
      <c r="D974" t="s">
        <v>43</v>
      </c>
      <c r="E974" t="s">
        <v>27</v>
      </c>
      <c r="F974" t="s">
        <v>79</v>
      </c>
      <c r="G974">
        <v>2</v>
      </c>
      <c r="H974">
        <v>4918.7299999999996</v>
      </c>
      <c r="I974">
        <v>0.16</v>
      </c>
      <c r="J974">
        <v>8263.4699999999993</v>
      </c>
      <c r="K974" t="s">
        <v>41</v>
      </c>
      <c r="L974" t="s">
        <v>20</v>
      </c>
      <c r="M974" t="s">
        <v>30</v>
      </c>
      <c r="N974" t="s">
        <v>22</v>
      </c>
      <c r="O974">
        <f>Table1[[#All],[Quantity]]*Table1[[#All],[Unit Price (?)]]</f>
        <v>9837.4599999999991</v>
      </c>
      <c r="P974" t="str">
        <f>TEXT(Table1[[#All],[Order Date]],"dddd")</f>
        <v>Sunday</v>
      </c>
      <c r="Q974" t="str">
        <f>TEXT(Table1[[#All],[Order Date]],"mmm")</f>
        <v>Jun</v>
      </c>
      <c r="R974" t="str">
        <f>IF(Table1[[#All],[Total Price (?)]]&gt;1000,"High Value","Normal")</f>
        <v>High Value</v>
      </c>
    </row>
    <row r="975" spans="1:18" x14ac:dyDescent="0.3">
      <c r="A975" t="s">
        <v>1036</v>
      </c>
      <c r="B975" s="1">
        <v>45733</v>
      </c>
      <c r="C975" t="s">
        <v>52</v>
      </c>
      <c r="D975" t="s">
        <v>16</v>
      </c>
      <c r="E975" t="s">
        <v>61</v>
      </c>
      <c r="F975" t="s">
        <v>66</v>
      </c>
      <c r="G975">
        <v>4</v>
      </c>
      <c r="H975">
        <v>3874.92</v>
      </c>
      <c r="I975">
        <v>0.16</v>
      </c>
      <c r="J975">
        <v>13019.73</v>
      </c>
      <c r="K975" t="s">
        <v>33</v>
      </c>
      <c r="L975" t="s">
        <v>20</v>
      </c>
      <c r="M975" t="s">
        <v>30</v>
      </c>
      <c r="N975" t="s">
        <v>37</v>
      </c>
      <c r="O975">
        <f>Table1[[#All],[Quantity]]*Table1[[#All],[Unit Price (?)]]</f>
        <v>15499.68</v>
      </c>
      <c r="P975" t="str">
        <f>TEXT(Table1[[#All],[Order Date]],"dddd")</f>
        <v>Monday</v>
      </c>
      <c r="Q975" t="str">
        <f>TEXT(Table1[[#All],[Order Date]],"mmm")</f>
        <v>Mar</v>
      </c>
      <c r="R975" t="str">
        <f>IF(Table1[[#All],[Total Price (?)]]&gt;1000,"High Value","Normal")</f>
        <v>High Value</v>
      </c>
    </row>
    <row r="976" spans="1:18" x14ac:dyDescent="0.3">
      <c r="A976" t="s">
        <v>1037</v>
      </c>
      <c r="B976" s="1">
        <v>45714</v>
      </c>
      <c r="C976" t="s">
        <v>24</v>
      </c>
      <c r="D976" t="s">
        <v>16</v>
      </c>
      <c r="E976" t="s">
        <v>17</v>
      </c>
      <c r="F976" t="s">
        <v>18</v>
      </c>
      <c r="G976">
        <v>1</v>
      </c>
      <c r="H976">
        <v>624.67999999999995</v>
      </c>
      <c r="I976">
        <v>7.0000000000000007E-2</v>
      </c>
      <c r="J976">
        <v>580.95000000000005</v>
      </c>
      <c r="K976" t="s">
        <v>41</v>
      </c>
      <c r="L976" t="s">
        <v>29</v>
      </c>
      <c r="M976" t="s">
        <v>54</v>
      </c>
      <c r="N976" t="s">
        <v>22</v>
      </c>
      <c r="O976">
        <f>Table1[[#All],[Quantity]]*Table1[[#All],[Unit Price (?)]]</f>
        <v>624.67999999999995</v>
      </c>
      <c r="P976" t="str">
        <f>TEXT(Table1[[#All],[Order Date]],"dddd")</f>
        <v>Wednesday</v>
      </c>
      <c r="Q976" t="str">
        <f>TEXT(Table1[[#All],[Order Date]],"mmm")</f>
        <v>Feb</v>
      </c>
      <c r="R976" t="str">
        <f>IF(Table1[[#All],[Total Price (?)]]&gt;1000,"High Value","Normal")</f>
        <v>Normal</v>
      </c>
    </row>
    <row r="977" spans="1:18" x14ac:dyDescent="0.3">
      <c r="A977" t="s">
        <v>1038</v>
      </c>
      <c r="B977" s="1">
        <v>45806</v>
      </c>
      <c r="C977" t="s">
        <v>48</v>
      </c>
      <c r="D977" t="s">
        <v>16</v>
      </c>
      <c r="E977" t="s">
        <v>99</v>
      </c>
      <c r="F977" t="s">
        <v>100</v>
      </c>
      <c r="G977">
        <v>1</v>
      </c>
      <c r="H977">
        <v>2127.35</v>
      </c>
      <c r="I977">
        <v>0.12</v>
      </c>
      <c r="J977">
        <v>1872.07</v>
      </c>
      <c r="K977" t="s">
        <v>58</v>
      </c>
      <c r="L977" t="s">
        <v>34</v>
      </c>
      <c r="M977" t="s">
        <v>21</v>
      </c>
      <c r="N977" t="s">
        <v>22</v>
      </c>
      <c r="O977">
        <f>Table1[[#All],[Quantity]]*Table1[[#All],[Unit Price (?)]]</f>
        <v>2127.35</v>
      </c>
      <c r="P977" t="str">
        <f>TEXT(Table1[[#All],[Order Date]],"dddd")</f>
        <v>Thursday</v>
      </c>
      <c r="Q977" t="str">
        <f>TEXT(Table1[[#All],[Order Date]],"mmm")</f>
        <v>May</v>
      </c>
      <c r="R977" t="str">
        <f>IF(Table1[[#All],[Total Price (?)]]&gt;1000,"High Value","Normal")</f>
        <v>High Value</v>
      </c>
    </row>
    <row r="978" spans="1:18" x14ac:dyDescent="0.3">
      <c r="A978" t="s">
        <v>1039</v>
      </c>
      <c r="B978" s="1">
        <v>45821</v>
      </c>
      <c r="C978" t="s">
        <v>15</v>
      </c>
      <c r="D978" t="s">
        <v>16</v>
      </c>
      <c r="E978" t="s">
        <v>49</v>
      </c>
      <c r="F978" t="s">
        <v>50</v>
      </c>
      <c r="G978">
        <v>2</v>
      </c>
      <c r="H978">
        <v>1563.9</v>
      </c>
      <c r="I978">
        <v>0.23</v>
      </c>
      <c r="J978">
        <v>2408.41</v>
      </c>
      <c r="K978" t="s">
        <v>41</v>
      </c>
      <c r="L978" t="s">
        <v>20</v>
      </c>
      <c r="M978" t="s">
        <v>21</v>
      </c>
      <c r="N978" t="s">
        <v>22</v>
      </c>
      <c r="O978">
        <f>Table1[[#All],[Quantity]]*Table1[[#All],[Unit Price (?)]]</f>
        <v>3127.8</v>
      </c>
      <c r="P978" t="str">
        <f>TEXT(Table1[[#All],[Order Date]],"dddd")</f>
        <v>Friday</v>
      </c>
      <c r="Q978" t="str">
        <f>TEXT(Table1[[#All],[Order Date]],"mmm")</f>
        <v>Jun</v>
      </c>
      <c r="R978" t="str">
        <f>IF(Table1[[#All],[Total Price (?)]]&gt;1000,"High Value","Normal")</f>
        <v>High Value</v>
      </c>
    </row>
    <row r="979" spans="1:18" x14ac:dyDescent="0.3">
      <c r="A979" t="s">
        <v>1040</v>
      </c>
      <c r="B979" s="1">
        <v>45741</v>
      </c>
      <c r="C979" t="s">
        <v>48</v>
      </c>
      <c r="D979" t="s">
        <v>16</v>
      </c>
      <c r="E979" t="s">
        <v>99</v>
      </c>
      <c r="F979" t="s">
        <v>111</v>
      </c>
      <c r="G979">
        <v>5</v>
      </c>
      <c r="H979">
        <v>124.57</v>
      </c>
      <c r="I979">
        <v>0.13</v>
      </c>
      <c r="J979">
        <v>541.88</v>
      </c>
      <c r="K979" t="s">
        <v>33</v>
      </c>
      <c r="L979" t="s">
        <v>29</v>
      </c>
      <c r="M979" t="s">
        <v>30</v>
      </c>
      <c r="N979" t="s">
        <v>22</v>
      </c>
      <c r="O979">
        <f>Table1[[#All],[Quantity]]*Table1[[#All],[Unit Price (?)]]</f>
        <v>622.84999999999991</v>
      </c>
      <c r="P979" t="str">
        <f>TEXT(Table1[[#All],[Order Date]],"dddd")</f>
        <v>Tuesday</v>
      </c>
      <c r="Q979" t="str">
        <f>TEXT(Table1[[#All],[Order Date]],"mmm")</f>
        <v>Mar</v>
      </c>
      <c r="R979" t="str">
        <f>IF(Table1[[#All],[Total Price (?)]]&gt;1000,"High Value","Normal")</f>
        <v>Normal</v>
      </c>
    </row>
    <row r="980" spans="1:18" x14ac:dyDescent="0.3">
      <c r="A980" t="s">
        <v>1041</v>
      </c>
      <c r="B980" s="1">
        <v>45708</v>
      </c>
      <c r="C980" t="s">
        <v>36</v>
      </c>
      <c r="D980" t="s">
        <v>16</v>
      </c>
      <c r="E980" t="s">
        <v>17</v>
      </c>
      <c r="F980" t="s">
        <v>18</v>
      </c>
      <c r="G980">
        <v>2</v>
      </c>
      <c r="H980">
        <v>4347.68</v>
      </c>
      <c r="I980">
        <v>0.03</v>
      </c>
      <c r="J980">
        <v>8434.5</v>
      </c>
      <c r="K980" t="s">
        <v>33</v>
      </c>
      <c r="L980" t="s">
        <v>20</v>
      </c>
      <c r="M980" t="s">
        <v>54</v>
      </c>
      <c r="N980" t="s">
        <v>22</v>
      </c>
      <c r="O980">
        <f>Table1[[#All],[Quantity]]*Table1[[#All],[Unit Price (?)]]</f>
        <v>8695.36</v>
      </c>
      <c r="P980" t="str">
        <f>TEXT(Table1[[#All],[Order Date]],"dddd")</f>
        <v>Thursday</v>
      </c>
      <c r="Q980" t="str">
        <f>TEXT(Table1[[#All],[Order Date]],"mmm")</f>
        <v>Feb</v>
      </c>
      <c r="R980" t="str">
        <f>IF(Table1[[#All],[Total Price (?)]]&gt;1000,"High Value","Normal")</f>
        <v>High Value</v>
      </c>
    </row>
    <row r="981" spans="1:18" x14ac:dyDescent="0.3">
      <c r="A981" t="s">
        <v>1042</v>
      </c>
      <c r="B981" s="1">
        <v>45822</v>
      </c>
      <c r="C981" t="s">
        <v>52</v>
      </c>
      <c r="D981" t="s">
        <v>39</v>
      </c>
      <c r="E981" t="s">
        <v>61</v>
      </c>
      <c r="F981" t="s">
        <v>62</v>
      </c>
      <c r="G981">
        <v>4</v>
      </c>
      <c r="H981">
        <v>1076.26</v>
      </c>
      <c r="I981">
        <v>0.02</v>
      </c>
      <c r="J981">
        <v>4218.9399999999996</v>
      </c>
      <c r="K981" t="s">
        <v>46</v>
      </c>
      <c r="L981" t="s">
        <v>34</v>
      </c>
      <c r="M981" t="s">
        <v>21</v>
      </c>
      <c r="N981" t="s">
        <v>22</v>
      </c>
      <c r="O981">
        <f>Table1[[#All],[Quantity]]*Table1[[#All],[Unit Price (?)]]</f>
        <v>4305.04</v>
      </c>
      <c r="P981" t="str">
        <f>TEXT(Table1[[#All],[Order Date]],"dddd")</f>
        <v>Saturday</v>
      </c>
      <c r="Q981" t="str">
        <f>TEXT(Table1[[#All],[Order Date]],"mmm")</f>
        <v>Jun</v>
      </c>
      <c r="R981" t="str">
        <f>IF(Table1[[#All],[Total Price (?)]]&gt;1000,"High Value","Normal")</f>
        <v>High Value</v>
      </c>
    </row>
    <row r="982" spans="1:18" x14ac:dyDescent="0.3">
      <c r="A982" t="s">
        <v>1043</v>
      </c>
      <c r="B982" s="1">
        <v>45675</v>
      </c>
      <c r="C982" t="s">
        <v>36</v>
      </c>
      <c r="D982" t="s">
        <v>39</v>
      </c>
      <c r="E982" t="s">
        <v>49</v>
      </c>
      <c r="F982" t="s">
        <v>50</v>
      </c>
      <c r="G982">
        <v>3</v>
      </c>
      <c r="H982">
        <v>947.5</v>
      </c>
      <c r="I982">
        <v>0.17</v>
      </c>
      <c r="J982">
        <v>2359.2800000000002</v>
      </c>
      <c r="K982" t="s">
        <v>41</v>
      </c>
      <c r="L982" t="s">
        <v>20</v>
      </c>
      <c r="M982" t="s">
        <v>21</v>
      </c>
      <c r="N982" t="s">
        <v>59</v>
      </c>
      <c r="O982">
        <f>Table1[[#All],[Quantity]]*Table1[[#All],[Unit Price (?)]]</f>
        <v>2842.5</v>
      </c>
      <c r="P982" t="str">
        <f>TEXT(Table1[[#All],[Order Date]],"dddd")</f>
        <v>Saturday</v>
      </c>
      <c r="Q982" t="str">
        <f>TEXT(Table1[[#All],[Order Date]],"mmm")</f>
        <v>Jan</v>
      </c>
      <c r="R982" t="str">
        <f>IF(Table1[[#All],[Total Price (?)]]&gt;1000,"High Value","Normal")</f>
        <v>High Value</v>
      </c>
    </row>
    <row r="983" spans="1:18" x14ac:dyDescent="0.3">
      <c r="A983" t="s">
        <v>1044</v>
      </c>
      <c r="B983" s="1">
        <v>45751</v>
      </c>
      <c r="C983" t="s">
        <v>52</v>
      </c>
      <c r="D983" t="s">
        <v>39</v>
      </c>
      <c r="E983" t="s">
        <v>17</v>
      </c>
      <c r="F983" t="s">
        <v>32</v>
      </c>
      <c r="G983">
        <v>4</v>
      </c>
      <c r="H983">
        <v>2224.0100000000002</v>
      </c>
      <c r="I983">
        <v>0.11</v>
      </c>
      <c r="J983">
        <v>7917.48</v>
      </c>
      <c r="K983" t="s">
        <v>19</v>
      </c>
      <c r="L983" t="s">
        <v>29</v>
      </c>
      <c r="M983" t="s">
        <v>21</v>
      </c>
      <c r="N983" t="s">
        <v>88</v>
      </c>
      <c r="O983">
        <f>Table1[[#All],[Quantity]]*Table1[[#All],[Unit Price (?)]]</f>
        <v>8896.0400000000009</v>
      </c>
      <c r="P983" t="str">
        <f>TEXT(Table1[[#All],[Order Date]],"dddd")</f>
        <v>Friday</v>
      </c>
      <c r="Q983" t="str">
        <f>TEXT(Table1[[#All],[Order Date]],"mmm")</f>
        <v>Apr</v>
      </c>
      <c r="R983" t="str">
        <f>IF(Table1[[#All],[Total Price (?)]]&gt;1000,"High Value","Normal")</f>
        <v>High Value</v>
      </c>
    </row>
    <row r="984" spans="1:18" x14ac:dyDescent="0.3">
      <c r="A984" t="s">
        <v>1045</v>
      </c>
      <c r="B984" s="1">
        <v>45663</v>
      </c>
      <c r="C984" t="s">
        <v>36</v>
      </c>
      <c r="D984" t="s">
        <v>16</v>
      </c>
      <c r="E984" t="s">
        <v>27</v>
      </c>
      <c r="F984" t="s">
        <v>79</v>
      </c>
      <c r="G984">
        <v>2</v>
      </c>
      <c r="H984">
        <v>2879</v>
      </c>
      <c r="I984">
        <v>0.09</v>
      </c>
      <c r="J984">
        <v>5239.78</v>
      </c>
      <c r="K984" t="s">
        <v>41</v>
      </c>
      <c r="L984" t="s">
        <v>34</v>
      </c>
      <c r="M984" t="s">
        <v>21</v>
      </c>
      <c r="N984" t="s">
        <v>22</v>
      </c>
      <c r="O984">
        <f>Table1[[#All],[Quantity]]*Table1[[#All],[Unit Price (?)]]</f>
        <v>5758</v>
      </c>
      <c r="P984" t="str">
        <f>TEXT(Table1[[#All],[Order Date]],"dddd")</f>
        <v>Monday</v>
      </c>
      <c r="Q984" t="str">
        <f>TEXT(Table1[[#All],[Order Date]],"mmm")</f>
        <v>Jan</v>
      </c>
      <c r="R984" t="str">
        <f>IF(Table1[[#All],[Total Price (?)]]&gt;1000,"High Value","Normal")</f>
        <v>High Value</v>
      </c>
    </row>
    <row r="985" spans="1:18" x14ac:dyDescent="0.3">
      <c r="A985" t="s">
        <v>1046</v>
      </c>
      <c r="B985" s="1">
        <v>45805</v>
      </c>
      <c r="C985" t="s">
        <v>36</v>
      </c>
      <c r="D985" t="s">
        <v>39</v>
      </c>
      <c r="E985" t="s">
        <v>17</v>
      </c>
      <c r="F985" t="s">
        <v>32</v>
      </c>
      <c r="G985">
        <v>5</v>
      </c>
      <c r="H985">
        <v>4150.76</v>
      </c>
      <c r="I985">
        <v>0.16</v>
      </c>
      <c r="J985">
        <v>17433.189999999999</v>
      </c>
      <c r="K985" t="s">
        <v>41</v>
      </c>
      <c r="L985" t="s">
        <v>34</v>
      </c>
      <c r="M985" t="s">
        <v>21</v>
      </c>
      <c r="N985" t="s">
        <v>22</v>
      </c>
      <c r="O985">
        <f>Table1[[#All],[Quantity]]*Table1[[#All],[Unit Price (?)]]</f>
        <v>20753.800000000003</v>
      </c>
      <c r="P985" t="str">
        <f>TEXT(Table1[[#All],[Order Date]],"dddd")</f>
        <v>Wednesday</v>
      </c>
      <c r="Q985" t="str">
        <f>TEXT(Table1[[#All],[Order Date]],"mmm")</f>
        <v>May</v>
      </c>
      <c r="R985" t="str">
        <f>IF(Table1[[#All],[Total Price (?)]]&gt;1000,"High Value","Normal")</f>
        <v>High Value</v>
      </c>
    </row>
    <row r="986" spans="1:18" x14ac:dyDescent="0.3">
      <c r="A986" t="s">
        <v>1047</v>
      </c>
      <c r="B986" s="1">
        <v>45764</v>
      </c>
      <c r="C986" t="s">
        <v>15</v>
      </c>
      <c r="D986" t="s">
        <v>39</v>
      </c>
      <c r="E986" t="s">
        <v>17</v>
      </c>
      <c r="F986" t="s">
        <v>44</v>
      </c>
      <c r="G986">
        <v>3</v>
      </c>
      <c r="H986">
        <v>1302.06</v>
      </c>
      <c r="I986">
        <v>0.05</v>
      </c>
      <c r="J986">
        <v>3710.87</v>
      </c>
      <c r="K986" t="s">
        <v>41</v>
      </c>
      <c r="L986" t="s">
        <v>20</v>
      </c>
      <c r="M986" t="s">
        <v>30</v>
      </c>
      <c r="N986" t="s">
        <v>22</v>
      </c>
      <c r="O986">
        <f>Table1[[#All],[Quantity]]*Table1[[#All],[Unit Price (?)]]</f>
        <v>3906.18</v>
      </c>
      <c r="P986" t="str">
        <f>TEXT(Table1[[#All],[Order Date]],"dddd")</f>
        <v>Thursday</v>
      </c>
      <c r="Q986" t="str">
        <f>TEXT(Table1[[#All],[Order Date]],"mmm")</f>
        <v>Apr</v>
      </c>
      <c r="R986" t="str">
        <f>IF(Table1[[#All],[Total Price (?)]]&gt;1000,"High Value","Normal")</f>
        <v>High Value</v>
      </c>
    </row>
    <row r="987" spans="1:18" x14ac:dyDescent="0.3">
      <c r="A987" t="s">
        <v>1048</v>
      </c>
      <c r="B987" s="1">
        <v>45670</v>
      </c>
      <c r="C987" t="s">
        <v>24</v>
      </c>
      <c r="D987" t="s">
        <v>39</v>
      </c>
      <c r="E987" t="s">
        <v>99</v>
      </c>
      <c r="F987" t="s">
        <v>120</v>
      </c>
      <c r="G987">
        <v>1</v>
      </c>
      <c r="H987">
        <v>3612.33</v>
      </c>
      <c r="I987">
        <v>0.05</v>
      </c>
      <c r="J987">
        <v>3431.71</v>
      </c>
      <c r="K987" t="s">
        <v>46</v>
      </c>
      <c r="L987" t="s">
        <v>29</v>
      </c>
      <c r="M987" t="s">
        <v>21</v>
      </c>
      <c r="N987" t="s">
        <v>37</v>
      </c>
      <c r="O987">
        <f>Table1[[#All],[Quantity]]*Table1[[#All],[Unit Price (?)]]</f>
        <v>3612.33</v>
      </c>
      <c r="P987" t="str">
        <f>TEXT(Table1[[#All],[Order Date]],"dddd")</f>
        <v>Monday</v>
      </c>
      <c r="Q987" t="str">
        <f>TEXT(Table1[[#All],[Order Date]],"mmm")</f>
        <v>Jan</v>
      </c>
      <c r="R987" t="str">
        <f>IF(Table1[[#All],[Total Price (?)]]&gt;1000,"High Value","Normal")</f>
        <v>High Value</v>
      </c>
    </row>
    <row r="988" spans="1:18" x14ac:dyDescent="0.3">
      <c r="A988" t="s">
        <v>1049</v>
      </c>
      <c r="B988" s="1">
        <v>45727</v>
      </c>
      <c r="C988" t="s">
        <v>48</v>
      </c>
      <c r="D988" t="s">
        <v>16</v>
      </c>
      <c r="E988" t="s">
        <v>27</v>
      </c>
      <c r="F988" t="s">
        <v>79</v>
      </c>
      <c r="G988">
        <v>2</v>
      </c>
      <c r="H988">
        <v>2683.59</v>
      </c>
      <c r="I988">
        <v>0.03</v>
      </c>
      <c r="J988">
        <v>5206.16</v>
      </c>
      <c r="K988" t="s">
        <v>46</v>
      </c>
      <c r="L988" t="s">
        <v>29</v>
      </c>
      <c r="M988" t="s">
        <v>30</v>
      </c>
      <c r="N988" t="s">
        <v>22</v>
      </c>
      <c r="O988">
        <f>Table1[[#All],[Quantity]]*Table1[[#All],[Unit Price (?)]]</f>
        <v>5367.18</v>
      </c>
      <c r="P988" t="str">
        <f>TEXT(Table1[[#All],[Order Date]],"dddd")</f>
        <v>Tuesday</v>
      </c>
      <c r="Q988" t="str">
        <f>TEXT(Table1[[#All],[Order Date]],"mmm")</f>
        <v>Mar</v>
      </c>
      <c r="R988" t="str">
        <f>IF(Table1[[#All],[Total Price (?)]]&gt;1000,"High Value","Normal")</f>
        <v>High Value</v>
      </c>
    </row>
    <row r="989" spans="1:18" x14ac:dyDescent="0.3">
      <c r="A989" t="s">
        <v>1050</v>
      </c>
      <c r="B989" s="1">
        <v>45703</v>
      </c>
      <c r="C989" t="s">
        <v>15</v>
      </c>
      <c r="D989" t="s">
        <v>39</v>
      </c>
      <c r="E989" t="s">
        <v>49</v>
      </c>
      <c r="F989" t="s">
        <v>50</v>
      </c>
      <c r="G989">
        <v>2</v>
      </c>
      <c r="H989">
        <v>343.33</v>
      </c>
      <c r="I989">
        <v>0.12</v>
      </c>
      <c r="J989">
        <v>604.26</v>
      </c>
      <c r="K989" t="s">
        <v>46</v>
      </c>
      <c r="L989" t="s">
        <v>20</v>
      </c>
      <c r="M989" t="s">
        <v>54</v>
      </c>
      <c r="N989" t="s">
        <v>22</v>
      </c>
      <c r="O989">
        <f>Table1[[#All],[Quantity]]*Table1[[#All],[Unit Price (?)]]</f>
        <v>686.66</v>
      </c>
      <c r="P989" t="str">
        <f>TEXT(Table1[[#All],[Order Date]],"dddd")</f>
        <v>Saturday</v>
      </c>
      <c r="Q989" t="str">
        <f>TEXT(Table1[[#All],[Order Date]],"mmm")</f>
        <v>Feb</v>
      </c>
      <c r="R989" t="str">
        <f>IF(Table1[[#All],[Total Price (?)]]&gt;1000,"High Value","Normal")</f>
        <v>Normal</v>
      </c>
    </row>
    <row r="990" spans="1:18" x14ac:dyDescent="0.3">
      <c r="A990" t="s">
        <v>1051</v>
      </c>
      <c r="B990" s="1">
        <v>45786</v>
      </c>
      <c r="C990" t="s">
        <v>52</v>
      </c>
      <c r="D990" t="s">
        <v>16</v>
      </c>
      <c r="E990" t="s">
        <v>17</v>
      </c>
      <c r="F990" t="s">
        <v>40</v>
      </c>
      <c r="G990">
        <v>5</v>
      </c>
      <c r="H990">
        <v>1976</v>
      </c>
      <c r="I990">
        <v>0.14000000000000001</v>
      </c>
      <c r="J990">
        <v>8496.7999999999993</v>
      </c>
      <c r="K990" t="s">
        <v>33</v>
      </c>
      <c r="L990" t="s">
        <v>34</v>
      </c>
      <c r="M990" t="s">
        <v>30</v>
      </c>
      <c r="N990" t="s">
        <v>22</v>
      </c>
      <c r="O990">
        <f>Table1[[#All],[Quantity]]*Table1[[#All],[Unit Price (?)]]</f>
        <v>9880</v>
      </c>
      <c r="P990" t="str">
        <f>TEXT(Table1[[#All],[Order Date]],"dddd")</f>
        <v>Friday</v>
      </c>
      <c r="Q990" t="str">
        <f>TEXT(Table1[[#All],[Order Date]],"mmm")</f>
        <v>May</v>
      </c>
      <c r="R990" t="str">
        <f>IF(Table1[[#All],[Total Price (?)]]&gt;1000,"High Value","Normal")</f>
        <v>High Value</v>
      </c>
    </row>
    <row r="991" spans="1:18" x14ac:dyDescent="0.3">
      <c r="A991" t="s">
        <v>1052</v>
      </c>
      <c r="B991" s="1">
        <v>45673</v>
      </c>
      <c r="C991" t="s">
        <v>48</v>
      </c>
      <c r="D991" t="s">
        <v>16</v>
      </c>
      <c r="E991" t="s">
        <v>27</v>
      </c>
      <c r="F991" t="s">
        <v>79</v>
      </c>
      <c r="G991">
        <v>4</v>
      </c>
      <c r="H991">
        <v>281.33999999999997</v>
      </c>
      <c r="I991">
        <v>0.13</v>
      </c>
      <c r="J991">
        <v>979.06</v>
      </c>
      <c r="K991" t="s">
        <v>46</v>
      </c>
      <c r="L991" t="s">
        <v>20</v>
      </c>
      <c r="M991" t="s">
        <v>21</v>
      </c>
      <c r="N991" t="s">
        <v>22</v>
      </c>
      <c r="O991">
        <f>Table1[[#All],[Quantity]]*Table1[[#All],[Unit Price (?)]]</f>
        <v>1125.3599999999999</v>
      </c>
      <c r="P991" t="str">
        <f>TEXT(Table1[[#All],[Order Date]],"dddd")</f>
        <v>Thursday</v>
      </c>
      <c r="Q991" t="str">
        <f>TEXT(Table1[[#All],[Order Date]],"mmm")</f>
        <v>Jan</v>
      </c>
      <c r="R991" t="str">
        <f>IF(Table1[[#All],[Total Price (?)]]&gt;1000,"High Value","Normal")</f>
        <v>Normal</v>
      </c>
    </row>
    <row r="992" spans="1:18" x14ac:dyDescent="0.3">
      <c r="A992" t="s">
        <v>1053</v>
      </c>
      <c r="B992" s="1">
        <v>45811</v>
      </c>
      <c r="C992" t="s">
        <v>48</v>
      </c>
      <c r="D992" t="s">
        <v>16</v>
      </c>
      <c r="E992" t="s">
        <v>17</v>
      </c>
      <c r="F992" t="s">
        <v>18</v>
      </c>
      <c r="G992">
        <v>3</v>
      </c>
      <c r="H992">
        <v>1445.9</v>
      </c>
      <c r="I992">
        <v>0.19</v>
      </c>
      <c r="J992">
        <v>3513.54</v>
      </c>
      <c r="K992" t="s">
        <v>58</v>
      </c>
      <c r="L992" t="s">
        <v>34</v>
      </c>
      <c r="M992" t="s">
        <v>30</v>
      </c>
      <c r="N992" t="s">
        <v>22</v>
      </c>
      <c r="O992">
        <f>Table1[[#All],[Quantity]]*Table1[[#All],[Unit Price (?)]]</f>
        <v>4337.7000000000007</v>
      </c>
      <c r="P992" t="str">
        <f>TEXT(Table1[[#All],[Order Date]],"dddd")</f>
        <v>Tuesday</v>
      </c>
      <c r="Q992" t="str">
        <f>TEXT(Table1[[#All],[Order Date]],"mmm")</f>
        <v>Jun</v>
      </c>
      <c r="R992" t="str">
        <f>IF(Table1[[#All],[Total Price (?)]]&gt;1000,"High Value","Normal")</f>
        <v>High Value</v>
      </c>
    </row>
    <row r="993" spans="1:18" x14ac:dyDescent="0.3">
      <c r="A993" t="s">
        <v>1054</v>
      </c>
      <c r="B993" s="1">
        <v>45786</v>
      </c>
      <c r="C993" t="s">
        <v>36</v>
      </c>
      <c r="D993" t="s">
        <v>16</v>
      </c>
      <c r="E993" t="s">
        <v>99</v>
      </c>
      <c r="F993" t="s">
        <v>115</v>
      </c>
      <c r="G993">
        <v>3</v>
      </c>
      <c r="H993">
        <v>3512.64</v>
      </c>
      <c r="I993">
        <v>0.11</v>
      </c>
      <c r="J993">
        <v>9378.75</v>
      </c>
      <c r="K993" t="s">
        <v>58</v>
      </c>
      <c r="L993" t="s">
        <v>34</v>
      </c>
      <c r="M993" t="s">
        <v>21</v>
      </c>
      <c r="N993" t="s">
        <v>88</v>
      </c>
      <c r="O993">
        <f>Table1[[#All],[Quantity]]*Table1[[#All],[Unit Price (?)]]</f>
        <v>10537.92</v>
      </c>
      <c r="P993" t="str">
        <f>TEXT(Table1[[#All],[Order Date]],"dddd")</f>
        <v>Friday</v>
      </c>
      <c r="Q993" t="str">
        <f>TEXT(Table1[[#All],[Order Date]],"mmm")</f>
        <v>May</v>
      </c>
      <c r="R993" t="str">
        <f>IF(Table1[[#All],[Total Price (?)]]&gt;1000,"High Value","Normal")</f>
        <v>High Value</v>
      </c>
    </row>
    <row r="994" spans="1:18" x14ac:dyDescent="0.3">
      <c r="A994" t="s">
        <v>1055</v>
      </c>
      <c r="B994" s="1">
        <v>45667</v>
      </c>
      <c r="C994" t="s">
        <v>24</v>
      </c>
      <c r="D994" t="s">
        <v>25</v>
      </c>
      <c r="E994" t="s">
        <v>27</v>
      </c>
      <c r="F994" t="s">
        <v>79</v>
      </c>
      <c r="G994">
        <v>1</v>
      </c>
      <c r="H994">
        <v>779.8</v>
      </c>
      <c r="I994">
        <v>0.25</v>
      </c>
      <c r="J994">
        <v>584.85</v>
      </c>
      <c r="K994" t="s">
        <v>19</v>
      </c>
      <c r="L994" t="s">
        <v>20</v>
      </c>
      <c r="M994" t="s">
        <v>21</v>
      </c>
      <c r="N994" t="s">
        <v>22</v>
      </c>
      <c r="O994">
        <f>Table1[[#All],[Quantity]]*Table1[[#All],[Unit Price (?)]]</f>
        <v>779.8</v>
      </c>
      <c r="P994" t="str">
        <f>TEXT(Table1[[#All],[Order Date]],"dddd")</f>
        <v>Friday</v>
      </c>
      <c r="Q994" t="str">
        <f>TEXT(Table1[[#All],[Order Date]],"mmm")</f>
        <v>Jan</v>
      </c>
      <c r="R994" t="str">
        <f>IF(Table1[[#All],[Total Price (?)]]&gt;1000,"High Value","Normal")</f>
        <v>Normal</v>
      </c>
    </row>
    <row r="995" spans="1:18" x14ac:dyDescent="0.3">
      <c r="A995" t="s">
        <v>1056</v>
      </c>
      <c r="B995" s="1">
        <v>45806</v>
      </c>
      <c r="C995" t="s">
        <v>15</v>
      </c>
      <c r="D995" t="s">
        <v>16</v>
      </c>
      <c r="E995" t="s">
        <v>17</v>
      </c>
      <c r="F995" t="s">
        <v>44</v>
      </c>
      <c r="G995">
        <v>1</v>
      </c>
      <c r="H995">
        <v>1372.47</v>
      </c>
      <c r="I995">
        <v>0.2</v>
      </c>
      <c r="J995">
        <v>1097.98</v>
      </c>
      <c r="K995" t="s">
        <v>33</v>
      </c>
      <c r="L995" t="s">
        <v>20</v>
      </c>
      <c r="M995" t="s">
        <v>54</v>
      </c>
      <c r="N995" t="s">
        <v>37</v>
      </c>
      <c r="O995">
        <f>Table1[[#All],[Quantity]]*Table1[[#All],[Unit Price (?)]]</f>
        <v>1372.47</v>
      </c>
      <c r="P995" t="str">
        <f>TEXT(Table1[[#All],[Order Date]],"dddd")</f>
        <v>Thursday</v>
      </c>
      <c r="Q995" t="str">
        <f>TEXT(Table1[[#All],[Order Date]],"mmm")</f>
        <v>May</v>
      </c>
      <c r="R995" t="str">
        <f>IF(Table1[[#All],[Total Price (?)]]&gt;1000,"High Value","Normal")</f>
        <v>High Value</v>
      </c>
    </row>
    <row r="996" spans="1:18" x14ac:dyDescent="0.3">
      <c r="A996" t="s">
        <v>1057</v>
      </c>
      <c r="B996" s="1">
        <v>45666</v>
      </c>
      <c r="C996" t="s">
        <v>15</v>
      </c>
      <c r="D996" t="s">
        <v>25</v>
      </c>
      <c r="E996" t="s">
        <v>17</v>
      </c>
      <c r="F996" t="s">
        <v>32</v>
      </c>
      <c r="G996">
        <v>3</v>
      </c>
      <c r="H996">
        <v>3523.46</v>
      </c>
      <c r="I996">
        <v>0.23</v>
      </c>
      <c r="J996">
        <v>8139.19</v>
      </c>
      <c r="K996" t="s">
        <v>33</v>
      </c>
      <c r="L996" t="s">
        <v>34</v>
      </c>
      <c r="M996" t="s">
        <v>21</v>
      </c>
      <c r="N996" t="s">
        <v>22</v>
      </c>
      <c r="O996">
        <f>Table1[[#All],[Quantity]]*Table1[[#All],[Unit Price (?)]]</f>
        <v>10570.380000000001</v>
      </c>
      <c r="P996" t="str">
        <f>TEXT(Table1[[#All],[Order Date]],"dddd")</f>
        <v>Thursday</v>
      </c>
      <c r="Q996" t="str">
        <f>TEXT(Table1[[#All],[Order Date]],"mmm")</f>
        <v>Jan</v>
      </c>
      <c r="R996" t="str">
        <f>IF(Table1[[#All],[Total Price (?)]]&gt;1000,"High Value","Normal")</f>
        <v>High Value</v>
      </c>
    </row>
    <row r="997" spans="1:18" x14ac:dyDescent="0.3">
      <c r="A997" t="s">
        <v>1058</v>
      </c>
      <c r="B997" s="1">
        <v>45708</v>
      </c>
      <c r="C997" t="s">
        <v>36</v>
      </c>
      <c r="D997" t="s">
        <v>25</v>
      </c>
      <c r="E997" t="s">
        <v>99</v>
      </c>
      <c r="F997" t="s">
        <v>100</v>
      </c>
      <c r="G997">
        <v>4</v>
      </c>
      <c r="H997">
        <v>3374.35</v>
      </c>
      <c r="I997">
        <v>0.13</v>
      </c>
      <c r="J997">
        <v>11742.74</v>
      </c>
      <c r="K997" t="s">
        <v>41</v>
      </c>
      <c r="L997" t="s">
        <v>29</v>
      </c>
      <c r="M997" t="s">
        <v>54</v>
      </c>
      <c r="N997" t="s">
        <v>22</v>
      </c>
      <c r="O997">
        <f>Table1[[#All],[Quantity]]*Table1[[#All],[Unit Price (?)]]</f>
        <v>13497.4</v>
      </c>
      <c r="P997" t="str">
        <f>TEXT(Table1[[#All],[Order Date]],"dddd")</f>
        <v>Thursday</v>
      </c>
      <c r="Q997" t="str">
        <f>TEXT(Table1[[#All],[Order Date]],"mmm")</f>
        <v>Feb</v>
      </c>
      <c r="R997" t="str">
        <f>IF(Table1[[#All],[Total Price (?)]]&gt;1000,"High Value","Normal")</f>
        <v>High Value</v>
      </c>
    </row>
    <row r="998" spans="1:18" x14ac:dyDescent="0.3">
      <c r="A998" t="s">
        <v>1059</v>
      </c>
      <c r="B998" s="1">
        <v>45698</v>
      </c>
      <c r="C998" t="s">
        <v>48</v>
      </c>
      <c r="D998" t="s">
        <v>43</v>
      </c>
      <c r="E998" t="s">
        <v>99</v>
      </c>
      <c r="F998" t="s">
        <v>111</v>
      </c>
      <c r="G998">
        <v>3</v>
      </c>
      <c r="H998">
        <v>3854.39</v>
      </c>
      <c r="I998">
        <v>0.18</v>
      </c>
      <c r="J998">
        <v>9481.7999999999993</v>
      </c>
      <c r="K998" t="s">
        <v>19</v>
      </c>
      <c r="L998" t="s">
        <v>20</v>
      </c>
      <c r="M998" t="s">
        <v>30</v>
      </c>
      <c r="N998" t="s">
        <v>22</v>
      </c>
      <c r="O998">
        <f>Table1[[#All],[Quantity]]*Table1[[#All],[Unit Price (?)]]</f>
        <v>11563.17</v>
      </c>
      <c r="P998" t="str">
        <f>TEXT(Table1[[#All],[Order Date]],"dddd")</f>
        <v>Monday</v>
      </c>
      <c r="Q998" t="str">
        <f>TEXT(Table1[[#All],[Order Date]],"mmm")</f>
        <v>Feb</v>
      </c>
      <c r="R998" t="str">
        <f>IF(Table1[[#All],[Total Price (?)]]&gt;1000,"High Value","Normal")</f>
        <v>High Value</v>
      </c>
    </row>
    <row r="999" spans="1:18" x14ac:dyDescent="0.3">
      <c r="A999" t="s">
        <v>1060</v>
      </c>
      <c r="B999" s="1">
        <v>45822</v>
      </c>
      <c r="C999" t="s">
        <v>24</v>
      </c>
      <c r="D999" t="s">
        <v>43</v>
      </c>
      <c r="E999" t="s">
        <v>61</v>
      </c>
      <c r="F999" t="s">
        <v>62</v>
      </c>
      <c r="G999">
        <v>2</v>
      </c>
      <c r="H999">
        <v>164.33</v>
      </c>
      <c r="I999">
        <v>0.05</v>
      </c>
      <c r="J999">
        <v>312.23</v>
      </c>
      <c r="K999" t="s">
        <v>41</v>
      </c>
      <c r="L999" t="s">
        <v>20</v>
      </c>
      <c r="M999" t="s">
        <v>30</v>
      </c>
      <c r="N999" t="s">
        <v>22</v>
      </c>
      <c r="O999">
        <f>Table1[[#All],[Quantity]]*Table1[[#All],[Unit Price (?)]]</f>
        <v>328.66</v>
      </c>
      <c r="P999" t="str">
        <f>TEXT(Table1[[#All],[Order Date]],"dddd")</f>
        <v>Saturday</v>
      </c>
      <c r="Q999" t="str">
        <f>TEXT(Table1[[#All],[Order Date]],"mmm")</f>
        <v>Jun</v>
      </c>
      <c r="R999" t="str">
        <f>IF(Table1[[#All],[Total Price (?)]]&gt;1000,"High Value","Normal")</f>
        <v>Normal</v>
      </c>
    </row>
    <row r="1000" spans="1:18" x14ac:dyDescent="0.3">
      <c r="A1000" t="s">
        <v>1061</v>
      </c>
      <c r="B1000" s="1">
        <v>45663</v>
      </c>
      <c r="C1000" t="s">
        <v>36</v>
      </c>
      <c r="D1000" t="s">
        <v>43</v>
      </c>
      <c r="E1000" t="s">
        <v>99</v>
      </c>
      <c r="F1000" t="s">
        <v>100</v>
      </c>
      <c r="G1000">
        <v>3</v>
      </c>
      <c r="H1000">
        <v>3826.39</v>
      </c>
      <c r="I1000">
        <v>0.08</v>
      </c>
      <c r="J1000">
        <v>10560.84</v>
      </c>
      <c r="K1000" t="s">
        <v>33</v>
      </c>
      <c r="L1000" t="s">
        <v>29</v>
      </c>
      <c r="M1000" t="s">
        <v>30</v>
      </c>
      <c r="N1000" t="s">
        <v>88</v>
      </c>
      <c r="O1000">
        <f>Table1[[#All],[Quantity]]*Table1[[#All],[Unit Price (?)]]</f>
        <v>11479.17</v>
      </c>
      <c r="P1000" t="str">
        <f>TEXT(Table1[[#All],[Order Date]],"dddd")</f>
        <v>Monday</v>
      </c>
      <c r="Q1000" t="str">
        <f>TEXT(Table1[[#All],[Order Date]],"mmm")</f>
        <v>Jan</v>
      </c>
      <c r="R1000" t="str">
        <f>IF(Table1[[#All],[Total Price (?)]]&gt;1000,"High Value","Normal")</f>
        <v>High Value</v>
      </c>
    </row>
    <row r="1001" spans="1:18" x14ac:dyDescent="0.3">
      <c r="A1001" t="s">
        <v>1062</v>
      </c>
      <c r="B1001" s="1">
        <v>45780</v>
      </c>
      <c r="C1001" t="s">
        <v>52</v>
      </c>
      <c r="D1001" t="s">
        <v>43</v>
      </c>
      <c r="E1001" t="s">
        <v>17</v>
      </c>
      <c r="F1001" t="s">
        <v>44</v>
      </c>
      <c r="G1001">
        <v>4</v>
      </c>
      <c r="H1001">
        <v>4352.51</v>
      </c>
      <c r="I1001">
        <v>0.13</v>
      </c>
      <c r="J1001">
        <v>15146.73</v>
      </c>
      <c r="K1001" t="s">
        <v>46</v>
      </c>
      <c r="L1001" t="s">
        <v>34</v>
      </c>
      <c r="M1001" t="s">
        <v>30</v>
      </c>
      <c r="N1001" t="s">
        <v>22</v>
      </c>
      <c r="O1001">
        <f>Table1[[#All],[Quantity]]*Table1[[#All],[Unit Price (?)]]</f>
        <v>17410.04</v>
      </c>
      <c r="P1001" t="str">
        <f>TEXT(Table1[[#All],[Order Date]],"dddd")</f>
        <v>Saturday</v>
      </c>
      <c r="Q1001" t="str">
        <f>TEXT(Table1[[#All],[Order Date]],"mmm")</f>
        <v>May</v>
      </c>
      <c r="R1001" t="str">
        <f>IF(Table1[[#All],[Total Price (?)]]&gt;1000,"High Value","Normal")</f>
        <v>High Value</v>
      </c>
    </row>
    <row r="1002" spans="1:18" x14ac:dyDescent="0.3">
      <c r="A1002" t="s">
        <v>1063</v>
      </c>
      <c r="B1002" s="1">
        <v>45689</v>
      </c>
      <c r="C1002" t="s">
        <v>15</v>
      </c>
      <c r="D1002" t="s">
        <v>16</v>
      </c>
      <c r="E1002" t="s">
        <v>49</v>
      </c>
      <c r="F1002" t="s">
        <v>73</v>
      </c>
      <c r="G1002">
        <v>1</v>
      </c>
      <c r="H1002">
        <v>821.72</v>
      </c>
      <c r="I1002">
        <v>0.22</v>
      </c>
      <c r="J1002">
        <v>640.94000000000005</v>
      </c>
      <c r="K1002" t="s">
        <v>33</v>
      </c>
      <c r="L1002" t="s">
        <v>29</v>
      </c>
      <c r="M1002" t="s">
        <v>21</v>
      </c>
      <c r="N1002" t="s">
        <v>22</v>
      </c>
      <c r="O1002">
        <f>Table1[[#All],[Quantity]]*Table1[[#All],[Unit Price (?)]]</f>
        <v>821.72</v>
      </c>
      <c r="P1002" t="str">
        <f>TEXT(Table1[[#All],[Order Date]],"dddd")</f>
        <v>Saturday</v>
      </c>
      <c r="Q1002" t="str">
        <f>TEXT(Table1[[#All],[Order Date]],"mmm")</f>
        <v>Feb</v>
      </c>
      <c r="R1002" t="str">
        <f>IF(Table1[[#All],[Total Price (?)]]&gt;1000,"High Value","Normal")</f>
        <v>Normal</v>
      </c>
    </row>
    <row r="1003" spans="1:18" x14ac:dyDescent="0.3">
      <c r="A1003" t="s">
        <v>1064</v>
      </c>
      <c r="B1003" s="1">
        <v>45706</v>
      </c>
      <c r="C1003" t="s">
        <v>15</v>
      </c>
      <c r="D1003" t="s">
        <v>16</v>
      </c>
      <c r="E1003" t="s">
        <v>49</v>
      </c>
      <c r="F1003" t="s">
        <v>73</v>
      </c>
      <c r="G1003">
        <v>5</v>
      </c>
      <c r="H1003">
        <v>2317.94</v>
      </c>
      <c r="I1003">
        <v>7.0000000000000007E-2</v>
      </c>
      <c r="J1003">
        <v>10778.42</v>
      </c>
      <c r="K1003" t="s">
        <v>58</v>
      </c>
      <c r="L1003" t="s">
        <v>34</v>
      </c>
      <c r="M1003" t="s">
        <v>21</v>
      </c>
      <c r="N1003" t="s">
        <v>22</v>
      </c>
      <c r="O1003">
        <f>Table1[[#All],[Quantity]]*Table1[[#All],[Unit Price (?)]]</f>
        <v>11589.7</v>
      </c>
      <c r="P1003" t="str">
        <f>TEXT(Table1[[#All],[Order Date]],"dddd")</f>
        <v>Tuesday</v>
      </c>
      <c r="Q1003" t="str">
        <f>TEXT(Table1[[#All],[Order Date]],"mmm")</f>
        <v>Feb</v>
      </c>
      <c r="R1003" t="str">
        <f>IF(Table1[[#All],[Total Price (?)]]&gt;1000,"High Value","Normal")</f>
        <v>High Value</v>
      </c>
    </row>
    <row r="1004" spans="1:18" x14ac:dyDescent="0.3">
      <c r="A1004" t="s">
        <v>1065</v>
      </c>
      <c r="B1004" s="1">
        <v>45684</v>
      </c>
      <c r="C1004" t="s">
        <v>48</v>
      </c>
      <c r="D1004" t="s">
        <v>16</v>
      </c>
      <c r="E1004" t="s">
        <v>61</v>
      </c>
      <c r="F1004" t="s">
        <v>75</v>
      </c>
      <c r="G1004">
        <v>5</v>
      </c>
      <c r="H1004">
        <v>1735.32</v>
      </c>
      <c r="I1004">
        <v>0.11</v>
      </c>
      <c r="J1004">
        <v>7722.17</v>
      </c>
      <c r="K1004" t="s">
        <v>33</v>
      </c>
      <c r="L1004" t="s">
        <v>34</v>
      </c>
      <c r="M1004" t="s">
        <v>30</v>
      </c>
      <c r="N1004" t="s">
        <v>22</v>
      </c>
      <c r="O1004">
        <f>Table1[[#All],[Quantity]]*Table1[[#All],[Unit Price (?)]]</f>
        <v>8676.6</v>
      </c>
      <c r="P1004" t="str">
        <f>TEXT(Table1[[#All],[Order Date]],"dddd")</f>
        <v>Monday</v>
      </c>
      <c r="Q1004" t="str">
        <f>TEXT(Table1[[#All],[Order Date]],"mmm")</f>
        <v>Jan</v>
      </c>
      <c r="R1004" t="str">
        <f>IF(Table1[[#All],[Total Price (?)]]&gt;1000,"High Value","Normal")</f>
        <v>High Value</v>
      </c>
    </row>
    <row r="1005" spans="1:18" x14ac:dyDescent="0.3">
      <c r="A1005" t="s">
        <v>1066</v>
      </c>
      <c r="B1005" s="1">
        <v>45751</v>
      </c>
      <c r="C1005" t="s">
        <v>52</v>
      </c>
      <c r="D1005" t="s">
        <v>25</v>
      </c>
      <c r="E1005" t="s">
        <v>49</v>
      </c>
      <c r="F1005" t="s">
        <v>50</v>
      </c>
      <c r="G1005">
        <v>4</v>
      </c>
      <c r="H1005">
        <v>965.56</v>
      </c>
      <c r="I1005">
        <v>7.0000000000000007E-2</v>
      </c>
      <c r="J1005">
        <v>3591.88</v>
      </c>
      <c r="K1005" t="s">
        <v>46</v>
      </c>
      <c r="L1005" t="s">
        <v>20</v>
      </c>
      <c r="M1005" t="s">
        <v>21</v>
      </c>
      <c r="N1005" t="s">
        <v>22</v>
      </c>
      <c r="O1005">
        <f>Table1[[#All],[Quantity]]*Table1[[#All],[Unit Price (?)]]</f>
        <v>3862.24</v>
      </c>
      <c r="P1005" t="str">
        <f>TEXT(Table1[[#All],[Order Date]],"dddd")</f>
        <v>Friday</v>
      </c>
      <c r="Q1005" t="str">
        <f>TEXT(Table1[[#All],[Order Date]],"mmm")</f>
        <v>Apr</v>
      </c>
      <c r="R1005" t="str">
        <f>IF(Table1[[#All],[Total Price (?)]]&gt;1000,"High Value","Normal")</f>
        <v>High Value</v>
      </c>
    </row>
    <row r="1006" spans="1:18" x14ac:dyDescent="0.3">
      <c r="A1006" t="s">
        <v>1067</v>
      </c>
      <c r="B1006" s="1">
        <v>45789</v>
      </c>
      <c r="C1006" t="s">
        <v>52</v>
      </c>
      <c r="D1006" t="s">
        <v>43</v>
      </c>
      <c r="E1006" t="s">
        <v>17</v>
      </c>
      <c r="F1006" t="s">
        <v>18</v>
      </c>
      <c r="G1006">
        <v>1</v>
      </c>
      <c r="H1006">
        <v>360.38</v>
      </c>
      <c r="I1006">
        <v>0.01</v>
      </c>
      <c r="J1006">
        <v>356.78</v>
      </c>
      <c r="K1006" t="s">
        <v>58</v>
      </c>
      <c r="L1006" t="s">
        <v>20</v>
      </c>
      <c r="M1006" t="s">
        <v>30</v>
      </c>
      <c r="N1006" t="s">
        <v>22</v>
      </c>
      <c r="O1006">
        <f>Table1[[#All],[Quantity]]*Table1[[#All],[Unit Price (?)]]</f>
        <v>360.38</v>
      </c>
      <c r="P1006" t="str">
        <f>TEXT(Table1[[#All],[Order Date]],"dddd")</f>
        <v>Monday</v>
      </c>
      <c r="Q1006" t="str">
        <f>TEXT(Table1[[#All],[Order Date]],"mmm")</f>
        <v>May</v>
      </c>
      <c r="R1006" t="str">
        <f>IF(Table1[[#All],[Total Price (?)]]&gt;1000,"High Value","Normal")</f>
        <v>Normal</v>
      </c>
    </row>
    <row r="1007" spans="1:18" x14ac:dyDescent="0.3">
      <c r="A1007" t="s">
        <v>1068</v>
      </c>
      <c r="B1007" s="1">
        <v>45682</v>
      </c>
      <c r="C1007" t="s">
        <v>52</v>
      </c>
      <c r="D1007" t="s">
        <v>39</v>
      </c>
      <c r="E1007" t="s">
        <v>17</v>
      </c>
      <c r="F1007" t="s">
        <v>32</v>
      </c>
      <c r="G1007">
        <v>4</v>
      </c>
      <c r="H1007">
        <v>2020.35</v>
      </c>
      <c r="I1007">
        <v>0.03</v>
      </c>
      <c r="J1007">
        <v>7838.96</v>
      </c>
      <c r="K1007" t="s">
        <v>33</v>
      </c>
      <c r="L1007" t="s">
        <v>29</v>
      </c>
      <c r="M1007" t="s">
        <v>21</v>
      </c>
      <c r="N1007" t="s">
        <v>22</v>
      </c>
      <c r="O1007">
        <f>Table1[[#All],[Quantity]]*Table1[[#All],[Unit Price (?)]]</f>
        <v>8081.4</v>
      </c>
      <c r="P1007" t="str">
        <f>TEXT(Table1[[#All],[Order Date]],"dddd")</f>
        <v>Saturday</v>
      </c>
      <c r="Q1007" t="str">
        <f>TEXT(Table1[[#All],[Order Date]],"mmm")</f>
        <v>Jan</v>
      </c>
      <c r="R1007" t="str">
        <f>IF(Table1[[#All],[Total Price (?)]]&gt;1000,"High Value","Normal")</f>
        <v>High Value</v>
      </c>
    </row>
    <row r="1008" spans="1:18" x14ac:dyDescent="0.3">
      <c r="A1008" t="s">
        <v>1069</v>
      </c>
      <c r="B1008" s="1">
        <v>45769</v>
      </c>
      <c r="C1008" t="s">
        <v>15</v>
      </c>
      <c r="D1008" t="s">
        <v>25</v>
      </c>
      <c r="E1008" t="s">
        <v>61</v>
      </c>
      <c r="F1008" t="s">
        <v>75</v>
      </c>
      <c r="G1008">
        <v>5</v>
      </c>
      <c r="H1008">
        <v>1511.1</v>
      </c>
      <c r="I1008">
        <v>0</v>
      </c>
      <c r="J1008">
        <v>7555.5</v>
      </c>
      <c r="K1008" t="s">
        <v>46</v>
      </c>
      <c r="L1008" t="s">
        <v>29</v>
      </c>
      <c r="M1008" t="s">
        <v>54</v>
      </c>
      <c r="N1008" t="s">
        <v>22</v>
      </c>
      <c r="O1008">
        <f>Table1[[#All],[Quantity]]*Table1[[#All],[Unit Price (?)]]</f>
        <v>7555.5</v>
      </c>
      <c r="P1008" t="str">
        <f>TEXT(Table1[[#All],[Order Date]],"dddd")</f>
        <v>Tuesday</v>
      </c>
      <c r="Q1008" t="str">
        <f>TEXT(Table1[[#All],[Order Date]],"mmm")</f>
        <v>Apr</v>
      </c>
      <c r="R1008" t="str">
        <f>IF(Table1[[#All],[Total Price (?)]]&gt;1000,"High Value","Normal")</f>
        <v>High Value</v>
      </c>
    </row>
    <row r="1009" spans="1:18" x14ac:dyDescent="0.3">
      <c r="A1009" t="s">
        <v>1070</v>
      </c>
      <c r="B1009" s="1">
        <v>45702</v>
      </c>
      <c r="C1009" t="s">
        <v>15</v>
      </c>
      <c r="D1009" t="s">
        <v>25</v>
      </c>
      <c r="E1009" t="s">
        <v>61</v>
      </c>
      <c r="F1009" t="s">
        <v>75</v>
      </c>
      <c r="G1009">
        <v>2</v>
      </c>
      <c r="H1009">
        <v>1727.56</v>
      </c>
      <c r="I1009">
        <v>0.11</v>
      </c>
      <c r="J1009">
        <v>3075.06</v>
      </c>
      <c r="K1009" t="s">
        <v>58</v>
      </c>
      <c r="L1009" t="s">
        <v>20</v>
      </c>
      <c r="M1009" t="s">
        <v>54</v>
      </c>
      <c r="N1009" t="s">
        <v>22</v>
      </c>
      <c r="O1009">
        <f>Table1[[#All],[Quantity]]*Table1[[#All],[Unit Price (?)]]</f>
        <v>3455.12</v>
      </c>
      <c r="P1009" t="str">
        <f>TEXT(Table1[[#All],[Order Date]],"dddd")</f>
        <v>Friday</v>
      </c>
      <c r="Q1009" t="str">
        <f>TEXT(Table1[[#All],[Order Date]],"mmm")</f>
        <v>Feb</v>
      </c>
      <c r="R1009" t="str">
        <f>IF(Table1[[#All],[Total Price (?)]]&gt;1000,"High Value","Normal")</f>
        <v>High Value</v>
      </c>
    </row>
    <row r="1010" spans="1:18" x14ac:dyDescent="0.3">
      <c r="A1010" t="s">
        <v>1071</v>
      </c>
      <c r="B1010" s="1">
        <v>45750</v>
      </c>
      <c r="C1010" t="s">
        <v>15</v>
      </c>
      <c r="D1010" t="s">
        <v>16</v>
      </c>
      <c r="E1010" t="s">
        <v>17</v>
      </c>
      <c r="F1010" t="s">
        <v>44</v>
      </c>
      <c r="G1010">
        <v>1</v>
      </c>
      <c r="H1010">
        <v>3010.63</v>
      </c>
      <c r="I1010">
        <v>0.24</v>
      </c>
      <c r="J1010">
        <v>2288.08</v>
      </c>
      <c r="K1010" t="s">
        <v>58</v>
      </c>
      <c r="L1010" t="s">
        <v>20</v>
      </c>
      <c r="M1010" t="s">
        <v>21</v>
      </c>
      <c r="N1010" t="s">
        <v>22</v>
      </c>
      <c r="O1010">
        <f>Table1[[#All],[Quantity]]*Table1[[#All],[Unit Price (?)]]</f>
        <v>3010.63</v>
      </c>
      <c r="P1010" t="str">
        <f>TEXT(Table1[[#All],[Order Date]],"dddd")</f>
        <v>Thursday</v>
      </c>
      <c r="Q1010" t="str">
        <f>TEXT(Table1[[#All],[Order Date]],"mmm")</f>
        <v>Apr</v>
      </c>
      <c r="R1010" t="str">
        <f>IF(Table1[[#All],[Total Price (?)]]&gt;1000,"High Value","Normal")</f>
        <v>High Value</v>
      </c>
    </row>
    <row r="1011" spans="1:18" x14ac:dyDescent="0.3">
      <c r="A1011" t="s">
        <v>1072</v>
      </c>
      <c r="B1011" s="1">
        <v>45795</v>
      </c>
      <c r="C1011" t="s">
        <v>24</v>
      </c>
      <c r="D1011" t="s">
        <v>43</v>
      </c>
      <c r="E1011" t="s">
        <v>61</v>
      </c>
      <c r="F1011" t="s">
        <v>92</v>
      </c>
      <c r="G1011">
        <v>5</v>
      </c>
      <c r="H1011">
        <v>3432.23</v>
      </c>
      <c r="I1011">
        <v>7.0000000000000007E-2</v>
      </c>
      <c r="J1011">
        <v>15959.87</v>
      </c>
      <c r="K1011" t="s">
        <v>58</v>
      </c>
      <c r="L1011" t="s">
        <v>20</v>
      </c>
      <c r="M1011" t="s">
        <v>54</v>
      </c>
      <c r="N1011" t="s">
        <v>88</v>
      </c>
      <c r="O1011">
        <f>Table1[[#All],[Quantity]]*Table1[[#All],[Unit Price (?)]]</f>
        <v>17161.150000000001</v>
      </c>
      <c r="P1011" t="str">
        <f>TEXT(Table1[[#All],[Order Date]],"dddd")</f>
        <v>Sunday</v>
      </c>
      <c r="Q1011" t="str">
        <f>TEXT(Table1[[#All],[Order Date]],"mmm")</f>
        <v>May</v>
      </c>
      <c r="R1011" t="str">
        <f>IF(Table1[[#All],[Total Price (?)]]&gt;1000,"High Value","Normal")</f>
        <v>High Value</v>
      </c>
    </row>
    <row r="1012" spans="1:18" x14ac:dyDescent="0.3">
      <c r="A1012" t="s">
        <v>1073</v>
      </c>
      <c r="B1012" s="1">
        <v>45709</v>
      </c>
      <c r="C1012" t="s">
        <v>15</v>
      </c>
      <c r="D1012" t="s">
        <v>25</v>
      </c>
      <c r="E1012" t="s">
        <v>17</v>
      </c>
      <c r="F1012" t="s">
        <v>18</v>
      </c>
      <c r="G1012">
        <v>4</v>
      </c>
      <c r="H1012">
        <v>3700.59</v>
      </c>
      <c r="I1012">
        <v>0.25</v>
      </c>
      <c r="J1012">
        <v>11101.77</v>
      </c>
      <c r="K1012" t="s">
        <v>46</v>
      </c>
      <c r="L1012" t="s">
        <v>34</v>
      </c>
      <c r="M1012" t="s">
        <v>30</v>
      </c>
      <c r="N1012" t="s">
        <v>22</v>
      </c>
      <c r="O1012">
        <f>Table1[[#All],[Quantity]]*Table1[[#All],[Unit Price (?)]]</f>
        <v>14802.36</v>
      </c>
      <c r="P1012" t="str">
        <f>TEXT(Table1[[#All],[Order Date]],"dddd")</f>
        <v>Friday</v>
      </c>
      <c r="Q1012" t="str">
        <f>TEXT(Table1[[#All],[Order Date]],"mmm")</f>
        <v>Feb</v>
      </c>
      <c r="R1012" t="str">
        <f>IF(Table1[[#All],[Total Price (?)]]&gt;1000,"High Value","Normal")</f>
        <v>High Value</v>
      </c>
    </row>
    <row r="1013" spans="1:18" x14ac:dyDescent="0.3">
      <c r="A1013" t="s">
        <v>1074</v>
      </c>
      <c r="B1013" s="1">
        <v>45808</v>
      </c>
      <c r="C1013" t="s">
        <v>15</v>
      </c>
      <c r="D1013" t="s">
        <v>25</v>
      </c>
      <c r="E1013" t="s">
        <v>49</v>
      </c>
      <c r="F1013" t="s">
        <v>56</v>
      </c>
      <c r="G1013">
        <v>3</v>
      </c>
      <c r="H1013">
        <v>4467.72</v>
      </c>
      <c r="I1013">
        <v>0.19</v>
      </c>
      <c r="J1013">
        <v>10856.56</v>
      </c>
      <c r="K1013" t="s">
        <v>46</v>
      </c>
      <c r="L1013" t="s">
        <v>29</v>
      </c>
      <c r="M1013" t="s">
        <v>21</v>
      </c>
      <c r="N1013" t="s">
        <v>22</v>
      </c>
      <c r="O1013">
        <f>Table1[[#All],[Quantity]]*Table1[[#All],[Unit Price (?)]]</f>
        <v>13403.16</v>
      </c>
      <c r="P1013" t="str">
        <f>TEXT(Table1[[#All],[Order Date]],"dddd")</f>
        <v>Saturday</v>
      </c>
      <c r="Q1013" t="str">
        <f>TEXT(Table1[[#All],[Order Date]],"mmm")</f>
        <v>May</v>
      </c>
      <c r="R1013" t="str">
        <f>IF(Table1[[#All],[Total Price (?)]]&gt;1000,"High Value","Normal")</f>
        <v>High Value</v>
      </c>
    </row>
    <row r="1014" spans="1:18" x14ac:dyDescent="0.3">
      <c r="A1014" t="s">
        <v>1075</v>
      </c>
      <c r="B1014" s="1">
        <v>45731</v>
      </c>
      <c r="C1014" t="s">
        <v>52</v>
      </c>
      <c r="D1014" t="s">
        <v>25</v>
      </c>
      <c r="E1014" t="s">
        <v>27</v>
      </c>
      <c r="F1014" t="s">
        <v>79</v>
      </c>
      <c r="G1014">
        <v>2</v>
      </c>
      <c r="H1014">
        <v>1850.25</v>
      </c>
      <c r="I1014">
        <v>0.01</v>
      </c>
      <c r="J1014">
        <v>3663.49</v>
      </c>
      <c r="K1014" t="s">
        <v>41</v>
      </c>
      <c r="L1014" t="s">
        <v>20</v>
      </c>
      <c r="M1014" t="s">
        <v>21</v>
      </c>
      <c r="N1014" t="s">
        <v>22</v>
      </c>
      <c r="O1014">
        <f>Table1[[#All],[Quantity]]*Table1[[#All],[Unit Price (?)]]</f>
        <v>3700.5</v>
      </c>
      <c r="P1014" t="str">
        <f>TEXT(Table1[[#All],[Order Date]],"dddd")</f>
        <v>Saturday</v>
      </c>
      <c r="Q1014" t="str">
        <f>TEXT(Table1[[#All],[Order Date]],"mmm")</f>
        <v>Mar</v>
      </c>
      <c r="R1014" t="str">
        <f>IF(Table1[[#All],[Total Price (?)]]&gt;1000,"High Value","Normal")</f>
        <v>High Value</v>
      </c>
    </row>
    <row r="1015" spans="1:18" x14ac:dyDescent="0.3">
      <c r="A1015" t="s">
        <v>1076</v>
      </c>
      <c r="B1015" s="1">
        <v>45692</v>
      </c>
      <c r="C1015" t="s">
        <v>48</v>
      </c>
      <c r="D1015" t="s">
        <v>43</v>
      </c>
      <c r="E1015" t="s">
        <v>17</v>
      </c>
      <c r="F1015" t="s">
        <v>44</v>
      </c>
      <c r="G1015">
        <v>5</v>
      </c>
      <c r="H1015">
        <v>4506.18</v>
      </c>
      <c r="I1015">
        <v>0.11</v>
      </c>
      <c r="J1015">
        <v>20052.5</v>
      </c>
      <c r="K1015" t="s">
        <v>58</v>
      </c>
      <c r="L1015" t="s">
        <v>34</v>
      </c>
      <c r="M1015" t="s">
        <v>21</v>
      </c>
      <c r="N1015" t="s">
        <v>22</v>
      </c>
      <c r="O1015">
        <f>Table1[[#All],[Quantity]]*Table1[[#All],[Unit Price (?)]]</f>
        <v>22530.9</v>
      </c>
      <c r="P1015" t="str">
        <f>TEXT(Table1[[#All],[Order Date]],"dddd")</f>
        <v>Tuesday</v>
      </c>
      <c r="Q1015" t="str">
        <f>TEXT(Table1[[#All],[Order Date]],"mmm")</f>
        <v>Feb</v>
      </c>
      <c r="R1015" t="str">
        <f>IF(Table1[[#All],[Total Price (?)]]&gt;1000,"High Value","Normal")</f>
        <v>High Value</v>
      </c>
    </row>
    <row r="1016" spans="1:18" x14ac:dyDescent="0.3">
      <c r="A1016" t="s">
        <v>1077</v>
      </c>
      <c r="B1016" s="1">
        <v>45777</v>
      </c>
      <c r="C1016" t="s">
        <v>48</v>
      </c>
      <c r="D1016" t="s">
        <v>39</v>
      </c>
      <c r="E1016" t="s">
        <v>99</v>
      </c>
      <c r="F1016" t="s">
        <v>111</v>
      </c>
      <c r="G1016">
        <v>3</v>
      </c>
      <c r="H1016">
        <v>1615.68</v>
      </c>
      <c r="I1016">
        <v>0.01</v>
      </c>
      <c r="J1016">
        <v>4798.57</v>
      </c>
      <c r="K1016" t="s">
        <v>33</v>
      </c>
      <c r="L1016" t="s">
        <v>34</v>
      </c>
      <c r="M1016" t="s">
        <v>21</v>
      </c>
      <c r="N1016" t="s">
        <v>88</v>
      </c>
      <c r="O1016">
        <f>Table1[[#All],[Quantity]]*Table1[[#All],[Unit Price (?)]]</f>
        <v>4847.04</v>
      </c>
      <c r="P1016" t="str">
        <f>TEXT(Table1[[#All],[Order Date]],"dddd")</f>
        <v>Wednesday</v>
      </c>
      <c r="Q1016" t="str">
        <f>TEXT(Table1[[#All],[Order Date]],"mmm")</f>
        <v>Apr</v>
      </c>
      <c r="R1016" t="str">
        <f>IF(Table1[[#All],[Total Price (?)]]&gt;1000,"High Value","Normal")</f>
        <v>High Value</v>
      </c>
    </row>
    <row r="1017" spans="1:18" x14ac:dyDescent="0.3">
      <c r="A1017" t="s">
        <v>1078</v>
      </c>
      <c r="B1017" s="1">
        <v>45777</v>
      </c>
      <c r="C1017" t="s">
        <v>48</v>
      </c>
      <c r="D1017" t="s">
        <v>43</v>
      </c>
      <c r="E1017" t="s">
        <v>17</v>
      </c>
      <c r="F1017" t="s">
        <v>40</v>
      </c>
      <c r="G1017">
        <v>3</v>
      </c>
      <c r="H1017">
        <v>639.92999999999995</v>
      </c>
      <c r="I1017">
        <v>0</v>
      </c>
      <c r="J1017">
        <v>1919.79</v>
      </c>
      <c r="K1017" t="s">
        <v>33</v>
      </c>
      <c r="L1017" t="s">
        <v>34</v>
      </c>
      <c r="M1017" t="s">
        <v>21</v>
      </c>
      <c r="N1017" t="s">
        <v>22</v>
      </c>
      <c r="O1017">
        <f>Table1[[#All],[Quantity]]*Table1[[#All],[Unit Price (?)]]</f>
        <v>1919.79</v>
      </c>
      <c r="P1017" t="str">
        <f>TEXT(Table1[[#All],[Order Date]],"dddd")</f>
        <v>Wednesday</v>
      </c>
      <c r="Q1017" t="str">
        <f>TEXT(Table1[[#All],[Order Date]],"mmm")</f>
        <v>Apr</v>
      </c>
      <c r="R1017" t="str">
        <f>IF(Table1[[#All],[Total Price (?)]]&gt;1000,"High Value","Normal")</f>
        <v>High Value</v>
      </c>
    </row>
    <row r="1018" spans="1:18" x14ac:dyDescent="0.3">
      <c r="A1018" t="s">
        <v>1079</v>
      </c>
      <c r="B1018" s="1">
        <v>45805</v>
      </c>
      <c r="C1018" t="s">
        <v>36</v>
      </c>
      <c r="D1018" t="s">
        <v>16</v>
      </c>
      <c r="E1018" t="s">
        <v>61</v>
      </c>
      <c r="F1018" t="s">
        <v>66</v>
      </c>
      <c r="G1018">
        <v>2</v>
      </c>
      <c r="H1018">
        <v>1587.86</v>
      </c>
      <c r="I1018">
        <v>7.0000000000000007E-2</v>
      </c>
      <c r="J1018">
        <v>2953.42</v>
      </c>
      <c r="K1018" t="s">
        <v>33</v>
      </c>
      <c r="L1018" t="s">
        <v>29</v>
      </c>
      <c r="M1018" t="s">
        <v>30</v>
      </c>
      <c r="N1018" t="s">
        <v>22</v>
      </c>
      <c r="O1018">
        <f>Table1[[#All],[Quantity]]*Table1[[#All],[Unit Price (?)]]</f>
        <v>3175.72</v>
      </c>
      <c r="P1018" t="str">
        <f>TEXT(Table1[[#All],[Order Date]],"dddd")</f>
        <v>Wednesday</v>
      </c>
      <c r="Q1018" t="str">
        <f>TEXT(Table1[[#All],[Order Date]],"mmm")</f>
        <v>May</v>
      </c>
      <c r="R1018" t="str">
        <f>IF(Table1[[#All],[Total Price (?)]]&gt;1000,"High Value","Normal")</f>
        <v>High Value</v>
      </c>
    </row>
    <row r="1019" spans="1:18" x14ac:dyDescent="0.3">
      <c r="A1019" t="s">
        <v>1080</v>
      </c>
      <c r="B1019" s="1">
        <v>45799</v>
      </c>
      <c r="C1019" t="s">
        <v>36</v>
      </c>
      <c r="D1019" t="s">
        <v>16</v>
      </c>
      <c r="E1019" t="s">
        <v>61</v>
      </c>
      <c r="F1019" t="s">
        <v>66</v>
      </c>
      <c r="G1019">
        <v>4</v>
      </c>
      <c r="H1019">
        <v>1598.53</v>
      </c>
      <c r="I1019">
        <v>0.11</v>
      </c>
      <c r="J1019">
        <v>5690.77</v>
      </c>
      <c r="K1019" t="s">
        <v>58</v>
      </c>
      <c r="L1019" t="s">
        <v>20</v>
      </c>
      <c r="M1019" t="s">
        <v>21</v>
      </c>
      <c r="N1019" t="s">
        <v>22</v>
      </c>
      <c r="O1019">
        <f>Table1[[#All],[Quantity]]*Table1[[#All],[Unit Price (?)]]</f>
        <v>6394.12</v>
      </c>
      <c r="P1019" t="str">
        <f>TEXT(Table1[[#All],[Order Date]],"dddd")</f>
        <v>Thursday</v>
      </c>
      <c r="Q1019" t="str">
        <f>TEXT(Table1[[#All],[Order Date]],"mmm")</f>
        <v>May</v>
      </c>
      <c r="R1019" t="str">
        <f>IF(Table1[[#All],[Total Price (?)]]&gt;1000,"High Value","Normal")</f>
        <v>High Value</v>
      </c>
    </row>
    <row r="1020" spans="1:18" x14ac:dyDescent="0.3">
      <c r="A1020" t="s">
        <v>1081</v>
      </c>
      <c r="B1020" s="1">
        <v>45682</v>
      </c>
      <c r="C1020" t="s">
        <v>15</v>
      </c>
      <c r="D1020" t="s">
        <v>43</v>
      </c>
      <c r="E1020" t="s">
        <v>61</v>
      </c>
      <c r="F1020" t="s">
        <v>66</v>
      </c>
      <c r="G1020">
        <v>5</v>
      </c>
      <c r="H1020">
        <v>859.68</v>
      </c>
      <c r="I1020">
        <v>0.02</v>
      </c>
      <c r="J1020">
        <v>4212.43</v>
      </c>
      <c r="K1020" t="s">
        <v>33</v>
      </c>
      <c r="L1020" t="s">
        <v>29</v>
      </c>
      <c r="M1020" t="s">
        <v>30</v>
      </c>
      <c r="N1020" t="s">
        <v>59</v>
      </c>
      <c r="O1020">
        <f>Table1[[#All],[Quantity]]*Table1[[#All],[Unit Price (?)]]</f>
        <v>4298.3999999999996</v>
      </c>
      <c r="P1020" t="str">
        <f>TEXT(Table1[[#All],[Order Date]],"dddd")</f>
        <v>Saturday</v>
      </c>
      <c r="Q1020" t="str">
        <f>TEXT(Table1[[#All],[Order Date]],"mmm")</f>
        <v>Jan</v>
      </c>
      <c r="R1020" t="str">
        <f>IF(Table1[[#All],[Total Price (?)]]&gt;1000,"High Value","Normal")</f>
        <v>High Value</v>
      </c>
    </row>
    <row r="1021" spans="1:18" x14ac:dyDescent="0.3">
      <c r="A1021" t="s">
        <v>1082</v>
      </c>
      <c r="B1021" s="1">
        <v>45811</v>
      </c>
      <c r="C1021" t="s">
        <v>36</v>
      </c>
      <c r="D1021" t="s">
        <v>25</v>
      </c>
      <c r="E1021" t="s">
        <v>61</v>
      </c>
      <c r="F1021" t="s">
        <v>92</v>
      </c>
      <c r="G1021">
        <v>2</v>
      </c>
      <c r="H1021">
        <v>257.47000000000003</v>
      </c>
      <c r="I1021">
        <v>0.23</v>
      </c>
      <c r="J1021">
        <v>396.5</v>
      </c>
      <c r="K1021" t="s">
        <v>58</v>
      </c>
      <c r="L1021" t="s">
        <v>34</v>
      </c>
      <c r="M1021" t="s">
        <v>54</v>
      </c>
      <c r="N1021" t="s">
        <v>22</v>
      </c>
      <c r="O1021">
        <f>Table1[[#All],[Quantity]]*Table1[[#All],[Unit Price (?)]]</f>
        <v>514.94000000000005</v>
      </c>
      <c r="P1021" t="str">
        <f>TEXT(Table1[[#All],[Order Date]],"dddd")</f>
        <v>Tuesday</v>
      </c>
      <c r="Q1021" t="str">
        <f>TEXT(Table1[[#All],[Order Date]],"mmm")</f>
        <v>Jun</v>
      </c>
      <c r="R1021" t="str">
        <f>IF(Table1[[#All],[Total Price (?)]]&gt;1000,"High Value","Normal")</f>
        <v>Normal</v>
      </c>
    </row>
    <row r="1022" spans="1:18" x14ac:dyDescent="0.3">
      <c r="A1022" t="s">
        <v>1083</v>
      </c>
      <c r="B1022" s="1">
        <v>45819</v>
      </c>
      <c r="C1022" t="s">
        <v>15</v>
      </c>
      <c r="D1022" t="s">
        <v>43</v>
      </c>
      <c r="E1022" t="s">
        <v>17</v>
      </c>
      <c r="F1022" t="s">
        <v>32</v>
      </c>
      <c r="G1022">
        <v>2</v>
      </c>
      <c r="H1022">
        <v>2863.15</v>
      </c>
      <c r="I1022">
        <v>0.17</v>
      </c>
      <c r="J1022">
        <v>4752.83</v>
      </c>
      <c r="K1022" t="s">
        <v>33</v>
      </c>
      <c r="L1022" t="s">
        <v>34</v>
      </c>
      <c r="M1022" t="s">
        <v>30</v>
      </c>
      <c r="N1022" t="s">
        <v>22</v>
      </c>
      <c r="O1022">
        <f>Table1[[#All],[Quantity]]*Table1[[#All],[Unit Price (?)]]</f>
        <v>5726.3</v>
      </c>
      <c r="P1022" t="str">
        <f>TEXT(Table1[[#All],[Order Date]],"dddd")</f>
        <v>Wednesday</v>
      </c>
      <c r="Q1022" t="str">
        <f>TEXT(Table1[[#All],[Order Date]],"mmm")</f>
        <v>Jun</v>
      </c>
      <c r="R1022" t="str">
        <f>IF(Table1[[#All],[Total Price (?)]]&gt;1000,"High Value","Normal")</f>
        <v>High Value</v>
      </c>
    </row>
    <row r="1023" spans="1:18" x14ac:dyDescent="0.3">
      <c r="A1023" t="s">
        <v>1084</v>
      </c>
      <c r="B1023" s="1">
        <v>45691</v>
      </c>
      <c r="C1023" t="s">
        <v>52</v>
      </c>
      <c r="D1023" t="s">
        <v>25</v>
      </c>
      <c r="E1023" t="s">
        <v>61</v>
      </c>
      <c r="F1023" t="s">
        <v>66</v>
      </c>
      <c r="G1023">
        <v>2</v>
      </c>
      <c r="H1023">
        <v>1575.21</v>
      </c>
      <c r="I1023">
        <v>0.02</v>
      </c>
      <c r="J1023">
        <v>3087.41</v>
      </c>
      <c r="K1023" t="s">
        <v>41</v>
      </c>
      <c r="L1023" t="s">
        <v>29</v>
      </c>
      <c r="M1023" t="s">
        <v>21</v>
      </c>
      <c r="N1023" t="s">
        <v>22</v>
      </c>
      <c r="O1023">
        <f>Table1[[#All],[Quantity]]*Table1[[#All],[Unit Price (?)]]</f>
        <v>3150.42</v>
      </c>
      <c r="P1023" t="str">
        <f>TEXT(Table1[[#All],[Order Date]],"dddd")</f>
        <v>Monday</v>
      </c>
      <c r="Q1023" t="str">
        <f>TEXT(Table1[[#All],[Order Date]],"mmm")</f>
        <v>Feb</v>
      </c>
      <c r="R1023" t="str">
        <f>IF(Table1[[#All],[Total Price (?)]]&gt;1000,"High Value","Normal")</f>
        <v>High Value</v>
      </c>
    </row>
    <row r="1024" spans="1:18" x14ac:dyDescent="0.3">
      <c r="A1024" t="s">
        <v>1085</v>
      </c>
      <c r="B1024" s="1">
        <v>45720</v>
      </c>
      <c r="C1024" t="s">
        <v>24</v>
      </c>
      <c r="D1024" t="s">
        <v>39</v>
      </c>
      <c r="E1024" t="s">
        <v>49</v>
      </c>
      <c r="F1024" t="s">
        <v>50</v>
      </c>
      <c r="G1024">
        <v>4</v>
      </c>
      <c r="H1024">
        <v>3501.25</v>
      </c>
      <c r="I1024">
        <v>0.13</v>
      </c>
      <c r="J1024">
        <v>12184.35</v>
      </c>
      <c r="K1024" t="s">
        <v>19</v>
      </c>
      <c r="L1024" t="s">
        <v>29</v>
      </c>
      <c r="M1024" t="s">
        <v>21</v>
      </c>
      <c r="N1024" t="s">
        <v>22</v>
      </c>
      <c r="O1024">
        <f>Table1[[#All],[Quantity]]*Table1[[#All],[Unit Price (?)]]</f>
        <v>14005</v>
      </c>
      <c r="P1024" t="str">
        <f>TEXT(Table1[[#All],[Order Date]],"dddd")</f>
        <v>Tuesday</v>
      </c>
      <c r="Q1024" t="str">
        <f>TEXT(Table1[[#All],[Order Date]],"mmm")</f>
        <v>Mar</v>
      </c>
      <c r="R1024" t="str">
        <f>IF(Table1[[#All],[Total Price (?)]]&gt;1000,"High Value","Normal")</f>
        <v>High Value</v>
      </c>
    </row>
    <row r="1025" spans="1:18" x14ac:dyDescent="0.3">
      <c r="A1025" t="s">
        <v>1086</v>
      </c>
      <c r="B1025" s="1">
        <v>45680</v>
      </c>
      <c r="C1025" t="s">
        <v>48</v>
      </c>
      <c r="D1025" t="s">
        <v>16</v>
      </c>
      <c r="E1025" t="s">
        <v>49</v>
      </c>
      <c r="F1025" t="s">
        <v>50</v>
      </c>
      <c r="G1025">
        <v>1</v>
      </c>
      <c r="H1025">
        <v>4571.54</v>
      </c>
      <c r="I1025">
        <v>0.01</v>
      </c>
      <c r="J1025">
        <v>4525.82</v>
      </c>
      <c r="K1025" t="s">
        <v>41</v>
      </c>
      <c r="L1025" t="s">
        <v>34</v>
      </c>
      <c r="M1025" t="s">
        <v>30</v>
      </c>
      <c r="N1025" t="s">
        <v>88</v>
      </c>
      <c r="O1025">
        <f>Table1[[#All],[Quantity]]*Table1[[#All],[Unit Price (?)]]</f>
        <v>4571.54</v>
      </c>
      <c r="P1025" t="str">
        <f>TEXT(Table1[[#All],[Order Date]],"dddd")</f>
        <v>Thursday</v>
      </c>
      <c r="Q1025" t="str">
        <f>TEXT(Table1[[#All],[Order Date]],"mmm")</f>
        <v>Jan</v>
      </c>
      <c r="R1025" t="str">
        <f>IF(Table1[[#All],[Total Price (?)]]&gt;1000,"High Value","Normal")</f>
        <v>High Value</v>
      </c>
    </row>
    <row r="1026" spans="1:18" x14ac:dyDescent="0.3">
      <c r="A1026" t="s">
        <v>1087</v>
      </c>
      <c r="B1026" s="1">
        <v>45772</v>
      </c>
      <c r="C1026" t="s">
        <v>52</v>
      </c>
      <c r="D1026" t="s">
        <v>39</v>
      </c>
      <c r="E1026" t="s">
        <v>27</v>
      </c>
      <c r="F1026" t="s">
        <v>28</v>
      </c>
      <c r="G1026">
        <v>3</v>
      </c>
      <c r="H1026">
        <v>723.65</v>
      </c>
      <c r="I1026">
        <v>0.14000000000000001</v>
      </c>
      <c r="J1026">
        <v>1867.02</v>
      </c>
      <c r="K1026" t="s">
        <v>33</v>
      </c>
      <c r="L1026" t="s">
        <v>29</v>
      </c>
      <c r="M1026" t="s">
        <v>21</v>
      </c>
      <c r="N1026" t="s">
        <v>22</v>
      </c>
      <c r="O1026">
        <f>Table1[[#All],[Quantity]]*Table1[[#All],[Unit Price (?)]]</f>
        <v>2170.9499999999998</v>
      </c>
      <c r="P1026" t="str">
        <f>TEXT(Table1[[#All],[Order Date]],"dddd")</f>
        <v>Friday</v>
      </c>
      <c r="Q1026" t="str">
        <f>TEXT(Table1[[#All],[Order Date]],"mmm")</f>
        <v>Apr</v>
      </c>
      <c r="R1026" t="str">
        <f>IF(Table1[[#All],[Total Price (?)]]&gt;1000,"High Value","Normal")</f>
        <v>High Value</v>
      </c>
    </row>
    <row r="1027" spans="1:18" x14ac:dyDescent="0.3">
      <c r="A1027" t="s">
        <v>1088</v>
      </c>
      <c r="B1027" s="1">
        <v>45664</v>
      </c>
      <c r="C1027" t="s">
        <v>48</v>
      </c>
      <c r="D1027" t="s">
        <v>39</v>
      </c>
      <c r="E1027" t="s">
        <v>49</v>
      </c>
      <c r="F1027" t="s">
        <v>73</v>
      </c>
      <c r="G1027">
        <v>5</v>
      </c>
      <c r="H1027">
        <v>2355.08</v>
      </c>
      <c r="I1027">
        <v>0.01</v>
      </c>
      <c r="J1027">
        <v>11657.65</v>
      </c>
      <c r="K1027" t="s">
        <v>58</v>
      </c>
      <c r="L1027" t="s">
        <v>34</v>
      </c>
      <c r="M1027" t="s">
        <v>54</v>
      </c>
      <c r="N1027" t="s">
        <v>88</v>
      </c>
      <c r="O1027">
        <f>Table1[[#All],[Quantity]]*Table1[[#All],[Unit Price (?)]]</f>
        <v>11775.4</v>
      </c>
      <c r="P1027" t="str">
        <f>TEXT(Table1[[#All],[Order Date]],"dddd")</f>
        <v>Tuesday</v>
      </c>
      <c r="Q1027" t="str">
        <f>TEXT(Table1[[#All],[Order Date]],"mmm")</f>
        <v>Jan</v>
      </c>
      <c r="R1027" t="str">
        <f>IF(Table1[[#All],[Total Price (?)]]&gt;1000,"High Value","Normal")</f>
        <v>High Value</v>
      </c>
    </row>
    <row r="1028" spans="1:18" x14ac:dyDescent="0.3">
      <c r="A1028" t="s">
        <v>1089</v>
      </c>
      <c r="B1028" s="1">
        <v>45840</v>
      </c>
      <c r="C1028" t="s">
        <v>36</v>
      </c>
      <c r="D1028" t="s">
        <v>16</v>
      </c>
      <c r="E1028" t="s">
        <v>17</v>
      </c>
      <c r="F1028" t="s">
        <v>32</v>
      </c>
      <c r="G1028">
        <v>5</v>
      </c>
      <c r="H1028">
        <v>2459.19</v>
      </c>
      <c r="I1028">
        <v>0.08</v>
      </c>
      <c r="J1028">
        <v>11312.27</v>
      </c>
      <c r="K1028" t="s">
        <v>58</v>
      </c>
      <c r="L1028" t="s">
        <v>34</v>
      </c>
      <c r="M1028" t="s">
        <v>54</v>
      </c>
      <c r="N1028" t="s">
        <v>22</v>
      </c>
      <c r="O1028">
        <f>Table1[[#All],[Quantity]]*Table1[[#All],[Unit Price (?)]]</f>
        <v>12295.95</v>
      </c>
      <c r="P1028" t="str">
        <f>TEXT(Table1[[#All],[Order Date]],"dddd")</f>
        <v>Wednesday</v>
      </c>
      <c r="Q1028" t="str">
        <f>TEXT(Table1[[#All],[Order Date]],"mmm")</f>
        <v>Jul</v>
      </c>
      <c r="R1028" t="str">
        <f>IF(Table1[[#All],[Total Price (?)]]&gt;1000,"High Value","Normal")</f>
        <v>High Value</v>
      </c>
    </row>
    <row r="1029" spans="1:18" x14ac:dyDescent="0.3">
      <c r="A1029" t="s">
        <v>1090</v>
      </c>
      <c r="B1029" s="1">
        <v>45720</v>
      </c>
      <c r="C1029" t="s">
        <v>52</v>
      </c>
      <c r="D1029" t="s">
        <v>43</v>
      </c>
      <c r="E1029" t="s">
        <v>27</v>
      </c>
      <c r="F1029" t="s">
        <v>79</v>
      </c>
      <c r="G1029">
        <v>5</v>
      </c>
      <c r="H1029">
        <v>3728.08</v>
      </c>
      <c r="I1029">
        <v>0.12</v>
      </c>
      <c r="J1029">
        <v>16403.55</v>
      </c>
      <c r="K1029" t="s">
        <v>33</v>
      </c>
      <c r="L1029" t="s">
        <v>20</v>
      </c>
      <c r="M1029" t="s">
        <v>54</v>
      </c>
      <c r="N1029" t="s">
        <v>22</v>
      </c>
      <c r="O1029">
        <f>Table1[[#All],[Quantity]]*Table1[[#All],[Unit Price (?)]]</f>
        <v>18640.400000000001</v>
      </c>
      <c r="P1029" t="str">
        <f>TEXT(Table1[[#All],[Order Date]],"dddd")</f>
        <v>Tuesday</v>
      </c>
      <c r="Q1029" t="str">
        <f>TEXT(Table1[[#All],[Order Date]],"mmm")</f>
        <v>Mar</v>
      </c>
      <c r="R1029" t="str">
        <f>IF(Table1[[#All],[Total Price (?)]]&gt;1000,"High Value","Normal")</f>
        <v>High Value</v>
      </c>
    </row>
    <row r="1030" spans="1:18" x14ac:dyDescent="0.3">
      <c r="A1030" t="s">
        <v>1091</v>
      </c>
      <c r="B1030" s="1">
        <v>45771</v>
      </c>
      <c r="C1030" t="s">
        <v>48</v>
      </c>
      <c r="D1030" t="s">
        <v>16</v>
      </c>
      <c r="E1030" t="s">
        <v>99</v>
      </c>
      <c r="F1030" t="s">
        <v>120</v>
      </c>
      <c r="G1030">
        <v>2</v>
      </c>
      <c r="H1030">
        <v>662.07</v>
      </c>
      <c r="I1030">
        <v>0</v>
      </c>
      <c r="J1030">
        <v>1324.14</v>
      </c>
      <c r="K1030" t="s">
        <v>33</v>
      </c>
      <c r="L1030" t="s">
        <v>29</v>
      </c>
      <c r="M1030" t="s">
        <v>21</v>
      </c>
      <c r="N1030" t="s">
        <v>22</v>
      </c>
      <c r="O1030">
        <f>Table1[[#All],[Quantity]]*Table1[[#All],[Unit Price (?)]]</f>
        <v>1324.14</v>
      </c>
      <c r="P1030" t="str">
        <f>TEXT(Table1[[#All],[Order Date]],"dddd")</f>
        <v>Thursday</v>
      </c>
      <c r="Q1030" t="str">
        <f>TEXT(Table1[[#All],[Order Date]],"mmm")</f>
        <v>Apr</v>
      </c>
      <c r="R1030" t="str">
        <f>IF(Table1[[#All],[Total Price (?)]]&gt;1000,"High Value","Normal")</f>
        <v>High Value</v>
      </c>
    </row>
    <row r="1031" spans="1:18" x14ac:dyDescent="0.3">
      <c r="A1031" t="s">
        <v>1092</v>
      </c>
      <c r="B1031" s="1">
        <v>45791</v>
      </c>
      <c r="C1031" t="s">
        <v>24</v>
      </c>
      <c r="D1031" t="s">
        <v>39</v>
      </c>
      <c r="E1031" t="s">
        <v>61</v>
      </c>
      <c r="F1031" t="s">
        <v>75</v>
      </c>
      <c r="G1031">
        <v>5</v>
      </c>
      <c r="H1031">
        <v>2274.6999999999998</v>
      </c>
      <c r="I1031">
        <v>0.01</v>
      </c>
      <c r="J1031">
        <v>11259.76</v>
      </c>
      <c r="K1031" t="s">
        <v>41</v>
      </c>
      <c r="L1031" t="s">
        <v>20</v>
      </c>
      <c r="M1031" t="s">
        <v>54</v>
      </c>
      <c r="N1031" t="s">
        <v>22</v>
      </c>
      <c r="O1031">
        <f>Table1[[#All],[Quantity]]*Table1[[#All],[Unit Price (?)]]</f>
        <v>11373.5</v>
      </c>
      <c r="P1031" t="str">
        <f>TEXT(Table1[[#All],[Order Date]],"dddd")</f>
        <v>Wednesday</v>
      </c>
      <c r="Q1031" t="str">
        <f>TEXT(Table1[[#All],[Order Date]],"mmm")</f>
        <v>May</v>
      </c>
      <c r="R1031" t="str">
        <f>IF(Table1[[#All],[Total Price (?)]]&gt;1000,"High Value","Normal")</f>
        <v>High Value</v>
      </c>
    </row>
    <row r="1032" spans="1:18" x14ac:dyDescent="0.3">
      <c r="A1032" t="s">
        <v>1093</v>
      </c>
      <c r="B1032" s="1">
        <v>45836</v>
      </c>
      <c r="C1032" t="s">
        <v>36</v>
      </c>
      <c r="D1032" t="s">
        <v>43</v>
      </c>
      <c r="E1032" t="s">
        <v>61</v>
      </c>
      <c r="F1032" t="s">
        <v>75</v>
      </c>
      <c r="G1032">
        <v>4</v>
      </c>
      <c r="H1032">
        <v>4310.6400000000003</v>
      </c>
      <c r="I1032">
        <v>0.15</v>
      </c>
      <c r="J1032">
        <v>14656.18</v>
      </c>
      <c r="K1032" t="s">
        <v>46</v>
      </c>
      <c r="L1032" t="s">
        <v>29</v>
      </c>
      <c r="M1032" t="s">
        <v>30</v>
      </c>
      <c r="N1032" t="s">
        <v>22</v>
      </c>
      <c r="O1032">
        <f>Table1[[#All],[Quantity]]*Table1[[#All],[Unit Price (?)]]</f>
        <v>17242.560000000001</v>
      </c>
      <c r="P1032" t="str">
        <f>TEXT(Table1[[#All],[Order Date]],"dddd")</f>
        <v>Saturday</v>
      </c>
      <c r="Q1032" t="str">
        <f>TEXT(Table1[[#All],[Order Date]],"mmm")</f>
        <v>Jun</v>
      </c>
      <c r="R1032" t="str">
        <f>IF(Table1[[#All],[Total Price (?)]]&gt;1000,"High Value","Normal")</f>
        <v>High Value</v>
      </c>
    </row>
    <row r="1033" spans="1:18" x14ac:dyDescent="0.3">
      <c r="A1033" t="s">
        <v>1094</v>
      </c>
      <c r="B1033" s="1">
        <v>45732</v>
      </c>
      <c r="C1033" t="s">
        <v>52</v>
      </c>
      <c r="D1033" t="s">
        <v>16</v>
      </c>
      <c r="E1033" t="s">
        <v>61</v>
      </c>
      <c r="F1033" t="s">
        <v>75</v>
      </c>
      <c r="G1033">
        <v>5</v>
      </c>
      <c r="H1033">
        <v>1081.72</v>
      </c>
      <c r="I1033">
        <v>0.12</v>
      </c>
      <c r="J1033">
        <v>4759.57</v>
      </c>
      <c r="K1033" t="s">
        <v>19</v>
      </c>
      <c r="L1033" t="s">
        <v>29</v>
      </c>
      <c r="M1033" t="s">
        <v>30</v>
      </c>
      <c r="N1033" t="s">
        <v>59</v>
      </c>
      <c r="O1033">
        <f>Table1[[#All],[Quantity]]*Table1[[#All],[Unit Price (?)]]</f>
        <v>5408.6</v>
      </c>
      <c r="P1033" t="str">
        <f>TEXT(Table1[[#All],[Order Date]],"dddd")</f>
        <v>Sunday</v>
      </c>
      <c r="Q1033" t="str">
        <f>TEXT(Table1[[#All],[Order Date]],"mmm")</f>
        <v>Mar</v>
      </c>
      <c r="R1033" t="str">
        <f>IF(Table1[[#All],[Total Price (?)]]&gt;1000,"High Value","Normal")</f>
        <v>High Value</v>
      </c>
    </row>
    <row r="1034" spans="1:18" x14ac:dyDescent="0.3">
      <c r="A1034" t="s">
        <v>1095</v>
      </c>
      <c r="B1034" s="1">
        <v>45737</v>
      </c>
      <c r="C1034" t="s">
        <v>15</v>
      </c>
      <c r="D1034" t="s">
        <v>16</v>
      </c>
      <c r="E1034" t="s">
        <v>49</v>
      </c>
      <c r="F1034" t="s">
        <v>53</v>
      </c>
      <c r="G1034">
        <v>1</v>
      </c>
      <c r="H1034">
        <v>2373.42</v>
      </c>
      <c r="I1034">
        <v>0.2</v>
      </c>
      <c r="J1034">
        <v>1898.74</v>
      </c>
      <c r="K1034" t="s">
        <v>41</v>
      </c>
      <c r="L1034" t="s">
        <v>34</v>
      </c>
      <c r="M1034" t="s">
        <v>54</v>
      </c>
      <c r="N1034" t="s">
        <v>22</v>
      </c>
      <c r="O1034">
        <f>Table1[[#All],[Quantity]]*Table1[[#All],[Unit Price (?)]]</f>
        <v>2373.42</v>
      </c>
      <c r="P1034" t="str">
        <f>TEXT(Table1[[#All],[Order Date]],"dddd")</f>
        <v>Friday</v>
      </c>
      <c r="Q1034" t="str">
        <f>TEXT(Table1[[#All],[Order Date]],"mmm")</f>
        <v>Mar</v>
      </c>
      <c r="R1034" t="str">
        <f>IF(Table1[[#All],[Total Price (?)]]&gt;1000,"High Value","Normal")</f>
        <v>High Value</v>
      </c>
    </row>
    <row r="1035" spans="1:18" x14ac:dyDescent="0.3">
      <c r="A1035" t="s">
        <v>1096</v>
      </c>
      <c r="B1035" s="1">
        <v>45842</v>
      </c>
      <c r="C1035" t="s">
        <v>24</v>
      </c>
      <c r="D1035" t="s">
        <v>25</v>
      </c>
      <c r="E1035" t="s">
        <v>17</v>
      </c>
      <c r="F1035" t="s">
        <v>40</v>
      </c>
      <c r="G1035">
        <v>1</v>
      </c>
      <c r="H1035">
        <v>3261.03</v>
      </c>
      <c r="I1035">
        <v>0.22</v>
      </c>
      <c r="J1035">
        <v>2543.6</v>
      </c>
      <c r="K1035" t="s">
        <v>33</v>
      </c>
      <c r="L1035" t="s">
        <v>34</v>
      </c>
      <c r="M1035" t="s">
        <v>21</v>
      </c>
      <c r="N1035" t="s">
        <v>22</v>
      </c>
      <c r="O1035">
        <f>Table1[[#All],[Quantity]]*Table1[[#All],[Unit Price (?)]]</f>
        <v>3261.03</v>
      </c>
      <c r="P1035" t="str">
        <f>TEXT(Table1[[#All],[Order Date]],"dddd")</f>
        <v>Friday</v>
      </c>
      <c r="Q1035" t="str">
        <f>TEXT(Table1[[#All],[Order Date]],"mmm")</f>
        <v>Jul</v>
      </c>
      <c r="R1035" t="str">
        <f>IF(Table1[[#All],[Total Price (?)]]&gt;1000,"High Value","Normal")</f>
        <v>High Value</v>
      </c>
    </row>
    <row r="1036" spans="1:18" x14ac:dyDescent="0.3">
      <c r="A1036" t="s">
        <v>1097</v>
      </c>
      <c r="B1036" s="1">
        <v>45798</v>
      </c>
      <c r="C1036" t="s">
        <v>48</v>
      </c>
      <c r="D1036" t="s">
        <v>43</v>
      </c>
      <c r="E1036" t="s">
        <v>99</v>
      </c>
      <c r="F1036" t="s">
        <v>100</v>
      </c>
      <c r="G1036">
        <v>1</v>
      </c>
      <c r="H1036">
        <v>4910.59</v>
      </c>
      <c r="I1036">
        <v>0.09</v>
      </c>
      <c r="J1036">
        <v>4468.6400000000003</v>
      </c>
      <c r="K1036" t="s">
        <v>41</v>
      </c>
      <c r="L1036" t="s">
        <v>34</v>
      </c>
      <c r="M1036" t="s">
        <v>21</v>
      </c>
      <c r="N1036" t="s">
        <v>22</v>
      </c>
      <c r="O1036">
        <f>Table1[[#All],[Quantity]]*Table1[[#All],[Unit Price (?)]]</f>
        <v>4910.59</v>
      </c>
      <c r="P1036" t="str">
        <f>TEXT(Table1[[#All],[Order Date]],"dddd")</f>
        <v>Wednesday</v>
      </c>
      <c r="Q1036" t="str">
        <f>TEXT(Table1[[#All],[Order Date]],"mmm")</f>
        <v>May</v>
      </c>
      <c r="R1036" t="str">
        <f>IF(Table1[[#All],[Total Price (?)]]&gt;1000,"High Value","Normal")</f>
        <v>High Value</v>
      </c>
    </row>
    <row r="1037" spans="1:18" x14ac:dyDescent="0.3">
      <c r="A1037" t="s">
        <v>1098</v>
      </c>
      <c r="B1037" s="1">
        <v>45698</v>
      </c>
      <c r="C1037" t="s">
        <v>36</v>
      </c>
      <c r="D1037" t="s">
        <v>25</v>
      </c>
      <c r="E1037" t="s">
        <v>27</v>
      </c>
      <c r="F1037" t="s">
        <v>87</v>
      </c>
      <c r="G1037">
        <v>2</v>
      </c>
      <c r="H1037">
        <v>1824.15</v>
      </c>
      <c r="I1037">
        <v>0.18</v>
      </c>
      <c r="J1037">
        <v>2991.61</v>
      </c>
      <c r="K1037" t="s">
        <v>58</v>
      </c>
      <c r="L1037" t="s">
        <v>20</v>
      </c>
      <c r="M1037" t="s">
        <v>30</v>
      </c>
      <c r="N1037" t="s">
        <v>22</v>
      </c>
      <c r="O1037">
        <f>Table1[[#All],[Quantity]]*Table1[[#All],[Unit Price (?)]]</f>
        <v>3648.3</v>
      </c>
      <c r="P1037" t="str">
        <f>TEXT(Table1[[#All],[Order Date]],"dddd")</f>
        <v>Monday</v>
      </c>
      <c r="Q1037" t="str">
        <f>TEXT(Table1[[#All],[Order Date]],"mmm")</f>
        <v>Feb</v>
      </c>
      <c r="R1037" t="str">
        <f>IF(Table1[[#All],[Total Price (?)]]&gt;1000,"High Value","Normal")</f>
        <v>High Value</v>
      </c>
    </row>
    <row r="1038" spans="1:18" x14ac:dyDescent="0.3">
      <c r="A1038" t="s">
        <v>1099</v>
      </c>
      <c r="B1038" s="1">
        <v>45674</v>
      </c>
      <c r="C1038" t="s">
        <v>15</v>
      </c>
      <c r="D1038" t="s">
        <v>43</v>
      </c>
      <c r="E1038" t="s">
        <v>61</v>
      </c>
      <c r="F1038" t="s">
        <v>66</v>
      </c>
      <c r="G1038">
        <v>4</v>
      </c>
      <c r="H1038">
        <v>1944.96</v>
      </c>
      <c r="I1038">
        <v>0.12</v>
      </c>
      <c r="J1038">
        <v>6846.26</v>
      </c>
      <c r="K1038" t="s">
        <v>41</v>
      </c>
      <c r="L1038" t="s">
        <v>20</v>
      </c>
      <c r="M1038" t="s">
        <v>21</v>
      </c>
      <c r="N1038" t="s">
        <v>22</v>
      </c>
      <c r="O1038">
        <f>Table1[[#All],[Quantity]]*Table1[[#All],[Unit Price (?)]]</f>
        <v>7779.84</v>
      </c>
      <c r="P1038" t="str">
        <f>TEXT(Table1[[#All],[Order Date]],"dddd")</f>
        <v>Friday</v>
      </c>
      <c r="Q1038" t="str">
        <f>TEXT(Table1[[#All],[Order Date]],"mmm")</f>
        <v>Jan</v>
      </c>
      <c r="R1038" t="str">
        <f>IF(Table1[[#All],[Total Price (?)]]&gt;1000,"High Value","Normal")</f>
        <v>High Value</v>
      </c>
    </row>
    <row r="1039" spans="1:18" x14ac:dyDescent="0.3">
      <c r="A1039" t="s">
        <v>1100</v>
      </c>
      <c r="B1039" s="1">
        <v>45774</v>
      </c>
      <c r="C1039" t="s">
        <v>52</v>
      </c>
      <c r="D1039" t="s">
        <v>16</v>
      </c>
      <c r="E1039" t="s">
        <v>27</v>
      </c>
      <c r="F1039" t="s">
        <v>28</v>
      </c>
      <c r="G1039">
        <v>5</v>
      </c>
      <c r="H1039">
        <v>1805.67</v>
      </c>
      <c r="I1039">
        <v>0.15</v>
      </c>
      <c r="J1039">
        <v>7674.1</v>
      </c>
      <c r="K1039" t="s">
        <v>46</v>
      </c>
      <c r="L1039" t="s">
        <v>29</v>
      </c>
      <c r="M1039" t="s">
        <v>30</v>
      </c>
      <c r="N1039" t="s">
        <v>22</v>
      </c>
      <c r="O1039">
        <f>Table1[[#All],[Quantity]]*Table1[[#All],[Unit Price (?)]]</f>
        <v>9028.35</v>
      </c>
      <c r="P1039" t="str">
        <f>TEXT(Table1[[#All],[Order Date]],"dddd")</f>
        <v>Sunday</v>
      </c>
      <c r="Q1039" t="str">
        <f>TEXT(Table1[[#All],[Order Date]],"mmm")</f>
        <v>Apr</v>
      </c>
      <c r="R1039" t="str">
        <f>IF(Table1[[#All],[Total Price (?)]]&gt;1000,"High Value","Normal")</f>
        <v>High Value</v>
      </c>
    </row>
    <row r="1040" spans="1:18" x14ac:dyDescent="0.3">
      <c r="A1040" t="s">
        <v>1101</v>
      </c>
      <c r="B1040" s="1">
        <v>45794</v>
      </c>
      <c r="C1040" t="s">
        <v>24</v>
      </c>
      <c r="D1040" t="s">
        <v>43</v>
      </c>
      <c r="E1040" t="s">
        <v>61</v>
      </c>
      <c r="F1040" t="s">
        <v>75</v>
      </c>
      <c r="G1040">
        <v>4</v>
      </c>
      <c r="H1040">
        <v>1685.93</v>
      </c>
      <c r="I1040">
        <v>0.06</v>
      </c>
      <c r="J1040">
        <v>6339.1</v>
      </c>
      <c r="K1040" t="s">
        <v>58</v>
      </c>
      <c r="L1040" t="s">
        <v>34</v>
      </c>
      <c r="M1040" t="s">
        <v>21</v>
      </c>
      <c r="N1040" t="s">
        <v>22</v>
      </c>
      <c r="O1040">
        <f>Table1[[#All],[Quantity]]*Table1[[#All],[Unit Price (?)]]</f>
        <v>6743.72</v>
      </c>
      <c r="P1040" t="str">
        <f>TEXT(Table1[[#All],[Order Date]],"dddd")</f>
        <v>Saturday</v>
      </c>
      <c r="Q1040" t="str">
        <f>TEXT(Table1[[#All],[Order Date]],"mmm")</f>
        <v>May</v>
      </c>
      <c r="R1040" t="str">
        <f>IF(Table1[[#All],[Total Price (?)]]&gt;1000,"High Value","Normal")</f>
        <v>High Value</v>
      </c>
    </row>
    <row r="1041" spans="1:18" x14ac:dyDescent="0.3">
      <c r="A1041" t="s">
        <v>1102</v>
      </c>
      <c r="B1041" s="1">
        <v>45821</v>
      </c>
      <c r="C1041" t="s">
        <v>48</v>
      </c>
      <c r="D1041" t="s">
        <v>16</v>
      </c>
      <c r="E1041" t="s">
        <v>61</v>
      </c>
      <c r="F1041" t="s">
        <v>92</v>
      </c>
      <c r="G1041">
        <v>5</v>
      </c>
      <c r="H1041">
        <v>1327.37</v>
      </c>
      <c r="I1041">
        <v>0.01</v>
      </c>
      <c r="J1041">
        <v>6570.48</v>
      </c>
      <c r="K1041" t="s">
        <v>58</v>
      </c>
      <c r="L1041" t="s">
        <v>20</v>
      </c>
      <c r="M1041" t="s">
        <v>21</v>
      </c>
      <c r="N1041" t="s">
        <v>22</v>
      </c>
      <c r="O1041">
        <f>Table1[[#All],[Quantity]]*Table1[[#All],[Unit Price (?)]]</f>
        <v>6636.8499999999995</v>
      </c>
      <c r="P1041" t="str">
        <f>TEXT(Table1[[#All],[Order Date]],"dddd")</f>
        <v>Friday</v>
      </c>
      <c r="Q1041" t="str">
        <f>TEXT(Table1[[#All],[Order Date]],"mmm")</f>
        <v>Jun</v>
      </c>
      <c r="R1041" t="str">
        <f>IF(Table1[[#All],[Total Price (?)]]&gt;1000,"High Value","Normal")</f>
        <v>High Value</v>
      </c>
    </row>
    <row r="1042" spans="1:18" x14ac:dyDescent="0.3">
      <c r="A1042" t="s">
        <v>1103</v>
      </c>
      <c r="B1042" s="1">
        <v>45781</v>
      </c>
      <c r="C1042" t="s">
        <v>52</v>
      </c>
      <c r="D1042" t="s">
        <v>43</v>
      </c>
      <c r="E1042" t="s">
        <v>99</v>
      </c>
      <c r="F1042" t="s">
        <v>120</v>
      </c>
      <c r="G1042">
        <v>4</v>
      </c>
      <c r="H1042">
        <v>1950.38</v>
      </c>
      <c r="I1042">
        <v>0.25</v>
      </c>
      <c r="J1042">
        <v>5851.14</v>
      </c>
      <c r="K1042" t="s">
        <v>46</v>
      </c>
      <c r="L1042" t="s">
        <v>20</v>
      </c>
      <c r="M1042" t="s">
        <v>21</v>
      </c>
      <c r="N1042" t="s">
        <v>22</v>
      </c>
      <c r="O1042">
        <f>Table1[[#All],[Quantity]]*Table1[[#All],[Unit Price (?)]]</f>
        <v>7801.52</v>
      </c>
      <c r="P1042" t="str">
        <f>TEXT(Table1[[#All],[Order Date]],"dddd")</f>
        <v>Sunday</v>
      </c>
      <c r="Q1042" t="str">
        <f>TEXT(Table1[[#All],[Order Date]],"mmm")</f>
        <v>May</v>
      </c>
      <c r="R1042" t="str">
        <f>IF(Table1[[#All],[Total Price (?)]]&gt;1000,"High Value","Normal")</f>
        <v>High Value</v>
      </c>
    </row>
    <row r="1043" spans="1:18" x14ac:dyDescent="0.3">
      <c r="A1043" t="s">
        <v>1104</v>
      </c>
      <c r="B1043" s="1">
        <v>45707</v>
      </c>
      <c r="C1043" t="s">
        <v>15</v>
      </c>
      <c r="D1043" t="s">
        <v>16</v>
      </c>
      <c r="E1043" t="s">
        <v>49</v>
      </c>
      <c r="F1043" t="s">
        <v>50</v>
      </c>
      <c r="G1043">
        <v>2</v>
      </c>
      <c r="H1043">
        <v>2226.91</v>
      </c>
      <c r="I1043">
        <v>0.13</v>
      </c>
      <c r="J1043">
        <v>3874.82</v>
      </c>
      <c r="K1043" t="s">
        <v>19</v>
      </c>
      <c r="L1043" t="s">
        <v>20</v>
      </c>
      <c r="M1043" t="s">
        <v>54</v>
      </c>
      <c r="N1043" t="s">
        <v>22</v>
      </c>
      <c r="O1043">
        <f>Table1[[#All],[Quantity]]*Table1[[#All],[Unit Price (?)]]</f>
        <v>4453.82</v>
      </c>
      <c r="P1043" t="str">
        <f>TEXT(Table1[[#All],[Order Date]],"dddd")</f>
        <v>Wednesday</v>
      </c>
      <c r="Q1043" t="str">
        <f>TEXT(Table1[[#All],[Order Date]],"mmm")</f>
        <v>Feb</v>
      </c>
      <c r="R1043" t="str">
        <f>IF(Table1[[#All],[Total Price (?)]]&gt;1000,"High Value","Normal")</f>
        <v>High Value</v>
      </c>
    </row>
    <row r="1044" spans="1:18" x14ac:dyDescent="0.3">
      <c r="A1044" t="s">
        <v>1105</v>
      </c>
      <c r="B1044" s="1">
        <v>45679</v>
      </c>
      <c r="C1044" t="s">
        <v>24</v>
      </c>
      <c r="D1044" t="s">
        <v>39</v>
      </c>
      <c r="E1044" t="s">
        <v>17</v>
      </c>
      <c r="F1044" t="s">
        <v>44</v>
      </c>
      <c r="G1044">
        <v>3</v>
      </c>
      <c r="H1044">
        <v>3894.49</v>
      </c>
      <c r="I1044">
        <v>0.14000000000000001</v>
      </c>
      <c r="J1044">
        <v>10047.780000000001</v>
      </c>
      <c r="K1044" t="s">
        <v>19</v>
      </c>
      <c r="L1044" t="s">
        <v>20</v>
      </c>
      <c r="M1044" t="s">
        <v>54</v>
      </c>
      <c r="N1044" t="s">
        <v>22</v>
      </c>
      <c r="O1044">
        <f>Table1[[#All],[Quantity]]*Table1[[#All],[Unit Price (?)]]</f>
        <v>11683.47</v>
      </c>
      <c r="P1044" t="str">
        <f>TEXT(Table1[[#All],[Order Date]],"dddd")</f>
        <v>Wednesday</v>
      </c>
      <c r="Q1044" t="str">
        <f>TEXT(Table1[[#All],[Order Date]],"mmm")</f>
        <v>Jan</v>
      </c>
      <c r="R1044" t="str">
        <f>IF(Table1[[#All],[Total Price (?)]]&gt;1000,"High Value","Normal")</f>
        <v>High Value</v>
      </c>
    </row>
    <row r="1045" spans="1:18" x14ac:dyDescent="0.3">
      <c r="A1045" t="s">
        <v>1106</v>
      </c>
      <c r="B1045" s="1">
        <v>45795</v>
      </c>
      <c r="C1045" t="s">
        <v>52</v>
      </c>
      <c r="D1045" t="s">
        <v>43</v>
      </c>
      <c r="E1045" t="s">
        <v>27</v>
      </c>
      <c r="F1045" t="s">
        <v>87</v>
      </c>
      <c r="G1045">
        <v>4</v>
      </c>
      <c r="H1045">
        <v>2554.17</v>
      </c>
      <c r="I1045">
        <v>0.09</v>
      </c>
      <c r="J1045">
        <v>9297.18</v>
      </c>
      <c r="K1045" t="s">
        <v>19</v>
      </c>
      <c r="L1045" t="s">
        <v>29</v>
      </c>
      <c r="M1045" t="s">
        <v>21</v>
      </c>
      <c r="N1045" t="s">
        <v>88</v>
      </c>
      <c r="O1045">
        <f>Table1[[#All],[Quantity]]*Table1[[#All],[Unit Price (?)]]</f>
        <v>10216.68</v>
      </c>
      <c r="P1045" t="str">
        <f>TEXT(Table1[[#All],[Order Date]],"dddd")</f>
        <v>Sunday</v>
      </c>
      <c r="Q1045" t="str">
        <f>TEXT(Table1[[#All],[Order Date]],"mmm")</f>
        <v>May</v>
      </c>
      <c r="R1045" t="str">
        <f>IF(Table1[[#All],[Total Price (?)]]&gt;1000,"High Value","Normal")</f>
        <v>High Value</v>
      </c>
    </row>
    <row r="1046" spans="1:18" x14ac:dyDescent="0.3">
      <c r="A1046" t="s">
        <v>1107</v>
      </c>
      <c r="B1046" s="1">
        <v>45810</v>
      </c>
      <c r="C1046" t="s">
        <v>48</v>
      </c>
      <c r="D1046" t="s">
        <v>16</v>
      </c>
      <c r="E1046" t="s">
        <v>49</v>
      </c>
      <c r="F1046" t="s">
        <v>50</v>
      </c>
      <c r="G1046">
        <v>1</v>
      </c>
      <c r="H1046">
        <v>723.24</v>
      </c>
      <c r="I1046">
        <v>0.13</v>
      </c>
      <c r="J1046">
        <v>629.22</v>
      </c>
      <c r="K1046" t="s">
        <v>58</v>
      </c>
      <c r="L1046" t="s">
        <v>29</v>
      </c>
      <c r="M1046" t="s">
        <v>54</v>
      </c>
      <c r="N1046" t="s">
        <v>22</v>
      </c>
      <c r="O1046">
        <f>Table1[[#All],[Quantity]]*Table1[[#All],[Unit Price (?)]]</f>
        <v>723.24</v>
      </c>
      <c r="P1046" t="str">
        <f>TEXT(Table1[[#All],[Order Date]],"dddd")</f>
        <v>Monday</v>
      </c>
      <c r="Q1046" t="str">
        <f>TEXT(Table1[[#All],[Order Date]],"mmm")</f>
        <v>Jun</v>
      </c>
      <c r="R1046" t="str">
        <f>IF(Table1[[#All],[Total Price (?)]]&gt;1000,"High Value","Normal")</f>
        <v>Normal</v>
      </c>
    </row>
    <row r="1047" spans="1:18" x14ac:dyDescent="0.3">
      <c r="A1047" t="s">
        <v>1108</v>
      </c>
      <c r="B1047" s="1">
        <v>45718</v>
      </c>
      <c r="C1047" t="s">
        <v>24</v>
      </c>
      <c r="D1047" t="s">
        <v>39</v>
      </c>
      <c r="E1047" t="s">
        <v>17</v>
      </c>
      <c r="F1047" t="s">
        <v>32</v>
      </c>
      <c r="G1047">
        <v>3</v>
      </c>
      <c r="H1047">
        <v>2013.09</v>
      </c>
      <c r="I1047">
        <v>0.09</v>
      </c>
      <c r="J1047">
        <v>5495.74</v>
      </c>
      <c r="K1047" t="s">
        <v>19</v>
      </c>
      <c r="L1047" t="s">
        <v>34</v>
      </c>
      <c r="M1047" t="s">
        <v>54</v>
      </c>
      <c r="N1047" t="s">
        <v>22</v>
      </c>
      <c r="O1047">
        <f>Table1[[#All],[Quantity]]*Table1[[#All],[Unit Price (?)]]</f>
        <v>6039.2699999999995</v>
      </c>
      <c r="P1047" t="str">
        <f>TEXT(Table1[[#All],[Order Date]],"dddd")</f>
        <v>Sunday</v>
      </c>
      <c r="Q1047" t="str">
        <f>TEXT(Table1[[#All],[Order Date]],"mmm")</f>
        <v>Mar</v>
      </c>
      <c r="R1047" t="str">
        <f>IF(Table1[[#All],[Total Price (?)]]&gt;1000,"High Value","Normal")</f>
        <v>High Value</v>
      </c>
    </row>
    <row r="1048" spans="1:18" x14ac:dyDescent="0.3">
      <c r="A1048" t="s">
        <v>1109</v>
      </c>
      <c r="B1048" s="1">
        <v>45825</v>
      </c>
      <c r="C1048" t="s">
        <v>36</v>
      </c>
      <c r="D1048" t="s">
        <v>16</v>
      </c>
      <c r="E1048" t="s">
        <v>27</v>
      </c>
      <c r="F1048" t="s">
        <v>68</v>
      </c>
      <c r="G1048">
        <v>3</v>
      </c>
      <c r="H1048">
        <v>2056.1799999999998</v>
      </c>
      <c r="I1048">
        <v>0.01</v>
      </c>
      <c r="J1048">
        <v>6106.85</v>
      </c>
      <c r="K1048" t="s">
        <v>33</v>
      </c>
      <c r="L1048" t="s">
        <v>29</v>
      </c>
      <c r="M1048" t="s">
        <v>21</v>
      </c>
      <c r="N1048" t="s">
        <v>22</v>
      </c>
      <c r="O1048">
        <f>Table1[[#All],[Quantity]]*Table1[[#All],[Unit Price (?)]]</f>
        <v>6168.5399999999991</v>
      </c>
      <c r="P1048" t="str">
        <f>TEXT(Table1[[#All],[Order Date]],"dddd")</f>
        <v>Tuesday</v>
      </c>
      <c r="Q1048" t="str">
        <f>TEXT(Table1[[#All],[Order Date]],"mmm")</f>
        <v>Jun</v>
      </c>
      <c r="R1048" t="str">
        <f>IF(Table1[[#All],[Total Price (?)]]&gt;1000,"High Value","Normal")</f>
        <v>High Value</v>
      </c>
    </row>
    <row r="1049" spans="1:18" x14ac:dyDescent="0.3">
      <c r="A1049" t="s">
        <v>1110</v>
      </c>
      <c r="B1049" s="1">
        <v>45792</v>
      </c>
      <c r="C1049" t="s">
        <v>24</v>
      </c>
      <c r="D1049" t="s">
        <v>43</v>
      </c>
      <c r="E1049" t="s">
        <v>99</v>
      </c>
      <c r="F1049" t="s">
        <v>120</v>
      </c>
      <c r="G1049">
        <v>3</v>
      </c>
      <c r="H1049">
        <v>1082.51</v>
      </c>
      <c r="I1049">
        <v>0.22</v>
      </c>
      <c r="J1049">
        <v>2533.0700000000002</v>
      </c>
      <c r="K1049" t="s">
        <v>46</v>
      </c>
      <c r="L1049" t="s">
        <v>34</v>
      </c>
      <c r="M1049" t="s">
        <v>54</v>
      </c>
      <c r="N1049" t="s">
        <v>22</v>
      </c>
      <c r="O1049">
        <f>Table1[[#All],[Quantity]]*Table1[[#All],[Unit Price (?)]]</f>
        <v>3247.5299999999997</v>
      </c>
      <c r="P1049" t="str">
        <f>TEXT(Table1[[#All],[Order Date]],"dddd")</f>
        <v>Thursday</v>
      </c>
      <c r="Q1049" t="str">
        <f>TEXT(Table1[[#All],[Order Date]],"mmm")</f>
        <v>May</v>
      </c>
      <c r="R1049" t="str">
        <f>IF(Table1[[#All],[Total Price (?)]]&gt;1000,"High Value","Normal")</f>
        <v>High Value</v>
      </c>
    </row>
    <row r="1050" spans="1:18" x14ac:dyDescent="0.3">
      <c r="A1050" t="s">
        <v>1111</v>
      </c>
      <c r="B1050" s="1">
        <v>45776</v>
      </c>
      <c r="C1050" t="s">
        <v>52</v>
      </c>
      <c r="D1050" t="s">
        <v>39</v>
      </c>
      <c r="E1050" t="s">
        <v>99</v>
      </c>
      <c r="F1050" t="s">
        <v>120</v>
      </c>
      <c r="G1050">
        <v>5</v>
      </c>
      <c r="H1050">
        <v>4531.1899999999996</v>
      </c>
      <c r="I1050">
        <v>0.18</v>
      </c>
      <c r="J1050">
        <v>18577.88</v>
      </c>
      <c r="K1050" t="s">
        <v>41</v>
      </c>
      <c r="L1050" t="s">
        <v>20</v>
      </c>
      <c r="M1050" t="s">
        <v>54</v>
      </c>
      <c r="N1050" t="s">
        <v>59</v>
      </c>
      <c r="O1050">
        <f>Table1[[#All],[Quantity]]*Table1[[#All],[Unit Price (?)]]</f>
        <v>22655.949999999997</v>
      </c>
      <c r="P1050" t="str">
        <f>TEXT(Table1[[#All],[Order Date]],"dddd")</f>
        <v>Tuesday</v>
      </c>
      <c r="Q1050" t="str">
        <f>TEXT(Table1[[#All],[Order Date]],"mmm")</f>
        <v>Apr</v>
      </c>
      <c r="R1050" t="str">
        <f>IF(Table1[[#All],[Total Price (?)]]&gt;1000,"High Value","Normal")</f>
        <v>High Value</v>
      </c>
    </row>
    <row r="1051" spans="1:18" x14ac:dyDescent="0.3">
      <c r="A1051" t="s">
        <v>1112</v>
      </c>
      <c r="B1051" s="1">
        <v>45816</v>
      </c>
      <c r="C1051" t="s">
        <v>36</v>
      </c>
      <c r="D1051" t="s">
        <v>43</v>
      </c>
      <c r="E1051" t="s">
        <v>49</v>
      </c>
      <c r="F1051" t="s">
        <v>56</v>
      </c>
      <c r="G1051">
        <v>3</v>
      </c>
      <c r="H1051">
        <v>3644.32</v>
      </c>
      <c r="I1051">
        <v>0.03</v>
      </c>
      <c r="J1051">
        <v>10604.97</v>
      </c>
      <c r="K1051" t="s">
        <v>41</v>
      </c>
      <c r="L1051" t="s">
        <v>20</v>
      </c>
      <c r="M1051" t="s">
        <v>30</v>
      </c>
      <c r="N1051" t="s">
        <v>22</v>
      </c>
      <c r="O1051">
        <f>Table1[[#All],[Quantity]]*Table1[[#All],[Unit Price (?)]]</f>
        <v>10932.960000000001</v>
      </c>
      <c r="P1051" t="str">
        <f>TEXT(Table1[[#All],[Order Date]],"dddd")</f>
        <v>Sunday</v>
      </c>
      <c r="Q1051" t="str">
        <f>TEXT(Table1[[#All],[Order Date]],"mmm")</f>
        <v>Jun</v>
      </c>
      <c r="R1051" t="str">
        <f>IF(Table1[[#All],[Total Price (?)]]&gt;1000,"High Value","Normal")</f>
        <v>High Value</v>
      </c>
    </row>
    <row r="1052" spans="1:18" x14ac:dyDescent="0.3">
      <c r="A1052" t="s">
        <v>1113</v>
      </c>
      <c r="B1052" s="1">
        <v>45683</v>
      </c>
      <c r="C1052" t="s">
        <v>15</v>
      </c>
      <c r="D1052" t="s">
        <v>25</v>
      </c>
      <c r="E1052" t="s">
        <v>49</v>
      </c>
      <c r="F1052" t="s">
        <v>50</v>
      </c>
      <c r="G1052">
        <v>1</v>
      </c>
      <c r="H1052">
        <v>229.13</v>
      </c>
      <c r="I1052">
        <v>0.2</v>
      </c>
      <c r="J1052">
        <v>183.3</v>
      </c>
      <c r="K1052" t="s">
        <v>19</v>
      </c>
      <c r="L1052" t="s">
        <v>20</v>
      </c>
      <c r="M1052" t="s">
        <v>54</v>
      </c>
      <c r="N1052" t="s">
        <v>22</v>
      </c>
      <c r="O1052">
        <f>Table1[[#All],[Quantity]]*Table1[[#All],[Unit Price (?)]]</f>
        <v>229.13</v>
      </c>
      <c r="P1052" t="str">
        <f>TEXT(Table1[[#All],[Order Date]],"dddd")</f>
        <v>Sunday</v>
      </c>
      <c r="Q1052" t="str">
        <f>TEXT(Table1[[#All],[Order Date]],"mmm")</f>
        <v>Jan</v>
      </c>
      <c r="R1052" t="str">
        <f>IF(Table1[[#All],[Total Price (?)]]&gt;1000,"High Value","Normal")</f>
        <v>Normal</v>
      </c>
    </row>
    <row r="1053" spans="1:18" x14ac:dyDescent="0.3">
      <c r="A1053" t="s">
        <v>1114</v>
      </c>
      <c r="B1053" s="1">
        <v>45814</v>
      </c>
      <c r="C1053" t="s">
        <v>24</v>
      </c>
      <c r="D1053" t="s">
        <v>16</v>
      </c>
      <c r="E1053" t="s">
        <v>17</v>
      </c>
      <c r="F1053" t="s">
        <v>40</v>
      </c>
      <c r="G1053">
        <v>2</v>
      </c>
      <c r="H1053">
        <v>2205.62</v>
      </c>
      <c r="I1053">
        <v>0.11</v>
      </c>
      <c r="J1053">
        <v>3926</v>
      </c>
      <c r="K1053" t="s">
        <v>41</v>
      </c>
      <c r="L1053" t="s">
        <v>34</v>
      </c>
      <c r="M1053" t="s">
        <v>54</v>
      </c>
      <c r="N1053" t="s">
        <v>22</v>
      </c>
      <c r="O1053">
        <f>Table1[[#All],[Quantity]]*Table1[[#All],[Unit Price (?)]]</f>
        <v>4411.24</v>
      </c>
      <c r="P1053" t="str">
        <f>TEXT(Table1[[#All],[Order Date]],"dddd")</f>
        <v>Friday</v>
      </c>
      <c r="Q1053" t="str">
        <f>TEXT(Table1[[#All],[Order Date]],"mmm")</f>
        <v>Jun</v>
      </c>
      <c r="R1053" t="str">
        <f>IF(Table1[[#All],[Total Price (?)]]&gt;1000,"High Value","Normal")</f>
        <v>High Value</v>
      </c>
    </row>
    <row r="1054" spans="1:18" x14ac:dyDescent="0.3">
      <c r="A1054" t="s">
        <v>1115</v>
      </c>
      <c r="B1054" s="1">
        <v>45769</v>
      </c>
      <c r="C1054" t="s">
        <v>15</v>
      </c>
      <c r="D1054" t="s">
        <v>16</v>
      </c>
      <c r="E1054" t="s">
        <v>27</v>
      </c>
      <c r="F1054" t="s">
        <v>28</v>
      </c>
      <c r="G1054">
        <v>4</v>
      </c>
      <c r="H1054">
        <v>4598.54</v>
      </c>
      <c r="I1054">
        <v>0.06</v>
      </c>
      <c r="J1054">
        <v>17290.509999999998</v>
      </c>
      <c r="K1054" t="s">
        <v>19</v>
      </c>
      <c r="L1054" t="s">
        <v>34</v>
      </c>
      <c r="M1054" t="s">
        <v>54</v>
      </c>
      <c r="N1054" t="s">
        <v>22</v>
      </c>
      <c r="O1054">
        <f>Table1[[#All],[Quantity]]*Table1[[#All],[Unit Price (?)]]</f>
        <v>18394.16</v>
      </c>
      <c r="P1054" t="str">
        <f>TEXT(Table1[[#All],[Order Date]],"dddd")</f>
        <v>Tuesday</v>
      </c>
      <c r="Q1054" t="str">
        <f>TEXT(Table1[[#All],[Order Date]],"mmm")</f>
        <v>Apr</v>
      </c>
      <c r="R1054" t="str">
        <f>IF(Table1[[#All],[Total Price (?)]]&gt;1000,"High Value","Normal")</f>
        <v>High Value</v>
      </c>
    </row>
    <row r="1055" spans="1:18" x14ac:dyDescent="0.3">
      <c r="A1055" t="s">
        <v>1116</v>
      </c>
      <c r="B1055" s="1">
        <v>45811</v>
      </c>
      <c r="C1055" t="s">
        <v>24</v>
      </c>
      <c r="D1055" t="s">
        <v>16</v>
      </c>
      <c r="E1055" t="s">
        <v>27</v>
      </c>
      <c r="F1055" t="s">
        <v>79</v>
      </c>
      <c r="G1055">
        <v>1</v>
      </c>
      <c r="H1055">
        <v>377.61</v>
      </c>
      <c r="I1055">
        <v>0.11</v>
      </c>
      <c r="J1055">
        <v>336.07</v>
      </c>
      <c r="K1055" t="s">
        <v>19</v>
      </c>
      <c r="L1055" t="s">
        <v>20</v>
      </c>
      <c r="M1055" t="s">
        <v>30</v>
      </c>
      <c r="N1055" t="s">
        <v>22</v>
      </c>
      <c r="O1055">
        <f>Table1[[#All],[Quantity]]*Table1[[#All],[Unit Price (?)]]</f>
        <v>377.61</v>
      </c>
      <c r="P1055" t="str">
        <f>TEXT(Table1[[#All],[Order Date]],"dddd")</f>
        <v>Tuesday</v>
      </c>
      <c r="Q1055" t="str">
        <f>TEXT(Table1[[#All],[Order Date]],"mmm")</f>
        <v>Jun</v>
      </c>
      <c r="R1055" t="str">
        <f>IF(Table1[[#All],[Total Price (?)]]&gt;1000,"High Value","Normal")</f>
        <v>Normal</v>
      </c>
    </row>
    <row r="1056" spans="1:18" x14ac:dyDescent="0.3">
      <c r="A1056" t="s">
        <v>1117</v>
      </c>
      <c r="B1056" s="1">
        <v>45667</v>
      </c>
      <c r="C1056" t="s">
        <v>15</v>
      </c>
      <c r="D1056" t="s">
        <v>16</v>
      </c>
      <c r="E1056" t="s">
        <v>27</v>
      </c>
      <c r="F1056" t="s">
        <v>68</v>
      </c>
      <c r="G1056">
        <v>4</v>
      </c>
      <c r="H1056">
        <v>2445.64</v>
      </c>
      <c r="I1056">
        <v>0.03</v>
      </c>
      <c r="J1056">
        <v>9489.08</v>
      </c>
      <c r="K1056" t="s">
        <v>19</v>
      </c>
      <c r="L1056" t="s">
        <v>29</v>
      </c>
      <c r="M1056" t="s">
        <v>54</v>
      </c>
      <c r="N1056" t="s">
        <v>22</v>
      </c>
      <c r="O1056">
        <f>Table1[[#All],[Quantity]]*Table1[[#All],[Unit Price (?)]]</f>
        <v>9782.56</v>
      </c>
      <c r="P1056" t="str">
        <f>TEXT(Table1[[#All],[Order Date]],"dddd")</f>
        <v>Friday</v>
      </c>
      <c r="Q1056" t="str">
        <f>TEXT(Table1[[#All],[Order Date]],"mmm")</f>
        <v>Jan</v>
      </c>
      <c r="R1056" t="str">
        <f>IF(Table1[[#All],[Total Price (?)]]&gt;1000,"High Value","Normal")</f>
        <v>High Value</v>
      </c>
    </row>
    <row r="1057" spans="1:18" x14ac:dyDescent="0.3">
      <c r="A1057" t="s">
        <v>1118</v>
      </c>
      <c r="B1057" s="1">
        <v>45727</v>
      </c>
      <c r="C1057" t="s">
        <v>48</v>
      </c>
      <c r="D1057" t="s">
        <v>39</v>
      </c>
      <c r="E1057" t="s">
        <v>27</v>
      </c>
      <c r="F1057" t="s">
        <v>68</v>
      </c>
      <c r="G1057">
        <v>4</v>
      </c>
      <c r="H1057">
        <v>3594.36</v>
      </c>
      <c r="I1057">
        <v>0.24</v>
      </c>
      <c r="J1057">
        <v>10926.85</v>
      </c>
      <c r="K1057" t="s">
        <v>46</v>
      </c>
      <c r="L1057" t="s">
        <v>20</v>
      </c>
      <c r="M1057" t="s">
        <v>21</v>
      </c>
      <c r="N1057" t="s">
        <v>37</v>
      </c>
      <c r="O1057">
        <f>Table1[[#All],[Quantity]]*Table1[[#All],[Unit Price (?)]]</f>
        <v>14377.44</v>
      </c>
      <c r="P1057" t="str">
        <f>TEXT(Table1[[#All],[Order Date]],"dddd")</f>
        <v>Tuesday</v>
      </c>
      <c r="Q1057" t="str">
        <f>TEXT(Table1[[#All],[Order Date]],"mmm")</f>
        <v>Mar</v>
      </c>
      <c r="R1057" t="str">
        <f>IF(Table1[[#All],[Total Price (?)]]&gt;1000,"High Value","Normal")</f>
        <v>High Value</v>
      </c>
    </row>
    <row r="1058" spans="1:18" x14ac:dyDescent="0.3">
      <c r="A1058" t="s">
        <v>1119</v>
      </c>
      <c r="B1058" s="1">
        <v>45763</v>
      </c>
      <c r="C1058" t="s">
        <v>15</v>
      </c>
      <c r="D1058" t="s">
        <v>25</v>
      </c>
      <c r="E1058" t="s">
        <v>61</v>
      </c>
      <c r="F1058" t="s">
        <v>66</v>
      </c>
      <c r="G1058">
        <v>1</v>
      </c>
      <c r="H1058">
        <v>364.59</v>
      </c>
      <c r="I1058">
        <v>0.23</v>
      </c>
      <c r="J1058">
        <v>280.73</v>
      </c>
      <c r="K1058" t="s">
        <v>33</v>
      </c>
      <c r="L1058" t="s">
        <v>29</v>
      </c>
      <c r="M1058" t="s">
        <v>21</v>
      </c>
      <c r="N1058" t="s">
        <v>22</v>
      </c>
      <c r="O1058">
        <f>Table1[[#All],[Quantity]]*Table1[[#All],[Unit Price (?)]]</f>
        <v>364.59</v>
      </c>
      <c r="P1058" t="str">
        <f>TEXT(Table1[[#All],[Order Date]],"dddd")</f>
        <v>Wednesday</v>
      </c>
      <c r="Q1058" t="str">
        <f>TEXT(Table1[[#All],[Order Date]],"mmm")</f>
        <v>Apr</v>
      </c>
      <c r="R1058" t="str">
        <f>IF(Table1[[#All],[Total Price (?)]]&gt;1000,"High Value","Normal")</f>
        <v>Normal</v>
      </c>
    </row>
    <row r="1059" spans="1:18" x14ac:dyDescent="0.3">
      <c r="A1059" t="s">
        <v>1120</v>
      </c>
      <c r="B1059" s="1">
        <v>45743</v>
      </c>
      <c r="C1059" t="s">
        <v>36</v>
      </c>
      <c r="D1059" t="s">
        <v>16</v>
      </c>
      <c r="E1059" t="s">
        <v>61</v>
      </c>
      <c r="F1059" t="s">
        <v>75</v>
      </c>
      <c r="G1059">
        <v>5</v>
      </c>
      <c r="H1059">
        <v>1132.77</v>
      </c>
      <c r="I1059">
        <v>0.09</v>
      </c>
      <c r="J1059">
        <v>5154.1000000000004</v>
      </c>
      <c r="K1059" t="s">
        <v>19</v>
      </c>
      <c r="L1059" t="s">
        <v>34</v>
      </c>
      <c r="M1059" t="s">
        <v>54</v>
      </c>
      <c r="N1059" t="s">
        <v>59</v>
      </c>
      <c r="O1059">
        <f>Table1[[#All],[Quantity]]*Table1[[#All],[Unit Price (?)]]</f>
        <v>5663.85</v>
      </c>
      <c r="P1059" t="str">
        <f>TEXT(Table1[[#All],[Order Date]],"dddd")</f>
        <v>Thursday</v>
      </c>
      <c r="Q1059" t="str">
        <f>TEXT(Table1[[#All],[Order Date]],"mmm")</f>
        <v>Mar</v>
      </c>
      <c r="R1059" t="str">
        <f>IF(Table1[[#All],[Total Price (?)]]&gt;1000,"High Value","Normal")</f>
        <v>High Value</v>
      </c>
    </row>
    <row r="1060" spans="1:18" x14ac:dyDescent="0.3">
      <c r="A1060" t="s">
        <v>1121</v>
      </c>
      <c r="B1060" s="1">
        <v>45788</v>
      </c>
      <c r="C1060" t="s">
        <v>24</v>
      </c>
      <c r="D1060" t="s">
        <v>16</v>
      </c>
      <c r="E1060" t="s">
        <v>49</v>
      </c>
      <c r="F1060" t="s">
        <v>50</v>
      </c>
      <c r="G1060">
        <v>1</v>
      </c>
      <c r="H1060">
        <v>1424.46</v>
      </c>
      <c r="I1060">
        <v>0.15</v>
      </c>
      <c r="J1060">
        <v>1210.79</v>
      </c>
      <c r="K1060" t="s">
        <v>58</v>
      </c>
      <c r="L1060" t="s">
        <v>34</v>
      </c>
      <c r="M1060" t="s">
        <v>30</v>
      </c>
      <c r="N1060" t="s">
        <v>22</v>
      </c>
      <c r="O1060">
        <f>Table1[[#All],[Quantity]]*Table1[[#All],[Unit Price (?)]]</f>
        <v>1424.46</v>
      </c>
      <c r="P1060" t="str">
        <f>TEXT(Table1[[#All],[Order Date]],"dddd")</f>
        <v>Sunday</v>
      </c>
      <c r="Q1060" t="str">
        <f>TEXT(Table1[[#All],[Order Date]],"mmm")</f>
        <v>May</v>
      </c>
      <c r="R1060" t="str">
        <f>IF(Table1[[#All],[Total Price (?)]]&gt;1000,"High Value","Normal")</f>
        <v>High Value</v>
      </c>
    </row>
    <row r="1061" spans="1:18" x14ac:dyDescent="0.3">
      <c r="A1061" t="s">
        <v>1122</v>
      </c>
      <c r="B1061" s="1">
        <v>45731</v>
      </c>
      <c r="C1061" t="s">
        <v>48</v>
      </c>
      <c r="D1061" t="s">
        <v>43</v>
      </c>
      <c r="E1061" t="s">
        <v>27</v>
      </c>
      <c r="F1061" t="s">
        <v>87</v>
      </c>
      <c r="G1061">
        <v>4</v>
      </c>
      <c r="H1061">
        <v>2275.6999999999998</v>
      </c>
      <c r="I1061">
        <v>0.06</v>
      </c>
      <c r="J1061">
        <v>8556.6299999999992</v>
      </c>
      <c r="K1061" t="s">
        <v>58</v>
      </c>
      <c r="L1061" t="s">
        <v>34</v>
      </c>
      <c r="M1061" t="s">
        <v>30</v>
      </c>
      <c r="N1061" t="s">
        <v>22</v>
      </c>
      <c r="O1061">
        <f>Table1[[#All],[Quantity]]*Table1[[#All],[Unit Price (?)]]</f>
        <v>9102.7999999999993</v>
      </c>
      <c r="P1061" t="str">
        <f>TEXT(Table1[[#All],[Order Date]],"dddd")</f>
        <v>Saturday</v>
      </c>
      <c r="Q1061" t="str">
        <f>TEXT(Table1[[#All],[Order Date]],"mmm")</f>
        <v>Mar</v>
      </c>
      <c r="R1061" t="str">
        <f>IF(Table1[[#All],[Total Price (?)]]&gt;1000,"High Value","Normal")</f>
        <v>High Value</v>
      </c>
    </row>
    <row r="1062" spans="1:18" x14ac:dyDescent="0.3">
      <c r="A1062" t="s">
        <v>1123</v>
      </c>
      <c r="B1062" s="1">
        <v>45673</v>
      </c>
      <c r="C1062" t="s">
        <v>15</v>
      </c>
      <c r="D1062" t="s">
        <v>39</v>
      </c>
      <c r="E1062" t="s">
        <v>27</v>
      </c>
      <c r="F1062" t="s">
        <v>79</v>
      </c>
      <c r="G1062">
        <v>3</v>
      </c>
      <c r="H1062">
        <v>4692.3999999999996</v>
      </c>
      <c r="I1062">
        <v>0.23</v>
      </c>
      <c r="J1062">
        <v>10839.44</v>
      </c>
      <c r="K1062" t="s">
        <v>58</v>
      </c>
      <c r="L1062" t="s">
        <v>29</v>
      </c>
      <c r="M1062" t="s">
        <v>30</v>
      </c>
      <c r="N1062" t="s">
        <v>88</v>
      </c>
      <c r="O1062">
        <f>Table1[[#All],[Quantity]]*Table1[[#All],[Unit Price (?)]]</f>
        <v>14077.199999999999</v>
      </c>
      <c r="P1062" t="str">
        <f>TEXT(Table1[[#All],[Order Date]],"dddd")</f>
        <v>Thursday</v>
      </c>
      <c r="Q1062" t="str">
        <f>TEXT(Table1[[#All],[Order Date]],"mmm")</f>
        <v>Jan</v>
      </c>
      <c r="R1062" t="str">
        <f>IF(Table1[[#All],[Total Price (?)]]&gt;1000,"High Value","Normal")</f>
        <v>High Value</v>
      </c>
    </row>
    <row r="1063" spans="1:18" x14ac:dyDescent="0.3">
      <c r="A1063" t="s">
        <v>1124</v>
      </c>
      <c r="B1063" s="1">
        <v>45758</v>
      </c>
      <c r="C1063" t="s">
        <v>24</v>
      </c>
      <c r="D1063" t="s">
        <v>16</v>
      </c>
      <c r="E1063" t="s">
        <v>27</v>
      </c>
      <c r="F1063" t="s">
        <v>68</v>
      </c>
      <c r="G1063">
        <v>5</v>
      </c>
      <c r="H1063">
        <v>2226.9699999999998</v>
      </c>
      <c r="I1063">
        <v>0.11</v>
      </c>
      <c r="J1063">
        <v>9910.02</v>
      </c>
      <c r="K1063" t="s">
        <v>46</v>
      </c>
      <c r="L1063" t="s">
        <v>29</v>
      </c>
      <c r="M1063" t="s">
        <v>21</v>
      </c>
      <c r="N1063" t="s">
        <v>88</v>
      </c>
      <c r="O1063">
        <f>Table1[[#All],[Quantity]]*Table1[[#All],[Unit Price (?)]]</f>
        <v>11134.849999999999</v>
      </c>
      <c r="P1063" t="str">
        <f>TEXT(Table1[[#All],[Order Date]],"dddd")</f>
        <v>Friday</v>
      </c>
      <c r="Q1063" t="str">
        <f>TEXT(Table1[[#All],[Order Date]],"mmm")</f>
        <v>Apr</v>
      </c>
      <c r="R1063" t="str">
        <f>IF(Table1[[#All],[Total Price (?)]]&gt;1000,"High Value","Normal")</f>
        <v>High Value</v>
      </c>
    </row>
    <row r="1064" spans="1:18" x14ac:dyDescent="0.3">
      <c r="A1064" t="s">
        <v>1125</v>
      </c>
      <c r="B1064" s="1">
        <v>45785</v>
      </c>
      <c r="C1064" t="s">
        <v>15</v>
      </c>
      <c r="D1064" t="s">
        <v>39</v>
      </c>
      <c r="E1064" t="s">
        <v>27</v>
      </c>
      <c r="F1064" t="s">
        <v>87</v>
      </c>
      <c r="G1064">
        <v>4</v>
      </c>
      <c r="H1064">
        <v>2905.75</v>
      </c>
      <c r="I1064">
        <v>0.14000000000000001</v>
      </c>
      <c r="J1064">
        <v>9995.7800000000007</v>
      </c>
      <c r="K1064" t="s">
        <v>33</v>
      </c>
      <c r="L1064" t="s">
        <v>34</v>
      </c>
      <c r="M1064" t="s">
        <v>21</v>
      </c>
      <c r="N1064" t="s">
        <v>22</v>
      </c>
      <c r="O1064">
        <f>Table1[[#All],[Quantity]]*Table1[[#All],[Unit Price (?)]]</f>
        <v>11623</v>
      </c>
      <c r="P1064" t="str">
        <f>TEXT(Table1[[#All],[Order Date]],"dddd")</f>
        <v>Thursday</v>
      </c>
      <c r="Q1064" t="str">
        <f>TEXT(Table1[[#All],[Order Date]],"mmm")</f>
        <v>May</v>
      </c>
      <c r="R1064" t="str">
        <f>IF(Table1[[#All],[Total Price (?)]]&gt;1000,"High Value","Normal")</f>
        <v>High Value</v>
      </c>
    </row>
    <row r="1065" spans="1:18" x14ac:dyDescent="0.3">
      <c r="A1065" t="s">
        <v>1126</v>
      </c>
      <c r="B1065" s="1">
        <v>45726</v>
      </c>
      <c r="C1065" t="s">
        <v>52</v>
      </c>
      <c r="D1065" t="s">
        <v>43</v>
      </c>
      <c r="E1065" t="s">
        <v>49</v>
      </c>
      <c r="F1065" t="s">
        <v>50</v>
      </c>
      <c r="G1065">
        <v>3</v>
      </c>
      <c r="H1065">
        <v>4017.99</v>
      </c>
      <c r="I1065">
        <v>0.24</v>
      </c>
      <c r="J1065">
        <v>9161.02</v>
      </c>
      <c r="K1065" t="s">
        <v>19</v>
      </c>
      <c r="L1065" t="s">
        <v>20</v>
      </c>
      <c r="M1065" t="s">
        <v>54</v>
      </c>
      <c r="N1065" t="s">
        <v>88</v>
      </c>
      <c r="O1065">
        <f>Table1[[#All],[Quantity]]*Table1[[#All],[Unit Price (?)]]</f>
        <v>12053.97</v>
      </c>
      <c r="P1065" t="str">
        <f>TEXT(Table1[[#All],[Order Date]],"dddd")</f>
        <v>Monday</v>
      </c>
      <c r="Q1065" t="str">
        <f>TEXT(Table1[[#All],[Order Date]],"mmm")</f>
        <v>Mar</v>
      </c>
      <c r="R1065" t="str">
        <f>IF(Table1[[#All],[Total Price (?)]]&gt;1000,"High Value","Normal")</f>
        <v>High Value</v>
      </c>
    </row>
    <row r="1066" spans="1:18" x14ac:dyDescent="0.3">
      <c r="A1066" t="s">
        <v>1127</v>
      </c>
      <c r="B1066" s="1">
        <v>45662</v>
      </c>
      <c r="C1066" t="s">
        <v>36</v>
      </c>
      <c r="D1066" t="s">
        <v>16</v>
      </c>
      <c r="E1066" t="s">
        <v>99</v>
      </c>
      <c r="F1066" t="s">
        <v>111</v>
      </c>
      <c r="G1066">
        <v>5</v>
      </c>
      <c r="H1066">
        <v>1443.92</v>
      </c>
      <c r="I1066">
        <v>7.0000000000000007E-2</v>
      </c>
      <c r="J1066">
        <v>6714.23</v>
      </c>
      <c r="K1066" t="s">
        <v>41</v>
      </c>
      <c r="L1066" t="s">
        <v>20</v>
      </c>
      <c r="M1066" t="s">
        <v>30</v>
      </c>
      <c r="N1066" t="s">
        <v>22</v>
      </c>
      <c r="O1066">
        <f>Table1[[#All],[Quantity]]*Table1[[#All],[Unit Price (?)]]</f>
        <v>7219.6</v>
      </c>
      <c r="P1066" t="str">
        <f>TEXT(Table1[[#All],[Order Date]],"dddd")</f>
        <v>Sunday</v>
      </c>
      <c r="Q1066" t="str">
        <f>TEXT(Table1[[#All],[Order Date]],"mmm")</f>
        <v>Jan</v>
      </c>
      <c r="R1066" t="str">
        <f>IF(Table1[[#All],[Total Price (?)]]&gt;1000,"High Value","Normal")</f>
        <v>High Value</v>
      </c>
    </row>
    <row r="1067" spans="1:18" x14ac:dyDescent="0.3">
      <c r="A1067" t="s">
        <v>1128</v>
      </c>
      <c r="B1067" s="1">
        <v>45824</v>
      </c>
      <c r="C1067" t="s">
        <v>15</v>
      </c>
      <c r="D1067" t="s">
        <v>39</v>
      </c>
      <c r="E1067" t="s">
        <v>27</v>
      </c>
      <c r="F1067" t="s">
        <v>28</v>
      </c>
      <c r="G1067">
        <v>4</v>
      </c>
      <c r="H1067">
        <v>184.61</v>
      </c>
      <c r="I1067">
        <v>0</v>
      </c>
      <c r="J1067">
        <v>738.44</v>
      </c>
      <c r="K1067" t="s">
        <v>19</v>
      </c>
      <c r="L1067" t="s">
        <v>34</v>
      </c>
      <c r="M1067" t="s">
        <v>54</v>
      </c>
      <c r="N1067" t="s">
        <v>22</v>
      </c>
      <c r="O1067">
        <f>Table1[[#All],[Quantity]]*Table1[[#All],[Unit Price (?)]]</f>
        <v>738.44</v>
      </c>
      <c r="P1067" t="str">
        <f>TEXT(Table1[[#All],[Order Date]],"dddd")</f>
        <v>Monday</v>
      </c>
      <c r="Q1067" t="str">
        <f>TEXT(Table1[[#All],[Order Date]],"mmm")</f>
        <v>Jun</v>
      </c>
      <c r="R1067" t="str">
        <f>IF(Table1[[#All],[Total Price (?)]]&gt;1000,"High Value","Normal")</f>
        <v>Normal</v>
      </c>
    </row>
    <row r="1068" spans="1:18" x14ac:dyDescent="0.3">
      <c r="A1068" t="s">
        <v>1129</v>
      </c>
      <c r="B1068" s="1">
        <v>45741</v>
      </c>
      <c r="C1068" t="s">
        <v>48</v>
      </c>
      <c r="D1068" t="s">
        <v>16</v>
      </c>
      <c r="E1068" t="s">
        <v>27</v>
      </c>
      <c r="F1068" t="s">
        <v>68</v>
      </c>
      <c r="G1068">
        <v>1</v>
      </c>
      <c r="H1068">
        <v>1454.58</v>
      </c>
      <c r="I1068">
        <v>0.15</v>
      </c>
      <c r="J1068">
        <v>1236.3900000000001</v>
      </c>
      <c r="K1068" t="s">
        <v>58</v>
      </c>
      <c r="L1068" t="s">
        <v>29</v>
      </c>
      <c r="M1068" t="s">
        <v>30</v>
      </c>
      <c r="N1068" t="s">
        <v>22</v>
      </c>
      <c r="O1068">
        <f>Table1[[#All],[Quantity]]*Table1[[#All],[Unit Price (?)]]</f>
        <v>1454.58</v>
      </c>
      <c r="P1068" t="str">
        <f>TEXT(Table1[[#All],[Order Date]],"dddd")</f>
        <v>Tuesday</v>
      </c>
      <c r="Q1068" t="str">
        <f>TEXT(Table1[[#All],[Order Date]],"mmm")</f>
        <v>Mar</v>
      </c>
      <c r="R1068" t="str">
        <f>IF(Table1[[#All],[Total Price (?)]]&gt;1000,"High Value","Normal")</f>
        <v>High Value</v>
      </c>
    </row>
    <row r="1069" spans="1:18" x14ac:dyDescent="0.3">
      <c r="A1069" t="s">
        <v>1130</v>
      </c>
      <c r="B1069" s="1">
        <v>45819</v>
      </c>
      <c r="C1069" t="s">
        <v>15</v>
      </c>
      <c r="D1069" t="s">
        <v>16</v>
      </c>
      <c r="E1069" t="s">
        <v>99</v>
      </c>
      <c r="F1069" t="s">
        <v>111</v>
      </c>
      <c r="G1069">
        <v>2</v>
      </c>
      <c r="H1069">
        <v>3188.66</v>
      </c>
      <c r="I1069">
        <v>0.04</v>
      </c>
      <c r="J1069">
        <v>6122.23</v>
      </c>
      <c r="K1069" t="s">
        <v>41</v>
      </c>
      <c r="L1069" t="s">
        <v>20</v>
      </c>
      <c r="M1069" t="s">
        <v>21</v>
      </c>
      <c r="N1069" t="s">
        <v>22</v>
      </c>
      <c r="O1069">
        <f>Table1[[#All],[Quantity]]*Table1[[#All],[Unit Price (?)]]</f>
        <v>6377.32</v>
      </c>
      <c r="P1069" t="str">
        <f>TEXT(Table1[[#All],[Order Date]],"dddd")</f>
        <v>Wednesday</v>
      </c>
      <c r="Q1069" t="str">
        <f>TEXT(Table1[[#All],[Order Date]],"mmm")</f>
        <v>Jun</v>
      </c>
      <c r="R1069" t="str">
        <f>IF(Table1[[#All],[Total Price (?)]]&gt;1000,"High Value","Normal")</f>
        <v>High Value</v>
      </c>
    </row>
    <row r="1070" spans="1:18" x14ac:dyDescent="0.3">
      <c r="A1070" t="s">
        <v>1131</v>
      </c>
      <c r="B1070" s="1">
        <v>45755</v>
      </c>
      <c r="C1070" t="s">
        <v>36</v>
      </c>
      <c r="D1070" t="s">
        <v>39</v>
      </c>
      <c r="E1070" t="s">
        <v>17</v>
      </c>
      <c r="F1070" t="s">
        <v>44</v>
      </c>
      <c r="G1070">
        <v>3</v>
      </c>
      <c r="H1070">
        <v>305.58</v>
      </c>
      <c r="I1070">
        <v>0.18</v>
      </c>
      <c r="J1070">
        <v>751.73</v>
      </c>
      <c r="K1070" t="s">
        <v>41</v>
      </c>
      <c r="L1070" t="s">
        <v>29</v>
      </c>
      <c r="M1070" t="s">
        <v>54</v>
      </c>
      <c r="N1070" t="s">
        <v>59</v>
      </c>
      <c r="O1070">
        <f>Table1[[#All],[Quantity]]*Table1[[#All],[Unit Price (?)]]</f>
        <v>916.74</v>
      </c>
      <c r="P1070" t="str">
        <f>TEXT(Table1[[#All],[Order Date]],"dddd")</f>
        <v>Tuesday</v>
      </c>
      <c r="Q1070" t="str">
        <f>TEXT(Table1[[#All],[Order Date]],"mmm")</f>
        <v>Apr</v>
      </c>
      <c r="R1070" t="str">
        <f>IF(Table1[[#All],[Total Price (?)]]&gt;1000,"High Value","Normal")</f>
        <v>Normal</v>
      </c>
    </row>
    <row r="1071" spans="1:18" x14ac:dyDescent="0.3">
      <c r="A1071" t="s">
        <v>1132</v>
      </c>
      <c r="B1071" s="1">
        <v>45680</v>
      </c>
      <c r="C1071" t="s">
        <v>36</v>
      </c>
      <c r="D1071" t="s">
        <v>16</v>
      </c>
      <c r="E1071" t="s">
        <v>17</v>
      </c>
      <c r="F1071" t="s">
        <v>32</v>
      </c>
      <c r="G1071">
        <v>2</v>
      </c>
      <c r="H1071">
        <v>1813.68</v>
      </c>
      <c r="I1071">
        <v>0.02</v>
      </c>
      <c r="J1071">
        <v>3554.81</v>
      </c>
      <c r="K1071" t="s">
        <v>58</v>
      </c>
      <c r="L1071" t="s">
        <v>29</v>
      </c>
      <c r="M1071" t="s">
        <v>30</v>
      </c>
      <c r="N1071" t="s">
        <v>22</v>
      </c>
      <c r="O1071">
        <f>Table1[[#All],[Quantity]]*Table1[[#All],[Unit Price (?)]]</f>
        <v>3627.36</v>
      </c>
      <c r="P1071" t="str">
        <f>TEXT(Table1[[#All],[Order Date]],"dddd")</f>
        <v>Thursday</v>
      </c>
      <c r="Q1071" t="str">
        <f>TEXT(Table1[[#All],[Order Date]],"mmm")</f>
        <v>Jan</v>
      </c>
      <c r="R1071" t="str">
        <f>IF(Table1[[#All],[Total Price (?)]]&gt;1000,"High Value","Normal")</f>
        <v>High Value</v>
      </c>
    </row>
    <row r="1072" spans="1:18" x14ac:dyDescent="0.3">
      <c r="A1072" t="s">
        <v>1133</v>
      </c>
      <c r="B1072" s="1">
        <v>45744</v>
      </c>
      <c r="C1072" t="s">
        <v>15</v>
      </c>
      <c r="D1072" t="s">
        <v>43</v>
      </c>
      <c r="E1072" t="s">
        <v>61</v>
      </c>
      <c r="F1072" t="s">
        <v>75</v>
      </c>
      <c r="G1072">
        <v>4</v>
      </c>
      <c r="H1072">
        <v>449.83</v>
      </c>
      <c r="I1072">
        <v>0.11</v>
      </c>
      <c r="J1072">
        <v>1601.39</v>
      </c>
      <c r="K1072" t="s">
        <v>33</v>
      </c>
      <c r="L1072" t="s">
        <v>34</v>
      </c>
      <c r="M1072" t="s">
        <v>30</v>
      </c>
      <c r="N1072" t="s">
        <v>22</v>
      </c>
      <c r="O1072">
        <f>Table1[[#All],[Quantity]]*Table1[[#All],[Unit Price (?)]]</f>
        <v>1799.32</v>
      </c>
      <c r="P1072" t="str">
        <f>TEXT(Table1[[#All],[Order Date]],"dddd")</f>
        <v>Friday</v>
      </c>
      <c r="Q1072" t="str">
        <f>TEXT(Table1[[#All],[Order Date]],"mmm")</f>
        <v>Mar</v>
      </c>
      <c r="R1072" t="str">
        <f>IF(Table1[[#All],[Total Price (?)]]&gt;1000,"High Value","Normal")</f>
        <v>High Value</v>
      </c>
    </row>
    <row r="1073" spans="1:18" x14ac:dyDescent="0.3">
      <c r="A1073" t="s">
        <v>1134</v>
      </c>
      <c r="B1073" s="1">
        <v>45730</v>
      </c>
      <c r="C1073" t="s">
        <v>15</v>
      </c>
      <c r="D1073" t="s">
        <v>16</v>
      </c>
      <c r="E1073" t="s">
        <v>27</v>
      </c>
      <c r="F1073" t="s">
        <v>28</v>
      </c>
      <c r="G1073">
        <v>3</v>
      </c>
      <c r="H1073">
        <v>2406.36</v>
      </c>
      <c r="I1073">
        <v>0.24</v>
      </c>
      <c r="J1073">
        <v>5486.5</v>
      </c>
      <c r="K1073" t="s">
        <v>41</v>
      </c>
      <c r="L1073" t="s">
        <v>29</v>
      </c>
      <c r="M1073" t="s">
        <v>21</v>
      </c>
      <c r="N1073" t="s">
        <v>22</v>
      </c>
      <c r="O1073">
        <f>Table1[[#All],[Quantity]]*Table1[[#All],[Unit Price (?)]]</f>
        <v>7219.08</v>
      </c>
      <c r="P1073" t="str">
        <f>TEXT(Table1[[#All],[Order Date]],"dddd")</f>
        <v>Friday</v>
      </c>
      <c r="Q1073" t="str">
        <f>TEXT(Table1[[#All],[Order Date]],"mmm")</f>
        <v>Mar</v>
      </c>
      <c r="R1073" t="str">
        <f>IF(Table1[[#All],[Total Price (?)]]&gt;1000,"High Value","Normal")</f>
        <v>High Value</v>
      </c>
    </row>
    <row r="1074" spans="1:18" x14ac:dyDescent="0.3">
      <c r="A1074" t="s">
        <v>1135</v>
      </c>
      <c r="B1074" s="1">
        <v>45783</v>
      </c>
      <c r="C1074" t="s">
        <v>52</v>
      </c>
      <c r="D1074" t="s">
        <v>39</v>
      </c>
      <c r="E1074" t="s">
        <v>17</v>
      </c>
      <c r="F1074" t="s">
        <v>32</v>
      </c>
      <c r="G1074">
        <v>1</v>
      </c>
      <c r="H1074">
        <v>3084.29</v>
      </c>
      <c r="I1074">
        <v>0.2</v>
      </c>
      <c r="J1074">
        <v>2467.4299999999998</v>
      </c>
      <c r="K1074" t="s">
        <v>33</v>
      </c>
      <c r="L1074" t="s">
        <v>20</v>
      </c>
      <c r="M1074" t="s">
        <v>21</v>
      </c>
      <c r="N1074" t="s">
        <v>37</v>
      </c>
      <c r="O1074">
        <f>Table1[[#All],[Quantity]]*Table1[[#All],[Unit Price (?)]]</f>
        <v>3084.29</v>
      </c>
      <c r="P1074" t="str">
        <f>TEXT(Table1[[#All],[Order Date]],"dddd")</f>
        <v>Tuesday</v>
      </c>
      <c r="Q1074" t="str">
        <f>TEXT(Table1[[#All],[Order Date]],"mmm")</f>
        <v>May</v>
      </c>
      <c r="R1074" t="str">
        <f>IF(Table1[[#All],[Total Price (?)]]&gt;1000,"High Value","Normal")</f>
        <v>High Value</v>
      </c>
    </row>
    <row r="1075" spans="1:18" x14ac:dyDescent="0.3">
      <c r="A1075" t="s">
        <v>1136</v>
      </c>
      <c r="B1075" s="1">
        <v>45833</v>
      </c>
      <c r="C1075" t="s">
        <v>52</v>
      </c>
      <c r="D1075" t="s">
        <v>25</v>
      </c>
      <c r="E1075" t="s">
        <v>49</v>
      </c>
      <c r="F1075" t="s">
        <v>56</v>
      </c>
      <c r="G1075">
        <v>1</v>
      </c>
      <c r="H1075">
        <v>4780.38</v>
      </c>
      <c r="I1075">
        <v>0.24</v>
      </c>
      <c r="J1075">
        <v>3633.09</v>
      </c>
      <c r="K1075" t="s">
        <v>41</v>
      </c>
      <c r="L1075" t="s">
        <v>29</v>
      </c>
      <c r="M1075" t="s">
        <v>54</v>
      </c>
      <c r="N1075" t="s">
        <v>22</v>
      </c>
      <c r="O1075">
        <f>Table1[[#All],[Quantity]]*Table1[[#All],[Unit Price (?)]]</f>
        <v>4780.38</v>
      </c>
      <c r="P1075" t="str">
        <f>TEXT(Table1[[#All],[Order Date]],"dddd")</f>
        <v>Wednesday</v>
      </c>
      <c r="Q1075" t="str">
        <f>TEXT(Table1[[#All],[Order Date]],"mmm")</f>
        <v>Jun</v>
      </c>
      <c r="R1075" t="str">
        <f>IF(Table1[[#All],[Total Price (?)]]&gt;1000,"High Value","Normal")</f>
        <v>High Value</v>
      </c>
    </row>
    <row r="1076" spans="1:18" x14ac:dyDescent="0.3">
      <c r="A1076" t="s">
        <v>1137</v>
      </c>
      <c r="B1076" s="1">
        <v>45820</v>
      </c>
      <c r="C1076" t="s">
        <v>36</v>
      </c>
      <c r="D1076" t="s">
        <v>39</v>
      </c>
      <c r="E1076" t="s">
        <v>17</v>
      </c>
      <c r="F1076" t="s">
        <v>18</v>
      </c>
      <c r="G1076">
        <v>5</v>
      </c>
      <c r="H1076">
        <v>2649.65</v>
      </c>
      <c r="I1076">
        <v>0.08</v>
      </c>
      <c r="J1076">
        <v>12188.39</v>
      </c>
      <c r="K1076" t="s">
        <v>41</v>
      </c>
      <c r="L1076" t="s">
        <v>29</v>
      </c>
      <c r="M1076" t="s">
        <v>54</v>
      </c>
      <c r="N1076" t="s">
        <v>37</v>
      </c>
      <c r="O1076">
        <f>Table1[[#All],[Quantity]]*Table1[[#All],[Unit Price (?)]]</f>
        <v>13248.25</v>
      </c>
      <c r="P1076" t="str">
        <f>TEXT(Table1[[#All],[Order Date]],"dddd")</f>
        <v>Thursday</v>
      </c>
      <c r="Q1076" t="str">
        <f>TEXT(Table1[[#All],[Order Date]],"mmm")</f>
        <v>Jun</v>
      </c>
      <c r="R1076" t="str">
        <f>IF(Table1[[#All],[Total Price (?)]]&gt;1000,"High Value","Normal")</f>
        <v>High Value</v>
      </c>
    </row>
    <row r="1077" spans="1:18" x14ac:dyDescent="0.3">
      <c r="A1077" t="s">
        <v>1138</v>
      </c>
      <c r="B1077" s="1">
        <v>45749</v>
      </c>
      <c r="C1077" t="s">
        <v>15</v>
      </c>
      <c r="D1077" t="s">
        <v>25</v>
      </c>
      <c r="E1077" t="s">
        <v>99</v>
      </c>
      <c r="F1077" t="s">
        <v>100</v>
      </c>
      <c r="G1077">
        <v>3</v>
      </c>
      <c r="H1077">
        <v>3766.12</v>
      </c>
      <c r="I1077">
        <v>0.03</v>
      </c>
      <c r="J1077">
        <v>10959.41</v>
      </c>
      <c r="K1077" t="s">
        <v>19</v>
      </c>
      <c r="L1077" t="s">
        <v>34</v>
      </c>
      <c r="M1077" t="s">
        <v>54</v>
      </c>
      <c r="N1077" t="s">
        <v>22</v>
      </c>
      <c r="O1077">
        <f>Table1[[#All],[Quantity]]*Table1[[#All],[Unit Price (?)]]</f>
        <v>11298.36</v>
      </c>
      <c r="P1077" t="str">
        <f>TEXT(Table1[[#All],[Order Date]],"dddd")</f>
        <v>Wednesday</v>
      </c>
      <c r="Q1077" t="str">
        <f>TEXT(Table1[[#All],[Order Date]],"mmm")</f>
        <v>Apr</v>
      </c>
      <c r="R1077" t="str">
        <f>IF(Table1[[#All],[Total Price (?)]]&gt;1000,"High Value","Normal")</f>
        <v>High Value</v>
      </c>
    </row>
    <row r="1078" spans="1:18" x14ac:dyDescent="0.3">
      <c r="A1078" t="s">
        <v>1139</v>
      </c>
      <c r="B1078" s="1">
        <v>45797</v>
      </c>
      <c r="C1078" t="s">
        <v>24</v>
      </c>
      <c r="D1078" t="s">
        <v>43</v>
      </c>
      <c r="E1078" t="s">
        <v>49</v>
      </c>
      <c r="F1078" t="s">
        <v>53</v>
      </c>
      <c r="G1078">
        <v>5</v>
      </c>
      <c r="H1078">
        <v>474.57</v>
      </c>
      <c r="I1078">
        <v>0.09</v>
      </c>
      <c r="J1078">
        <v>2159.29</v>
      </c>
      <c r="K1078" t="s">
        <v>46</v>
      </c>
      <c r="L1078" t="s">
        <v>29</v>
      </c>
      <c r="M1078" t="s">
        <v>30</v>
      </c>
      <c r="N1078" t="s">
        <v>22</v>
      </c>
      <c r="O1078">
        <f>Table1[[#All],[Quantity]]*Table1[[#All],[Unit Price (?)]]</f>
        <v>2372.85</v>
      </c>
      <c r="P1078" t="str">
        <f>TEXT(Table1[[#All],[Order Date]],"dddd")</f>
        <v>Tuesday</v>
      </c>
      <c r="Q1078" t="str">
        <f>TEXT(Table1[[#All],[Order Date]],"mmm")</f>
        <v>May</v>
      </c>
      <c r="R1078" t="str">
        <f>IF(Table1[[#All],[Total Price (?)]]&gt;1000,"High Value","Normal")</f>
        <v>High Value</v>
      </c>
    </row>
    <row r="1079" spans="1:18" x14ac:dyDescent="0.3">
      <c r="A1079" t="s">
        <v>1140</v>
      </c>
      <c r="B1079" s="1">
        <v>45689</v>
      </c>
      <c r="C1079" t="s">
        <v>36</v>
      </c>
      <c r="D1079" t="s">
        <v>43</v>
      </c>
      <c r="E1079" t="s">
        <v>49</v>
      </c>
      <c r="F1079" t="s">
        <v>73</v>
      </c>
      <c r="G1079">
        <v>2</v>
      </c>
      <c r="H1079">
        <v>3904.6</v>
      </c>
      <c r="I1079">
        <v>0.1</v>
      </c>
      <c r="J1079">
        <v>7028.28</v>
      </c>
      <c r="K1079" t="s">
        <v>19</v>
      </c>
      <c r="L1079" t="s">
        <v>29</v>
      </c>
      <c r="M1079" t="s">
        <v>21</v>
      </c>
      <c r="N1079" t="s">
        <v>22</v>
      </c>
      <c r="O1079">
        <f>Table1[[#All],[Quantity]]*Table1[[#All],[Unit Price (?)]]</f>
        <v>7809.2</v>
      </c>
      <c r="P1079" t="str">
        <f>TEXT(Table1[[#All],[Order Date]],"dddd")</f>
        <v>Saturday</v>
      </c>
      <c r="Q1079" t="str">
        <f>TEXT(Table1[[#All],[Order Date]],"mmm")</f>
        <v>Feb</v>
      </c>
      <c r="R1079" t="str">
        <f>IF(Table1[[#All],[Total Price (?)]]&gt;1000,"High Value","Normal")</f>
        <v>High Value</v>
      </c>
    </row>
    <row r="1080" spans="1:18" x14ac:dyDescent="0.3">
      <c r="A1080" t="s">
        <v>1141</v>
      </c>
      <c r="B1080" s="1">
        <v>45744</v>
      </c>
      <c r="C1080" t="s">
        <v>15</v>
      </c>
      <c r="D1080" t="s">
        <v>25</v>
      </c>
      <c r="E1080" t="s">
        <v>99</v>
      </c>
      <c r="F1080" t="s">
        <v>111</v>
      </c>
      <c r="G1080">
        <v>4</v>
      </c>
      <c r="H1080">
        <v>2163.0100000000002</v>
      </c>
      <c r="I1080">
        <v>0.25</v>
      </c>
      <c r="J1080">
        <v>6489.03</v>
      </c>
      <c r="K1080" t="s">
        <v>58</v>
      </c>
      <c r="L1080" t="s">
        <v>20</v>
      </c>
      <c r="M1080" t="s">
        <v>21</v>
      </c>
      <c r="N1080" t="s">
        <v>22</v>
      </c>
      <c r="O1080">
        <f>Table1[[#All],[Quantity]]*Table1[[#All],[Unit Price (?)]]</f>
        <v>8652.0400000000009</v>
      </c>
      <c r="P1080" t="str">
        <f>TEXT(Table1[[#All],[Order Date]],"dddd")</f>
        <v>Friday</v>
      </c>
      <c r="Q1080" t="str">
        <f>TEXT(Table1[[#All],[Order Date]],"mmm")</f>
        <v>Mar</v>
      </c>
      <c r="R1080" t="str">
        <f>IF(Table1[[#All],[Total Price (?)]]&gt;1000,"High Value","Normal")</f>
        <v>High Value</v>
      </c>
    </row>
    <row r="1081" spans="1:18" x14ac:dyDescent="0.3">
      <c r="A1081" t="s">
        <v>1142</v>
      </c>
      <c r="B1081" s="1">
        <v>45694</v>
      </c>
      <c r="C1081" t="s">
        <v>48</v>
      </c>
      <c r="D1081" t="s">
        <v>25</v>
      </c>
      <c r="E1081" t="s">
        <v>61</v>
      </c>
      <c r="F1081" t="s">
        <v>75</v>
      </c>
      <c r="G1081">
        <v>1</v>
      </c>
      <c r="H1081">
        <v>2151.27</v>
      </c>
      <c r="I1081">
        <v>0.19</v>
      </c>
      <c r="J1081">
        <v>1742.53</v>
      </c>
      <c r="K1081" t="s">
        <v>58</v>
      </c>
      <c r="L1081" t="s">
        <v>20</v>
      </c>
      <c r="M1081" t="s">
        <v>21</v>
      </c>
      <c r="N1081" t="s">
        <v>22</v>
      </c>
      <c r="O1081">
        <f>Table1[[#All],[Quantity]]*Table1[[#All],[Unit Price (?)]]</f>
        <v>2151.27</v>
      </c>
      <c r="P1081" t="str">
        <f>TEXT(Table1[[#All],[Order Date]],"dddd")</f>
        <v>Thursday</v>
      </c>
      <c r="Q1081" t="str">
        <f>TEXT(Table1[[#All],[Order Date]],"mmm")</f>
        <v>Feb</v>
      </c>
      <c r="R1081" t="str">
        <f>IF(Table1[[#All],[Total Price (?)]]&gt;1000,"High Value","Normal")</f>
        <v>High Value</v>
      </c>
    </row>
    <row r="1082" spans="1:18" x14ac:dyDescent="0.3">
      <c r="A1082" t="s">
        <v>1143</v>
      </c>
      <c r="B1082" s="1">
        <v>45802</v>
      </c>
      <c r="C1082" t="s">
        <v>48</v>
      </c>
      <c r="D1082" t="s">
        <v>25</v>
      </c>
      <c r="E1082" t="s">
        <v>61</v>
      </c>
      <c r="F1082" t="s">
        <v>62</v>
      </c>
      <c r="G1082">
        <v>2</v>
      </c>
      <c r="H1082">
        <v>4950.67</v>
      </c>
      <c r="I1082">
        <v>0.03</v>
      </c>
      <c r="J1082">
        <v>9604.2999999999993</v>
      </c>
      <c r="K1082" t="s">
        <v>58</v>
      </c>
      <c r="L1082" t="s">
        <v>29</v>
      </c>
      <c r="M1082" t="s">
        <v>21</v>
      </c>
      <c r="N1082" t="s">
        <v>37</v>
      </c>
      <c r="O1082">
        <f>Table1[[#All],[Quantity]]*Table1[[#All],[Unit Price (?)]]</f>
        <v>9901.34</v>
      </c>
      <c r="P1082" t="str">
        <f>TEXT(Table1[[#All],[Order Date]],"dddd")</f>
        <v>Sunday</v>
      </c>
      <c r="Q1082" t="str">
        <f>TEXT(Table1[[#All],[Order Date]],"mmm")</f>
        <v>May</v>
      </c>
      <c r="R1082" t="str">
        <f>IF(Table1[[#All],[Total Price (?)]]&gt;1000,"High Value","Normal")</f>
        <v>High Value</v>
      </c>
    </row>
    <row r="1083" spans="1:18" x14ac:dyDescent="0.3">
      <c r="A1083" t="s">
        <v>1144</v>
      </c>
      <c r="B1083" s="1">
        <v>45761</v>
      </c>
      <c r="C1083" t="s">
        <v>48</v>
      </c>
      <c r="D1083" t="s">
        <v>16</v>
      </c>
      <c r="E1083" t="s">
        <v>99</v>
      </c>
      <c r="F1083" t="s">
        <v>100</v>
      </c>
      <c r="G1083">
        <v>3</v>
      </c>
      <c r="H1083">
        <v>683.25</v>
      </c>
      <c r="I1083">
        <v>0.22</v>
      </c>
      <c r="J1083">
        <v>1598.81</v>
      </c>
      <c r="K1083" t="s">
        <v>33</v>
      </c>
      <c r="L1083" t="s">
        <v>20</v>
      </c>
      <c r="M1083" t="s">
        <v>30</v>
      </c>
      <c r="N1083" t="s">
        <v>59</v>
      </c>
      <c r="O1083">
        <f>Table1[[#All],[Quantity]]*Table1[[#All],[Unit Price (?)]]</f>
        <v>2049.75</v>
      </c>
      <c r="P1083" t="str">
        <f>TEXT(Table1[[#All],[Order Date]],"dddd")</f>
        <v>Monday</v>
      </c>
      <c r="Q1083" t="str">
        <f>TEXT(Table1[[#All],[Order Date]],"mmm")</f>
        <v>Apr</v>
      </c>
      <c r="R1083" t="str">
        <f>IF(Table1[[#All],[Total Price (?)]]&gt;1000,"High Value","Normal")</f>
        <v>High Value</v>
      </c>
    </row>
    <row r="1084" spans="1:18" x14ac:dyDescent="0.3">
      <c r="A1084" t="s">
        <v>1145</v>
      </c>
      <c r="B1084" s="1">
        <v>45786</v>
      </c>
      <c r="C1084" t="s">
        <v>15</v>
      </c>
      <c r="D1084" t="s">
        <v>43</v>
      </c>
      <c r="E1084" t="s">
        <v>17</v>
      </c>
      <c r="F1084" t="s">
        <v>18</v>
      </c>
      <c r="G1084">
        <v>4</v>
      </c>
      <c r="H1084">
        <v>3729.42</v>
      </c>
      <c r="I1084">
        <v>0.11</v>
      </c>
      <c r="J1084">
        <v>13276.74</v>
      </c>
      <c r="K1084" t="s">
        <v>41</v>
      </c>
      <c r="L1084" t="s">
        <v>34</v>
      </c>
      <c r="M1084" t="s">
        <v>30</v>
      </c>
      <c r="N1084" t="s">
        <v>22</v>
      </c>
      <c r="O1084">
        <f>Table1[[#All],[Quantity]]*Table1[[#All],[Unit Price (?)]]</f>
        <v>14917.68</v>
      </c>
      <c r="P1084" t="str">
        <f>TEXT(Table1[[#All],[Order Date]],"dddd")</f>
        <v>Friday</v>
      </c>
      <c r="Q1084" t="str">
        <f>TEXT(Table1[[#All],[Order Date]],"mmm")</f>
        <v>May</v>
      </c>
      <c r="R1084" t="str">
        <f>IF(Table1[[#All],[Total Price (?)]]&gt;1000,"High Value","Normal")</f>
        <v>High Value</v>
      </c>
    </row>
    <row r="1085" spans="1:18" x14ac:dyDescent="0.3">
      <c r="A1085" t="s">
        <v>1146</v>
      </c>
      <c r="B1085" s="1">
        <v>45712</v>
      </c>
      <c r="C1085" t="s">
        <v>52</v>
      </c>
      <c r="D1085" t="s">
        <v>39</v>
      </c>
      <c r="E1085" t="s">
        <v>27</v>
      </c>
      <c r="F1085" t="s">
        <v>79</v>
      </c>
      <c r="G1085">
        <v>5</v>
      </c>
      <c r="H1085">
        <v>1912.38</v>
      </c>
      <c r="I1085">
        <v>0.16</v>
      </c>
      <c r="J1085">
        <v>8032</v>
      </c>
      <c r="K1085" t="s">
        <v>58</v>
      </c>
      <c r="L1085" t="s">
        <v>29</v>
      </c>
      <c r="M1085" t="s">
        <v>30</v>
      </c>
      <c r="N1085" t="s">
        <v>22</v>
      </c>
      <c r="O1085">
        <f>Table1[[#All],[Quantity]]*Table1[[#All],[Unit Price (?)]]</f>
        <v>9561.9000000000015</v>
      </c>
      <c r="P1085" t="str">
        <f>TEXT(Table1[[#All],[Order Date]],"dddd")</f>
        <v>Monday</v>
      </c>
      <c r="Q1085" t="str">
        <f>TEXT(Table1[[#All],[Order Date]],"mmm")</f>
        <v>Feb</v>
      </c>
      <c r="R1085" t="str">
        <f>IF(Table1[[#All],[Total Price (?)]]&gt;1000,"High Value","Normal")</f>
        <v>High Value</v>
      </c>
    </row>
    <row r="1086" spans="1:18" x14ac:dyDescent="0.3">
      <c r="A1086" t="s">
        <v>1147</v>
      </c>
      <c r="B1086" s="1">
        <v>45779</v>
      </c>
      <c r="C1086" t="s">
        <v>24</v>
      </c>
      <c r="D1086" t="s">
        <v>25</v>
      </c>
      <c r="E1086" t="s">
        <v>27</v>
      </c>
      <c r="F1086" t="s">
        <v>28</v>
      </c>
      <c r="G1086">
        <v>4</v>
      </c>
      <c r="H1086">
        <v>1771.47</v>
      </c>
      <c r="I1086">
        <v>0.14000000000000001</v>
      </c>
      <c r="J1086">
        <v>6093.86</v>
      </c>
      <c r="K1086" t="s">
        <v>19</v>
      </c>
      <c r="L1086" t="s">
        <v>34</v>
      </c>
      <c r="M1086" t="s">
        <v>21</v>
      </c>
      <c r="N1086" t="s">
        <v>22</v>
      </c>
      <c r="O1086">
        <f>Table1[[#All],[Quantity]]*Table1[[#All],[Unit Price (?)]]</f>
        <v>7085.88</v>
      </c>
      <c r="P1086" t="str">
        <f>TEXT(Table1[[#All],[Order Date]],"dddd")</f>
        <v>Friday</v>
      </c>
      <c r="Q1086" t="str">
        <f>TEXT(Table1[[#All],[Order Date]],"mmm")</f>
        <v>May</v>
      </c>
      <c r="R1086" t="str">
        <f>IF(Table1[[#All],[Total Price (?)]]&gt;1000,"High Value","Normal")</f>
        <v>High Value</v>
      </c>
    </row>
    <row r="1087" spans="1:18" x14ac:dyDescent="0.3">
      <c r="A1087" t="s">
        <v>1148</v>
      </c>
      <c r="B1087" s="1">
        <v>45816</v>
      </c>
      <c r="C1087" t="s">
        <v>52</v>
      </c>
      <c r="D1087" t="s">
        <v>39</v>
      </c>
      <c r="E1087" t="s">
        <v>49</v>
      </c>
      <c r="F1087" t="s">
        <v>53</v>
      </c>
      <c r="G1087">
        <v>2</v>
      </c>
      <c r="H1087">
        <v>2209.63</v>
      </c>
      <c r="I1087">
        <v>7.0000000000000007E-2</v>
      </c>
      <c r="J1087">
        <v>4109.91</v>
      </c>
      <c r="K1087" t="s">
        <v>19</v>
      </c>
      <c r="L1087" t="s">
        <v>20</v>
      </c>
      <c r="M1087" t="s">
        <v>21</v>
      </c>
      <c r="N1087" t="s">
        <v>22</v>
      </c>
      <c r="O1087">
        <f>Table1[[#All],[Quantity]]*Table1[[#All],[Unit Price (?)]]</f>
        <v>4419.26</v>
      </c>
      <c r="P1087" t="str">
        <f>TEXT(Table1[[#All],[Order Date]],"dddd")</f>
        <v>Sunday</v>
      </c>
      <c r="Q1087" t="str">
        <f>TEXT(Table1[[#All],[Order Date]],"mmm")</f>
        <v>Jun</v>
      </c>
      <c r="R1087" t="str">
        <f>IF(Table1[[#All],[Total Price (?)]]&gt;1000,"High Value","Normal")</f>
        <v>High Value</v>
      </c>
    </row>
    <row r="1088" spans="1:18" x14ac:dyDescent="0.3">
      <c r="A1088" t="s">
        <v>1149</v>
      </c>
      <c r="B1088" s="1">
        <v>45838</v>
      </c>
      <c r="C1088" t="s">
        <v>24</v>
      </c>
      <c r="D1088" t="s">
        <v>39</v>
      </c>
      <c r="E1088" t="s">
        <v>99</v>
      </c>
      <c r="F1088" t="s">
        <v>100</v>
      </c>
      <c r="G1088">
        <v>4</v>
      </c>
      <c r="H1088">
        <v>2250.69</v>
      </c>
      <c r="I1088">
        <v>0.22</v>
      </c>
      <c r="J1088">
        <v>7022.15</v>
      </c>
      <c r="K1088" t="s">
        <v>46</v>
      </c>
      <c r="L1088" t="s">
        <v>34</v>
      </c>
      <c r="M1088" t="s">
        <v>30</v>
      </c>
      <c r="N1088" t="s">
        <v>59</v>
      </c>
      <c r="O1088">
        <f>Table1[[#All],[Quantity]]*Table1[[#All],[Unit Price (?)]]</f>
        <v>9002.76</v>
      </c>
      <c r="P1088" t="str">
        <f>TEXT(Table1[[#All],[Order Date]],"dddd")</f>
        <v>Monday</v>
      </c>
      <c r="Q1088" t="str">
        <f>TEXT(Table1[[#All],[Order Date]],"mmm")</f>
        <v>Jun</v>
      </c>
      <c r="R1088" t="str">
        <f>IF(Table1[[#All],[Total Price (?)]]&gt;1000,"High Value","Normal")</f>
        <v>High Value</v>
      </c>
    </row>
    <row r="1089" spans="1:18" x14ac:dyDescent="0.3">
      <c r="A1089" t="s">
        <v>1150</v>
      </c>
      <c r="B1089" s="1">
        <v>45764</v>
      </c>
      <c r="C1089" t="s">
        <v>15</v>
      </c>
      <c r="D1089" t="s">
        <v>16</v>
      </c>
      <c r="E1089" t="s">
        <v>17</v>
      </c>
      <c r="F1089" t="s">
        <v>44</v>
      </c>
      <c r="G1089">
        <v>2</v>
      </c>
      <c r="H1089">
        <v>2805.6</v>
      </c>
      <c r="I1089">
        <v>0.13</v>
      </c>
      <c r="J1089">
        <v>4881.74</v>
      </c>
      <c r="K1089" t="s">
        <v>19</v>
      </c>
      <c r="L1089" t="s">
        <v>20</v>
      </c>
      <c r="M1089" t="s">
        <v>54</v>
      </c>
      <c r="N1089" t="s">
        <v>22</v>
      </c>
      <c r="O1089">
        <f>Table1[[#All],[Quantity]]*Table1[[#All],[Unit Price (?)]]</f>
        <v>5611.2</v>
      </c>
      <c r="P1089" t="str">
        <f>TEXT(Table1[[#All],[Order Date]],"dddd")</f>
        <v>Thursday</v>
      </c>
      <c r="Q1089" t="str">
        <f>TEXT(Table1[[#All],[Order Date]],"mmm")</f>
        <v>Apr</v>
      </c>
      <c r="R1089" t="str">
        <f>IF(Table1[[#All],[Total Price (?)]]&gt;1000,"High Value","Normal")</f>
        <v>High Value</v>
      </c>
    </row>
    <row r="1090" spans="1:18" x14ac:dyDescent="0.3">
      <c r="A1090" t="s">
        <v>1151</v>
      </c>
      <c r="B1090" s="1">
        <v>45810</v>
      </c>
      <c r="C1090" t="s">
        <v>24</v>
      </c>
      <c r="D1090" t="s">
        <v>25</v>
      </c>
      <c r="E1090" t="s">
        <v>17</v>
      </c>
      <c r="F1090" t="s">
        <v>44</v>
      </c>
      <c r="G1090">
        <v>3</v>
      </c>
      <c r="H1090">
        <v>1095.3900000000001</v>
      </c>
      <c r="I1090">
        <v>0.24</v>
      </c>
      <c r="J1090">
        <v>2497.4899999999998</v>
      </c>
      <c r="K1090" t="s">
        <v>41</v>
      </c>
      <c r="L1090" t="s">
        <v>20</v>
      </c>
      <c r="M1090" t="s">
        <v>21</v>
      </c>
      <c r="N1090" t="s">
        <v>22</v>
      </c>
      <c r="O1090">
        <f>Table1[[#All],[Quantity]]*Table1[[#All],[Unit Price (?)]]</f>
        <v>3286.17</v>
      </c>
      <c r="P1090" t="str">
        <f>TEXT(Table1[[#All],[Order Date]],"dddd")</f>
        <v>Monday</v>
      </c>
      <c r="Q1090" t="str">
        <f>TEXT(Table1[[#All],[Order Date]],"mmm")</f>
        <v>Jun</v>
      </c>
      <c r="R1090" t="str">
        <f>IF(Table1[[#All],[Total Price (?)]]&gt;1000,"High Value","Normal")</f>
        <v>High Value</v>
      </c>
    </row>
    <row r="1091" spans="1:18" x14ac:dyDescent="0.3">
      <c r="A1091" t="s">
        <v>1152</v>
      </c>
      <c r="B1091" s="1">
        <v>45753</v>
      </c>
      <c r="C1091" t="s">
        <v>48</v>
      </c>
      <c r="D1091" t="s">
        <v>16</v>
      </c>
      <c r="E1091" t="s">
        <v>27</v>
      </c>
      <c r="F1091" t="s">
        <v>68</v>
      </c>
      <c r="G1091">
        <v>1</v>
      </c>
      <c r="H1091">
        <v>2277.58</v>
      </c>
      <c r="I1091">
        <v>0.11</v>
      </c>
      <c r="J1091">
        <v>2027.05</v>
      </c>
      <c r="K1091" t="s">
        <v>46</v>
      </c>
      <c r="L1091" t="s">
        <v>20</v>
      </c>
      <c r="M1091" t="s">
        <v>30</v>
      </c>
      <c r="N1091" t="s">
        <v>37</v>
      </c>
      <c r="O1091">
        <f>Table1[[#All],[Quantity]]*Table1[[#All],[Unit Price (?)]]</f>
        <v>2277.58</v>
      </c>
      <c r="P1091" t="str">
        <f>TEXT(Table1[[#All],[Order Date]],"dddd")</f>
        <v>Sunday</v>
      </c>
      <c r="Q1091" t="str">
        <f>TEXT(Table1[[#All],[Order Date]],"mmm")</f>
        <v>Apr</v>
      </c>
      <c r="R1091" t="str">
        <f>IF(Table1[[#All],[Total Price (?)]]&gt;1000,"High Value","Normal")</f>
        <v>High Value</v>
      </c>
    </row>
    <row r="1092" spans="1:18" x14ac:dyDescent="0.3">
      <c r="A1092" t="s">
        <v>1153</v>
      </c>
      <c r="B1092" s="1">
        <v>45750</v>
      </c>
      <c r="C1092" t="s">
        <v>15</v>
      </c>
      <c r="D1092" t="s">
        <v>39</v>
      </c>
      <c r="E1092" t="s">
        <v>99</v>
      </c>
      <c r="F1092" t="s">
        <v>120</v>
      </c>
      <c r="G1092">
        <v>2</v>
      </c>
      <c r="H1092">
        <v>3664.07</v>
      </c>
      <c r="I1092">
        <v>0.08</v>
      </c>
      <c r="J1092">
        <v>6741.89</v>
      </c>
      <c r="K1092" t="s">
        <v>58</v>
      </c>
      <c r="L1092" t="s">
        <v>29</v>
      </c>
      <c r="M1092" t="s">
        <v>21</v>
      </c>
      <c r="N1092" t="s">
        <v>22</v>
      </c>
      <c r="O1092">
        <f>Table1[[#All],[Quantity]]*Table1[[#All],[Unit Price (?)]]</f>
        <v>7328.14</v>
      </c>
      <c r="P1092" t="str">
        <f>TEXT(Table1[[#All],[Order Date]],"dddd")</f>
        <v>Thursday</v>
      </c>
      <c r="Q1092" t="str">
        <f>TEXT(Table1[[#All],[Order Date]],"mmm")</f>
        <v>Apr</v>
      </c>
      <c r="R1092" t="str">
        <f>IF(Table1[[#All],[Total Price (?)]]&gt;1000,"High Value","Normal")</f>
        <v>High Value</v>
      </c>
    </row>
    <row r="1093" spans="1:18" x14ac:dyDescent="0.3">
      <c r="A1093" t="s">
        <v>1154</v>
      </c>
      <c r="B1093" s="1">
        <v>45744</v>
      </c>
      <c r="C1093" t="s">
        <v>15</v>
      </c>
      <c r="D1093" t="s">
        <v>43</v>
      </c>
      <c r="E1093" t="s">
        <v>27</v>
      </c>
      <c r="F1093" t="s">
        <v>79</v>
      </c>
      <c r="G1093">
        <v>1</v>
      </c>
      <c r="H1093">
        <v>4668.6000000000004</v>
      </c>
      <c r="I1093">
        <v>0.2</v>
      </c>
      <c r="J1093">
        <v>3734.88</v>
      </c>
      <c r="K1093" t="s">
        <v>58</v>
      </c>
      <c r="L1093" t="s">
        <v>34</v>
      </c>
      <c r="M1093" t="s">
        <v>30</v>
      </c>
      <c r="N1093" t="s">
        <v>88</v>
      </c>
      <c r="O1093">
        <f>Table1[[#All],[Quantity]]*Table1[[#All],[Unit Price (?)]]</f>
        <v>4668.6000000000004</v>
      </c>
      <c r="P1093" t="str">
        <f>TEXT(Table1[[#All],[Order Date]],"dddd")</f>
        <v>Friday</v>
      </c>
      <c r="Q1093" t="str">
        <f>TEXT(Table1[[#All],[Order Date]],"mmm")</f>
        <v>Mar</v>
      </c>
      <c r="R1093" t="str">
        <f>IF(Table1[[#All],[Total Price (?)]]&gt;1000,"High Value","Normal")</f>
        <v>High Value</v>
      </c>
    </row>
    <row r="1094" spans="1:18" x14ac:dyDescent="0.3">
      <c r="A1094" t="s">
        <v>1155</v>
      </c>
      <c r="B1094" s="1">
        <v>45820</v>
      </c>
      <c r="C1094" t="s">
        <v>52</v>
      </c>
      <c r="D1094" t="s">
        <v>39</v>
      </c>
      <c r="E1094" t="s">
        <v>17</v>
      </c>
      <c r="F1094" t="s">
        <v>18</v>
      </c>
      <c r="G1094">
        <v>4</v>
      </c>
      <c r="H1094">
        <v>4373.3599999999997</v>
      </c>
      <c r="I1094">
        <v>0.06</v>
      </c>
      <c r="J1094">
        <v>16443.830000000002</v>
      </c>
      <c r="K1094" t="s">
        <v>19</v>
      </c>
      <c r="L1094" t="s">
        <v>29</v>
      </c>
      <c r="M1094" t="s">
        <v>54</v>
      </c>
      <c r="N1094" t="s">
        <v>22</v>
      </c>
      <c r="O1094">
        <f>Table1[[#All],[Quantity]]*Table1[[#All],[Unit Price (?)]]</f>
        <v>17493.439999999999</v>
      </c>
      <c r="P1094" t="str">
        <f>TEXT(Table1[[#All],[Order Date]],"dddd")</f>
        <v>Thursday</v>
      </c>
      <c r="Q1094" t="str">
        <f>TEXT(Table1[[#All],[Order Date]],"mmm")</f>
        <v>Jun</v>
      </c>
      <c r="R1094" t="str">
        <f>IF(Table1[[#All],[Total Price (?)]]&gt;1000,"High Value","Normal")</f>
        <v>High Value</v>
      </c>
    </row>
    <row r="1095" spans="1:18" x14ac:dyDescent="0.3">
      <c r="A1095" t="s">
        <v>1156</v>
      </c>
      <c r="B1095" s="1">
        <v>45801</v>
      </c>
      <c r="C1095" t="s">
        <v>48</v>
      </c>
      <c r="D1095" t="s">
        <v>43</v>
      </c>
      <c r="E1095" t="s">
        <v>49</v>
      </c>
      <c r="F1095" t="s">
        <v>73</v>
      </c>
      <c r="G1095">
        <v>2</v>
      </c>
      <c r="H1095">
        <v>3210.39</v>
      </c>
      <c r="I1095">
        <v>0.02</v>
      </c>
      <c r="J1095">
        <v>6292.36</v>
      </c>
      <c r="K1095" t="s">
        <v>46</v>
      </c>
      <c r="L1095" t="s">
        <v>20</v>
      </c>
      <c r="M1095" t="s">
        <v>21</v>
      </c>
      <c r="N1095" t="s">
        <v>22</v>
      </c>
      <c r="O1095">
        <f>Table1[[#All],[Quantity]]*Table1[[#All],[Unit Price (?)]]</f>
        <v>6420.78</v>
      </c>
      <c r="P1095" t="str">
        <f>TEXT(Table1[[#All],[Order Date]],"dddd")</f>
        <v>Saturday</v>
      </c>
      <c r="Q1095" t="str">
        <f>TEXT(Table1[[#All],[Order Date]],"mmm")</f>
        <v>May</v>
      </c>
      <c r="R1095" t="str">
        <f>IF(Table1[[#All],[Total Price (?)]]&gt;1000,"High Value","Normal")</f>
        <v>High Value</v>
      </c>
    </row>
    <row r="1096" spans="1:18" x14ac:dyDescent="0.3">
      <c r="A1096" t="s">
        <v>1157</v>
      </c>
      <c r="B1096" s="1">
        <v>45775</v>
      </c>
      <c r="C1096" t="s">
        <v>36</v>
      </c>
      <c r="D1096" t="s">
        <v>25</v>
      </c>
      <c r="E1096" t="s">
        <v>17</v>
      </c>
      <c r="F1096" t="s">
        <v>40</v>
      </c>
      <c r="G1096">
        <v>2</v>
      </c>
      <c r="H1096">
        <v>290.18</v>
      </c>
      <c r="I1096">
        <v>0.17</v>
      </c>
      <c r="J1096">
        <v>481.7</v>
      </c>
      <c r="K1096" t="s">
        <v>33</v>
      </c>
      <c r="L1096" t="s">
        <v>20</v>
      </c>
      <c r="M1096" t="s">
        <v>21</v>
      </c>
      <c r="N1096" t="s">
        <v>22</v>
      </c>
      <c r="O1096">
        <f>Table1[[#All],[Quantity]]*Table1[[#All],[Unit Price (?)]]</f>
        <v>580.36</v>
      </c>
      <c r="P1096" t="str">
        <f>TEXT(Table1[[#All],[Order Date]],"dddd")</f>
        <v>Monday</v>
      </c>
      <c r="Q1096" t="str">
        <f>TEXT(Table1[[#All],[Order Date]],"mmm")</f>
        <v>Apr</v>
      </c>
      <c r="R1096" t="str">
        <f>IF(Table1[[#All],[Total Price (?)]]&gt;1000,"High Value","Normal")</f>
        <v>Normal</v>
      </c>
    </row>
    <row r="1097" spans="1:18" x14ac:dyDescent="0.3">
      <c r="A1097" t="s">
        <v>1158</v>
      </c>
      <c r="B1097" s="1">
        <v>45712</v>
      </c>
      <c r="C1097" t="s">
        <v>48</v>
      </c>
      <c r="D1097" t="s">
        <v>25</v>
      </c>
      <c r="E1097" t="s">
        <v>61</v>
      </c>
      <c r="F1097" t="s">
        <v>66</v>
      </c>
      <c r="G1097">
        <v>2</v>
      </c>
      <c r="H1097">
        <v>4401.66</v>
      </c>
      <c r="I1097">
        <v>0.21</v>
      </c>
      <c r="J1097">
        <v>6954.62</v>
      </c>
      <c r="K1097" t="s">
        <v>33</v>
      </c>
      <c r="L1097" t="s">
        <v>29</v>
      </c>
      <c r="M1097" t="s">
        <v>30</v>
      </c>
      <c r="N1097" t="s">
        <v>22</v>
      </c>
      <c r="O1097">
        <f>Table1[[#All],[Quantity]]*Table1[[#All],[Unit Price (?)]]</f>
        <v>8803.32</v>
      </c>
      <c r="P1097" t="str">
        <f>TEXT(Table1[[#All],[Order Date]],"dddd")</f>
        <v>Monday</v>
      </c>
      <c r="Q1097" t="str">
        <f>TEXT(Table1[[#All],[Order Date]],"mmm")</f>
        <v>Feb</v>
      </c>
      <c r="R1097" t="str">
        <f>IF(Table1[[#All],[Total Price (?)]]&gt;1000,"High Value","Normal")</f>
        <v>High Value</v>
      </c>
    </row>
    <row r="1098" spans="1:18" x14ac:dyDescent="0.3">
      <c r="A1098" t="s">
        <v>1159</v>
      </c>
      <c r="B1098" s="1">
        <v>45722</v>
      </c>
      <c r="C1098" t="s">
        <v>36</v>
      </c>
      <c r="D1098" t="s">
        <v>25</v>
      </c>
      <c r="E1098" t="s">
        <v>49</v>
      </c>
      <c r="F1098" t="s">
        <v>53</v>
      </c>
      <c r="G1098">
        <v>1</v>
      </c>
      <c r="H1098">
        <v>1172.76</v>
      </c>
      <c r="I1098">
        <v>0.24</v>
      </c>
      <c r="J1098">
        <v>891.3</v>
      </c>
      <c r="K1098" t="s">
        <v>41</v>
      </c>
      <c r="L1098" t="s">
        <v>34</v>
      </c>
      <c r="M1098" t="s">
        <v>30</v>
      </c>
      <c r="N1098" t="s">
        <v>59</v>
      </c>
      <c r="O1098">
        <f>Table1[[#All],[Quantity]]*Table1[[#All],[Unit Price (?)]]</f>
        <v>1172.76</v>
      </c>
      <c r="P1098" t="str">
        <f>TEXT(Table1[[#All],[Order Date]],"dddd")</f>
        <v>Thursday</v>
      </c>
      <c r="Q1098" t="str">
        <f>TEXT(Table1[[#All],[Order Date]],"mmm")</f>
        <v>Mar</v>
      </c>
      <c r="R1098" t="str">
        <f>IF(Table1[[#All],[Total Price (?)]]&gt;1000,"High Value","Normal")</f>
        <v>Normal</v>
      </c>
    </row>
    <row r="1099" spans="1:18" x14ac:dyDescent="0.3">
      <c r="A1099" t="s">
        <v>1160</v>
      </c>
      <c r="B1099" s="1">
        <v>45825</v>
      </c>
      <c r="C1099" t="s">
        <v>48</v>
      </c>
      <c r="D1099" t="s">
        <v>25</v>
      </c>
      <c r="E1099" t="s">
        <v>99</v>
      </c>
      <c r="F1099" t="s">
        <v>100</v>
      </c>
      <c r="G1099">
        <v>4</v>
      </c>
      <c r="H1099">
        <v>4785.95</v>
      </c>
      <c r="I1099">
        <v>0.17</v>
      </c>
      <c r="J1099">
        <v>15889.35</v>
      </c>
      <c r="K1099" t="s">
        <v>58</v>
      </c>
      <c r="L1099" t="s">
        <v>20</v>
      </c>
      <c r="M1099" t="s">
        <v>30</v>
      </c>
      <c r="N1099" t="s">
        <v>22</v>
      </c>
      <c r="O1099">
        <f>Table1[[#All],[Quantity]]*Table1[[#All],[Unit Price (?)]]</f>
        <v>19143.8</v>
      </c>
      <c r="P1099" t="str">
        <f>TEXT(Table1[[#All],[Order Date]],"dddd")</f>
        <v>Tuesday</v>
      </c>
      <c r="Q1099" t="str">
        <f>TEXT(Table1[[#All],[Order Date]],"mmm")</f>
        <v>Jun</v>
      </c>
      <c r="R1099" t="str">
        <f>IF(Table1[[#All],[Total Price (?)]]&gt;1000,"High Value","Normal")</f>
        <v>High Value</v>
      </c>
    </row>
    <row r="1100" spans="1:18" x14ac:dyDescent="0.3">
      <c r="A1100" t="s">
        <v>1161</v>
      </c>
      <c r="B1100" s="1">
        <v>45707</v>
      </c>
      <c r="C1100" t="s">
        <v>36</v>
      </c>
      <c r="D1100" t="s">
        <v>25</v>
      </c>
      <c r="E1100" t="s">
        <v>49</v>
      </c>
      <c r="F1100" t="s">
        <v>50</v>
      </c>
      <c r="G1100">
        <v>2</v>
      </c>
      <c r="H1100">
        <v>241.92</v>
      </c>
      <c r="I1100">
        <v>7.0000000000000007E-2</v>
      </c>
      <c r="J1100">
        <v>449.97</v>
      </c>
      <c r="K1100" t="s">
        <v>41</v>
      </c>
      <c r="L1100" t="s">
        <v>29</v>
      </c>
      <c r="M1100" t="s">
        <v>54</v>
      </c>
      <c r="N1100" t="s">
        <v>22</v>
      </c>
      <c r="O1100">
        <f>Table1[[#All],[Quantity]]*Table1[[#All],[Unit Price (?)]]</f>
        <v>483.84</v>
      </c>
      <c r="P1100" t="str">
        <f>TEXT(Table1[[#All],[Order Date]],"dddd")</f>
        <v>Wednesday</v>
      </c>
      <c r="Q1100" t="str">
        <f>TEXT(Table1[[#All],[Order Date]],"mmm")</f>
        <v>Feb</v>
      </c>
      <c r="R1100" t="str">
        <f>IF(Table1[[#All],[Total Price (?)]]&gt;1000,"High Value","Normal")</f>
        <v>Normal</v>
      </c>
    </row>
    <row r="1101" spans="1:18" x14ac:dyDescent="0.3">
      <c r="A1101" t="s">
        <v>1162</v>
      </c>
      <c r="B1101" s="1">
        <v>45821</v>
      </c>
      <c r="C1101" t="s">
        <v>15</v>
      </c>
      <c r="D1101" t="s">
        <v>39</v>
      </c>
      <c r="E1101" t="s">
        <v>99</v>
      </c>
      <c r="F1101" t="s">
        <v>111</v>
      </c>
      <c r="G1101">
        <v>4</v>
      </c>
      <c r="H1101">
        <v>2183.48</v>
      </c>
      <c r="I1101">
        <v>7.0000000000000007E-2</v>
      </c>
      <c r="J1101">
        <v>8122.55</v>
      </c>
      <c r="K1101" t="s">
        <v>41</v>
      </c>
      <c r="L1101" t="s">
        <v>34</v>
      </c>
      <c r="M1101" t="s">
        <v>54</v>
      </c>
      <c r="N1101" t="s">
        <v>22</v>
      </c>
      <c r="O1101">
        <f>Table1[[#All],[Quantity]]*Table1[[#All],[Unit Price (?)]]</f>
        <v>8733.92</v>
      </c>
      <c r="P1101" t="str">
        <f>TEXT(Table1[[#All],[Order Date]],"dddd")</f>
        <v>Friday</v>
      </c>
      <c r="Q1101" t="str">
        <f>TEXT(Table1[[#All],[Order Date]],"mmm")</f>
        <v>Jun</v>
      </c>
      <c r="R1101" t="str">
        <f>IF(Table1[[#All],[Total Price (?)]]&gt;1000,"High Value","Normal")</f>
        <v>High Value</v>
      </c>
    </row>
    <row r="1102" spans="1:18" x14ac:dyDescent="0.3">
      <c r="A1102" t="s">
        <v>1163</v>
      </c>
      <c r="B1102" s="1">
        <v>45841</v>
      </c>
      <c r="C1102" t="s">
        <v>24</v>
      </c>
      <c r="D1102" t="s">
        <v>43</v>
      </c>
      <c r="E1102" t="s">
        <v>61</v>
      </c>
      <c r="F1102" t="s">
        <v>66</v>
      </c>
      <c r="G1102">
        <v>4</v>
      </c>
      <c r="H1102">
        <v>1184.42</v>
      </c>
      <c r="I1102">
        <v>0.22</v>
      </c>
      <c r="J1102">
        <v>3695.39</v>
      </c>
      <c r="K1102" t="s">
        <v>46</v>
      </c>
      <c r="L1102" t="s">
        <v>34</v>
      </c>
      <c r="M1102" t="s">
        <v>21</v>
      </c>
      <c r="N1102" t="s">
        <v>88</v>
      </c>
      <c r="O1102">
        <f>Table1[[#All],[Quantity]]*Table1[[#All],[Unit Price (?)]]</f>
        <v>4737.68</v>
      </c>
      <c r="P1102" t="str">
        <f>TEXT(Table1[[#All],[Order Date]],"dddd")</f>
        <v>Thursday</v>
      </c>
      <c r="Q1102" t="str">
        <f>TEXT(Table1[[#All],[Order Date]],"mmm")</f>
        <v>Jul</v>
      </c>
      <c r="R1102" t="str">
        <f>IF(Table1[[#All],[Total Price (?)]]&gt;1000,"High Value","Normal")</f>
        <v>High Value</v>
      </c>
    </row>
    <row r="1103" spans="1:18" x14ac:dyDescent="0.3">
      <c r="A1103" t="s">
        <v>1164</v>
      </c>
      <c r="B1103" s="1">
        <v>45676</v>
      </c>
      <c r="C1103" t="s">
        <v>52</v>
      </c>
      <c r="D1103" t="s">
        <v>16</v>
      </c>
      <c r="E1103" t="s">
        <v>17</v>
      </c>
      <c r="F1103" t="s">
        <v>32</v>
      </c>
      <c r="G1103">
        <v>1</v>
      </c>
      <c r="H1103">
        <v>4756.3599999999997</v>
      </c>
      <c r="I1103">
        <v>0.01</v>
      </c>
      <c r="J1103">
        <v>4708.8</v>
      </c>
      <c r="K1103" t="s">
        <v>33</v>
      </c>
      <c r="L1103" t="s">
        <v>29</v>
      </c>
      <c r="M1103" t="s">
        <v>30</v>
      </c>
      <c r="N1103" t="s">
        <v>88</v>
      </c>
      <c r="O1103">
        <f>Table1[[#All],[Quantity]]*Table1[[#All],[Unit Price (?)]]</f>
        <v>4756.3599999999997</v>
      </c>
      <c r="P1103" t="str">
        <f>TEXT(Table1[[#All],[Order Date]],"dddd")</f>
        <v>Sunday</v>
      </c>
      <c r="Q1103" t="str">
        <f>TEXT(Table1[[#All],[Order Date]],"mmm")</f>
        <v>Jan</v>
      </c>
      <c r="R1103" t="str">
        <f>IF(Table1[[#All],[Total Price (?)]]&gt;1000,"High Value","Normal")</f>
        <v>High Value</v>
      </c>
    </row>
    <row r="1104" spans="1:18" x14ac:dyDescent="0.3">
      <c r="A1104" t="s">
        <v>1165</v>
      </c>
      <c r="B1104" s="1">
        <v>45714</v>
      </c>
      <c r="C1104" t="s">
        <v>36</v>
      </c>
      <c r="D1104" t="s">
        <v>43</v>
      </c>
      <c r="E1104" t="s">
        <v>99</v>
      </c>
      <c r="F1104" t="s">
        <v>111</v>
      </c>
      <c r="G1104">
        <v>1</v>
      </c>
      <c r="H1104">
        <v>2641.38</v>
      </c>
      <c r="I1104">
        <v>0.09</v>
      </c>
      <c r="J1104">
        <v>2403.66</v>
      </c>
      <c r="K1104" t="s">
        <v>58</v>
      </c>
      <c r="L1104" t="s">
        <v>29</v>
      </c>
      <c r="M1104" t="s">
        <v>54</v>
      </c>
      <c r="N1104" t="s">
        <v>88</v>
      </c>
      <c r="O1104">
        <f>Table1[[#All],[Quantity]]*Table1[[#All],[Unit Price (?)]]</f>
        <v>2641.38</v>
      </c>
      <c r="P1104" t="str">
        <f>TEXT(Table1[[#All],[Order Date]],"dddd")</f>
        <v>Wednesday</v>
      </c>
      <c r="Q1104" t="str">
        <f>TEXT(Table1[[#All],[Order Date]],"mmm")</f>
        <v>Feb</v>
      </c>
      <c r="R1104" t="str">
        <f>IF(Table1[[#All],[Total Price (?)]]&gt;1000,"High Value","Normal")</f>
        <v>High Value</v>
      </c>
    </row>
    <row r="1105" spans="1:18" x14ac:dyDescent="0.3">
      <c r="A1105" t="s">
        <v>1166</v>
      </c>
      <c r="B1105" s="1">
        <v>45831</v>
      </c>
      <c r="C1105" t="s">
        <v>15</v>
      </c>
      <c r="D1105" t="s">
        <v>16</v>
      </c>
      <c r="E1105" t="s">
        <v>49</v>
      </c>
      <c r="F1105" t="s">
        <v>73</v>
      </c>
      <c r="G1105">
        <v>3</v>
      </c>
      <c r="H1105">
        <v>2125.64</v>
      </c>
      <c r="I1105">
        <v>0.14000000000000001</v>
      </c>
      <c r="J1105">
        <v>5484.15</v>
      </c>
      <c r="K1105" t="s">
        <v>19</v>
      </c>
      <c r="L1105" t="s">
        <v>34</v>
      </c>
      <c r="M1105" t="s">
        <v>54</v>
      </c>
      <c r="N1105" t="s">
        <v>22</v>
      </c>
      <c r="O1105">
        <f>Table1[[#All],[Quantity]]*Table1[[#All],[Unit Price (?)]]</f>
        <v>6376.92</v>
      </c>
      <c r="P1105" t="str">
        <f>TEXT(Table1[[#All],[Order Date]],"dddd")</f>
        <v>Monday</v>
      </c>
      <c r="Q1105" t="str">
        <f>TEXT(Table1[[#All],[Order Date]],"mmm")</f>
        <v>Jun</v>
      </c>
      <c r="R1105" t="str">
        <f>IF(Table1[[#All],[Total Price (?)]]&gt;1000,"High Value","Normal")</f>
        <v>High Value</v>
      </c>
    </row>
    <row r="1106" spans="1:18" x14ac:dyDescent="0.3">
      <c r="A1106" t="s">
        <v>1167</v>
      </c>
      <c r="B1106" s="1">
        <v>45747</v>
      </c>
      <c r="C1106" t="s">
        <v>36</v>
      </c>
      <c r="D1106" t="s">
        <v>43</v>
      </c>
      <c r="E1106" t="s">
        <v>17</v>
      </c>
      <c r="F1106" t="s">
        <v>18</v>
      </c>
      <c r="G1106">
        <v>1</v>
      </c>
      <c r="H1106">
        <v>869.03</v>
      </c>
      <c r="I1106">
        <v>0.08</v>
      </c>
      <c r="J1106">
        <v>799.51</v>
      </c>
      <c r="K1106" t="s">
        <v>41</v>
      </c>
      <c r="L1106" t="s">
        <v>34</v>
      </c>
      <c r="M1106" t="s">
        <v>54</v>
      </c>
      <c r="N1106" t="s">
        <v>22</v>
      </c>
      <c r="O1106">
        <f>Table1[[#All],[Quantity]]*Table1[[#All],[Unit Price (?)]]</f>
        <v>869.03</v>
      </c>
      <c r="P1106" t="str">
        <f>TEXT(Table1[[#All],[Order Date]],"dddd")</f>
        <v>Monday</v>
      </c>
      <c r="Q1106" t="str">
        <f>TEXT(Table1[[#All],[Order Date]],"mmm")</f>
        <v>Mar</v>
      </c>
      <c r="R1106" t="str">
        <f>IF(Table1[[#All],[Total Price (?)]]&gt;1000,"High Value","Normal")</f>
        <v>Normal</v>
      </c>
    </row>
    <row r="1107" spans="1:18" x14ac:dyDescent="0.3">
      <c r="A1107" t="s">
        <v>1168</v>
      </c>
      <c r="B1107" s="1">
        <v>45707</v>
      </c>
      <c r="C1107" t="s">
        <v>48</v>
      </c>
      <c r="D1107" t="s">
        <v>25</v>
      </c>
      <c r="E1107" t="s">
        <v>17</v>
      </c>
      <c r="F1107" t="s">
        <v>40</v>
      </c>
      <c r="G1107">
        <v>3</v>
      </c>
      <c r="H1107">
        <v>4323.72</v>
      </c>
      <c r="I1107">
        <v>0.02</v>
      </c>
      <c r="J1107">
        <v>12711.74</v>
      </c>
      <c r="K1107" t="s">
        <v>19</v>
      </c>
      <c r="L1107" t="s">
        <v>29</v>
      </c>
      <c r="M1107" t="s">
        <v>21</v>
      </c>
      <c r="N1107" t="s">
        <v>22</v>
      </c>
      <c r="O1107">
        <f>Table1[[#All],[Quantity]]*Table1[[#All],[Unit Price (?)]]</f>
        <v>12971.16</v>
      </c>
      <c r="P1107" t="str">
        <f>TEXT(Table1[[#All],[Order Date]],"dddd")</f>
        <v>Wednesday</v>
      </c>
      <c r="Q1107" t="str">
        <f>TEXT(Table1[[#All],[Order Date]],"mmm")</f>
        <v>Feb</v>
      </c>
      <c r="R1107" t="str">
        <f>IF(Table1[[#All],[Total Price (?)]]&gt;1000,"High Value","Normal")</f>
        <v>High Value</v>
      </c>
    </row>
    <row r="1108" spans="1:18" x14ac:dyDescent="0.3">
      <c r="A1108" t="s">
        <v>1169</v>
      </c>
      <c r="B1108" s="1">
        <v>45805</v>
      </c>
      <c r="C1108" t="s">
        <v>24</v>
      </c>
      <c r="D1108" t="s">
        <v>25</v>
      </c>
      <c r="E1108" t="s">
        <v>27</v>
      </c>
      <c r="F1108" t="s">
        <v>68</v>
      </c>
      <c r="G1108">
        <v>2</v>
      </c>
      <c r="H1108">
        <v>4174.21</v>
      </c>
      <c r="I1108">
        <v>0.21</v>
      </c>
      <c r="J1108">
        <v>6595.25</v>
      </c>
      <c r="K1108" t="s">
        <v>33</v>
      </c>
      <c r="L1108" t="s">
        <v>34</v>
      </c>
      <c r="M1108" t="s">
        <v>30</v>
      </c>
      <c r="N1108" t="s">
        <v>22</v>
      </c>
      <c r="O1108">
        <f>Table1[[#All],[Quantity]]*Table1[[#All],[Unit Price (?)]]</f>
        <v>8348.42</v>
      </c>
      <c r="P1108" t="str">
        <f>TEXT(Table1[[#All],[Order Date]],"dddd")</f>
        <v>Wednesday</v>
      </c>
      <c r="Q1108" t="str">
        <f>TEXT(Table1[[#All],[Order Date]],"mmm")</f>
        <v>May</v>
      </c>
      <c r="R1108" t="str">
        <f>IF(Table1[[#All],[Total Price (?)]]&gt;1000,"High Value","Normal")</f>
        <v>High Value</v>
      </c>
    </row>
    <row r="1109" spans="1:18" x14ac:dyDescent="0.3">
      <c r="A1109" t="s">
        <v>1170</v>
      </c>
      <c r="B1109" s="1">
        <v>45750</v>
      </c>
      <c r="C1109" t="s">
        <v>15</v>
      </c>
      <c r="D1109" t="s">
        <v>25</v>
      </c>
      <c r="E1109" t="s">
        <v>17</v>
      </c>
      <c r="F1109" t="s">
        <v>32</v>
      </c>
      <c r="G1109">
        <v>1</v>
      </c>
      <c r="H1109">
        <v>1394.92</v>
      </c>
      <c r="I1109">
        <v>0.16</v>
      </c>
      <c r="J1109">
        <v>1171.73</v>
      </c>
      <c r="K1109" t="s">
        <v>41</v>
      </c>
      <c r="L1109" t="s">
        <v>20</v>
      </c>
      <c r="M1109" t="s">
        <v>30</v>
      </c>
      <c r="N1109" t="s">
        <v>22</v>
      </c>
      <c r="O1109">
        <f>Table1[[#All],[Quantity]]*Table1[[#All],[Unit Price (?)]]</f>
        <v>1394.92</v>
      </c>
      <c r="P1109" t="str">
        <f>TEXT(Table1[[#All],[Order Date]],"dddd")</f>
        <v>Thursday</v>
      </c>
      <c r="Q1109" t="str">
        <f>TEXT(Table1[[#All],[Order Date]],"mmm")</f>
        <v>Apr</v>
      </c>
      <c r="R1109" t="str">
        <f>IF(Table1[[#All],[Total Price (?)]]&gt;1000,"High Value","Normal")</f>
        <v>High Value</v>
      </c>
    </row>
    <row r="1110" spans="1:18" x14ac:dyDescent="0.3">
      <c r="A1110" t="s">
        <v>1171</v>
      </c>
      <c r="B1110" s="1">
        <v>45770</v>
      </c>
      <c r="C1110" t="s">
        <v>48</v>
      </c>
      <c r="D1110" t="s">
        <v>43</v>
      </c>
      <c r="E1110" t="s">
        <v>17</v>
      </c>
      <c r="F1110" t="s">
        <v>44</v>
      </c>
      <c r="G1110">
        <v>4</v>
      </c>
      <c r="H1110">
        <v>1493.67</v>
      </c>
      <c r="I1110">
        <v>0.18</v>
      </c>
      <c r="J1110">
        <v>4899.24</v>
      </c>
      <c r="K1110" t="s">
        <v>33</v>
      </c>
      <c r="L1110" t="s">
        <v>34</v>
      </c>
      <c r="M1110" t="s">
        <v>21</v>
      </c>
      <c r="N1110" t="s">
        <v>22</v>
      </c>
      <c r="O1110">
        <f>Table1[[#All],[Quantity]]*Table1[[#All],[Unit Price (?)]]</f>
        <v>5974.68</v>
      </c>
      <c r="P1110" t="str">
        <f>TEXT(Table1[[#All],[Order Date]],"dddd")</f>
        <v>Wednesday</v>
      </c>
      <c r="Q1110" t="str">
        <f>TEXT(Table1[[#All],[Order Date]],"mmm")</f>
        <v>Apr</v>
      </c>
      <c r="R1110" t="str">
        <f>IF(Table1[[#All],[Total Price (?)]]&gt;1000,"High Value","Normal")</f>
        <v>High Value</v>
      </c>
    </row>
    <row r="1111" spans="1:18" x14ac:dyDescent="0.3">
      <c r="A1111" t="s">
        <v>1172</v>
      </c>
      <c r="B1111" s="1">
        <v>45778</v>
      </c>
      <c r="C1111" t="s">
        <v>15</v>
      </c>
      <c r="D1111" t="s">
        <v>25</v>
      </c>
      <c r="E1111" t="s">
        <v>49</v>
      </c>
      <c r="F1111" t="s">
        <v>50</v>
      </c>
      <c r="G1111">
        <v>1</v>
      </c>
      <c r="H1111">
        <v>2316.12</v>
      </c>
      <c r="I1111">
        <v>0.14000000000000001</v>
      </c>
      <c r="J1111">
        <v>1991.86</v>
      </c>
      <c r="K1111" t="s">
        <v>33</v>
      </c>
      <c r="L1111" t="s">
        <v>29</v>
      </c>
      <c r="M1111" t="s">
        <v>54</v>
      </c>
      <c r="N1111" t="s">
        <v>88</v>
      </c>
      <c r="O1111">
        <f>Table1[[#All],[Quantity]]*Table1[[#All],[Unit Price (?)]]</f>
        <v>2316.12</v>
      </c>
      <c r="P1111" t="str">
        <f>TEXT(Table1[[#All],[Order Date]],"dddd")</f>
        <v>Thursday</v>
      </c>
      <c r="Q1111" t="str">
        <f>TEXT(Table1[[#All],[Order Date]],"mmm")</f>
        <v>May</v>
      </c>
      <c r="R1111" t="str">
        <f>IF(Table1[[#All],[Total Price (?)]]&gt;1000,"High Value","Normal")</f>
        <v>High Value</v>
      </c>
    </row>
    <row r="1112" spans="1:18" x14ac:dyDescent="0.3">
      <c r="A1112" t="s">
        <v>1173</v>
      </c>
      <c r="B1112" s="1">
        <v>45789</v>
      </c>
      <c r="C1112" t="s">
        <v>48</v>
      </c>
      <c r="D1112" t="s">
        <v>16</v>
      </c>
      <c r="E1112" t="s">
        <v>49</v>
      </c>
      <c r="F1112" t="s">
        <v>53</v>
      </c>
      <c r="G1112">
        <v>3</v>
      </c>
      <c r="H1112">
        <v>1728.93</v>
      </c>
      <c r="I1112">
        <v>0.2</v>
      </c>
      <c r="J1112">
        <v>4149.43</v>
      </c>
      <c r="K1112" t="s">
        <v>33</v>
      </c>
      <c r="L1112" t="s">
        <v>20</v>
      </c>
      <c r="M1112" t="s">
        <v>54</v>
      </c>
      <c r="N1112" t="s">
        <v>22</v>
      </c>
      <c r="O1112">
        <f>Table1[[#All],[Quantity]]*Table1[[#All],[Unit Price (?)]]</f>
        <v>5186.79</v>
      </c>
      <c r="P1112" t="str">
        <f>TEXT(Table1[[#All],[Order Date]],"dddd")</f>
        <v>Monday</v>
      </c>
      <c r="Q1112" t="str">
        <f>TEXT(Table1[[#All],[Order Date]],"mmm")</f>
        <v>May</v>
      </c>
      <c r="R1112" t="str">
        <f>IF(Table1[[#All],[Total Price (?)]]&gt;1000,"High Value","Normal")</f>
        <v>High Value</v>
      </c>
    </row>
    <row r="1113" spans="1:18" x14ac:dyDescent="0.3">
      <c r="A1113" t="s">
        <v>1174</v>
      </c>
      <c r="B1113" s="1">
        <v>45733</v>
      </c>
      <c r="C1113" t="s">
        <v>36</v>
      </c>
      <c r="D1113" t="s">
        <v>43</v>
      </c>
      <c r="E1113" t="s">
        <v>61</v>
      </c>
      <c r="F1113" t="s">
        <v>92</v>
      </c>
      <c r="G1113">
        <v>2</v>
      </c>
      <c r="H1113">
        <v>2075.66</v>
      </c>
      <c r="I1113">
        <v>0.21</v>
      </c>
      <c r="J1113">
        <v>3279.54</v>
      </c>
      <c r="K1113" t="s">
        <v>19</v>
      </c>
      <c r="L1113" t="s">
        <v>20</v>
      </c>
      <c r="M1113" t="s">
        <v>21</v>
      </c>
      <c r="N1113" t="s">
        <v>22</v>
      </c>
      <c r="O1113">
        <f>Table1[[#All],[Quantity]]*Table1[[#All],[Unit Price (?)]]</f>
        <v>4151.32</v>
      </c>
      <c r="P1113" t="str">
        <f>TEXT(Table1[[#All],[Order Date]],"dddd")</f>
        <v>Monday</v>
      </c>
      <c r="Q1113" t="str">
        <f>TEXT(Table1[[#All],[Order Date]],"mmm")</f>
        <v>Mar</v>
      </c>
      <c r="R1113" t="str">
        <f>IF(Table1[[#All],[Total Price (?)]]&gt;1000,"High Value","Normal")</f>
        <v>High Value</v>
      </c>
    </row>
    <row r="1114" spans="1:18" x14ac:dyDescent="0.3">
      <c r="A1114" t="s">
        <v>1175</v>
      </c>
      <c r="B1114" s="1">
        <v>45725</v>
      </c>
      <c r="C1114" t="s">
        <v>48</v>
      </c>
      <c r="D1114" t="s">
        <v>25</v>
      </c>
      <c r="E1114" t="s">
        <v>49</v>
      </c>
      <c r="F1114" t="s">
        <v>53</v>
      </c>
      <c r="G1114">
        <v>3</v>
      </c>
      <c r="H1114">
        <v>4188.18</v>
      </c>
      <c r="I1114">
        <v>0.01</v>
      </c>
      <c r="J1114">
        <v>12438.89</v>
      </c>
      <c r="K1114" t="s">
        <v>46</v>
      </c>
      <c r="L1114" t="s">
        <v>29</v>
      </c>
      <c r="M1114" t="s">
        <v>21</v>
      </c>
      <c r="N1114" t="s">
        <v>37</v>
      </c>
      <c r="O1114">
        <f>Table1[[#All],[Quantity]]*Table1[[#All],[Unit Price (?)]]</f>
        <v>12564.54</v>
      </c>
      <c r="P1114" t="str">
        <f>TEXT(Table1[[#All],[Order Date]],"dddd")</f>
        <v>Sunday</v>
      </c>
      <c r="Q1114" t="str">
        <f>TEXT(Table1[[#All],[Order Date]],"mmm")</f>
        <v>Mar</v>
      </c>
      <c r="R1114" t="str">
        <f>IF(Table1[[#All],[Total Price (?)]]&gt;1000,"High Value","Normal")</f>
        <v>High Value</v>
      </c>
    </row>
    <row r="1115" spans="1:18" x14ac:dyDescent="0.3">
      <c r="A1115" t="s">
        <v>1176</v>
      </c>
      <c r="B1115" s="1">
        <v>45665</v>
      </c>
      <c r="C1115" t="s">
        <v>36</v>
      </c>
      <c r="D1115" t="s">
        <v>25</v>
      </c>
      <c r="E1115" t="s">
        <v>99</v>
      </c>
      <c r="F1115" t="s">
        <v>100</v>
      </c>
      <c r="G1115">
        <v>4</v>
      </c>
      <c r="H1115">
        <v>1633.78</v>
      </c>
      <c r="I1115">
        <v>0.16</v>
      </c>
      <c r="J1115">
        <v>5489.5</v>
      </c>
      <c r="K1115" t="s">
        <v>41</v>
      </c>
      <c r="L1115" t="s">
        <v>29</v>
      </c>
      <c r="M1115" t="s">
        <v>30</v>
      </c>
      <c r="N1115" t="s">
        <v>22</v>
      </c>
      <c r="O1115">
        <f>Table1[[#All],[Quantity]]*Table1[[#All],[Unit Price (?)]]</f>
        <v>6535.12</v>
      </c>
      <c r="P1115" t="str">
        <f>TEXT(Table1[[#All],[Order Date]],"dddd")</f>
        <v>Wednesday</v>
      </c>
      <c r="Q1115" t="str">
        <f>TEXT(Table1[[#All],[Order Date]],"mmm")</f>
        <v>Jan</v>
      </c>
      <c r="R1115" t="str">
        <f>IF(Table1[[#All],[Total Price (?)]]&gt;1000,"High Value","Normal")</f>
        <v>High Value</v>
      </c>
    </row>
    <row r="1116" spans="1:18" x14ac:dyDescent="0.3">
      <c r="A1116" t="s">
        <v>1177</v>
      </c>
      <c r="B1116" s="1">
        <v>45755</v>
      </c>
      <c r="C1116" t="s">
        <v>24</v>
      </c>
      <c r="D1116" t="s">
        <v>16</v>
      </c>
      <c r="E1116" t="s">
        <v>27</v>
      </c>
      <c r="F1116" t="s">
        <v>79</v>
      </c>
      <c r="G1116">
        <v>1</v>
      </c>
      <c r="H1116">
        <v>1940.86</v>
      </c>
      <c r="I1116">
        <v>0.19</v>
      </c>
      <c r="J1116">
        <v>1572.1</v>
      </c>
      <c r="K1116" t="s">
        <v>41</v>
      </c>
      <c r="L1116" t="s">
        <v>29</v>
      </c>
      <c r="M1116" t="s">
        <v>54</v>
      </c>
      <c r="N1116" t="s">
        <v>22</v>
      </c>
      <c r="O1116">
        <f>Table1[[#All],[Quantity]]*Table1[[#All],[Unit Price (?)]]</f>
        <v>1940.86</v>
      </c>
      <c r="P1116" t="str">
        <f>TEXT(Table1[[#All],[Order Date]],"dddd")</f>
        <v>Tuesday</v>
      </c>
      <c r="Q1116" t="str">
        <f>TEXT(Table1[[#All],[Order Date]],"mmm")</f>
        <v>Apr</v>
      </c>
      <c r="R1116" t="str">
        <f>IF(Table1[[#All],[Total Price (?)]]&gt;1000,"High Value","Normal")</f>
        <v>High Value</v>
      </c>
    </row>
    <row r="1117" spans="1:18" x14ac:dyDescent="0.3">
      <c r="A1117" t="s">
        <v>1178</v>
      </c>
      <c r="B1117" s="1">
        <v>45825</v>
      </c>
      <c r="C1117" t="s">
        <v>24</v>
      </c>
      <c r="D1117" t="s">
        <v>25</v>
      </c>
      <c r="E1117" t="s">
        <v>49</v>
      </c>
      <c r="F1117" t="s">
        <v>56</v>
      </c>
      <c r="G1117">
        <v>2</v>
      </c>
      <c r="H1117">
        <v>3168.21</v>
      </c>
      <c r="I1117">
        <v>0.13</v>
      </c>
      <c r="J1117">
        <v>5512.69</v>
      </c>
      <c r="K1117" t="s">
        <v>41</v>
      </c>
      <c r="L1117" t="s">
        <v>34</v>
      </c>
      <c r="M1117" t="s">
        <v>54</v>
      </c>
      <c r="N1117" t="s">
        <v>22</v>
      </c>
      <c r="O1117">
        <f>Table1[[#All],[Quantity]]*Table1[[#All],[Unit Price (?)]]</f>
        <v>6336.42</v>
      </c>
      <c r="P1117" t="str">
        <f>TEXT(Table1[[#All],[Order Date]],"dddd")</f>
        <v>Tuesday</v>
      </c>
      <c r="Q1117" t="str">
        <f>TEXT(Table1[[#All],[Order Date]],"mmm")</f>
        <v>Jun</v>
      </c>
      <c r="R1117" t="str">
        <f>IF(Table1[[#All],[Total Price (?)]]&gt;1000,"High Value","Normal")</f>
        <v>High Value</v>
      </c>
    </row>
    <row r="1118" spans="1:18" x14ac:dyDescent="0.3">
      <c r="A1118" t="s">
        <v>1179</v>
      </c>
      <c r="B1118" s="1">
        <v>45723</v>
      </c>
      <c r="C1118" t="s">
        <v>48</v>
      </c>
      <c r="D1118" t="s">
        <v>43</v>
      </c>
      <c r="E1118" t="s">
        <v>99</v>
      </c>
      <c r="F1118" t="s">
        <v>120</v>
      </c>
      <c r="G1118">
        <v>3</v>
      </c>
      <c r="H1118">
        <v>2660.15</v>
      </c>
      <c r="I1118">
        <v>0.15</v>
      </c>
      <c r="J1118">
        <v>6783.38</v>
      </c>
      <c r="K1118" t="s">
        <v>46</v>
      </c>
      <c r="L1118" t="s">
        <v>29</v>
      </c>
      <c r="M1118" t="s">
        <v>30</v>
      </c>
      <c r="N1118" t="s">
        <v>22</v>
      </c>
      <c r="O1118">
        <f>Table1[[#All],[Quantity]]*Table1[[#All],[Unit Price (?)]]</f>
        <v>7980.4500000000007</v>
      </c>
      <c r="P1118" t="str">
        <f>TEXT(Table1[[#All],[Order Date]],"dddd")</f>
        <v>Friday</v>
      </c>
      <c r="Q1118" t="str">
        <f>TEXT(Table1[[#All],[Order Date]],"mmm")</f>
        <v>Mar</v>
      </c>
      <c r="R1118" t="str">
        <f>IF(Table1[[#All],[Total Price (?)]]&gt;1000,"High Value","Normal")</f>
        <v>High Value</v>
      </c>
    </row>
    <row r="1119" spans="1:18" x14ac:dyDescent="0.3">
      <c r="A1119" t="s">
        <v>1180</v>
      </c>
      <c r="B1119" s="1">
        <v>45695</v>
      </c>
      <c r="C1119" t="s">
        <v>36</v>
      </c>
      <c r="D1119" t="s">
        <v>43</v>
      </c>
      <c r="E1119" t="s">
        <v>27</v>
      </c>
      <c r="F1119" t="s">
        <v>68</v>
      </c>
      <c r="G1119">
        <v>5</v>
      </c>
      <c r="H1119">
        <v>1331.07</v>
      </c>
      <c r="I1119">
        <v>0.12</v>
      </c>
      <c r="J1119">
        <v>5856.71</v>
      </c>
      <c r="K1119" t="s">
        <v>46</v>
      </c>
      <c r="L1119" t="s">
        <v>29</v>
      </c>
      <c r="M1119" t="s">
        <v>30</v>
      </c>
      <c r="N1119" t="s">
        <v>22</v>
      </c>
      <c r="O1119">
        <f>Table1[[#All],[Quantity]]*Table1[[#All],[Unit Price (?)]]</f>
        <v>6655.3499999999995</v>
      </c>
      <c r="P1119" t="str">
        <f>TEXT(Table1[[#All],[Order Date]],"dddd")</f>
        <v>Friday</v>
      </c>
      <c r="Q1119" t="str">
        <f>TEXT(Table1[[#All],[Order Date]],"mmm")</f>
        <v>Feb</v>
      </c>
      <c r="R1119" t="str">
        <f>IF(Table1[[#All],[Total Price (?)]]&gt;1000,"High Value","Normal")</f>
        <v>High Value</v>
      </c>
    </row>
    <row r="1120" spans="1:18" x14ac:dyDescent="0.3">
      <c r="A1120" t="s">
        <v>1181</v>
      </c>
      <c r="B1120" s="1">
        <v>45754</v>
      </c>
      <c r="C1120" t="s">
        <v>15</v>
      </c>
      <c r="D1120" t="s">
        <v>39</v>
      </c>
      <c r="E1120" t="s">
        <v>49</v>
      </c>
      <c r="F1120" t="s">
        <v>56</v>
      </c>
      <c r="G1120">
        <v>2</v>
      </c>
      <c r="H1120">
        <v>2405.42</v>
      </c>
      <c r="I1120">
        <v>0.25</v>
      </c>
      <c r="J1120">
        <v>3608.13</v>
      </c>
      <c r="K1120" t="s">
        <v>41</v>
      </c>
      <c r="L1120" t="s">
        <v>20</v>
      </c>
      <c r="M1120" t="s">
        <v>54</v>
      </c>
      <c r="N1120" t="s">
        <v>22</v>
      </c>
      <c r="O1120">
        <f>Table1[[#All],[Quantity]]*Table1[[#All],[Unit Price (?)]]</f>
        <v>4810.84</v>
      </c>
      <c r="P1120" t="str">
        <f>TEXT(Table1[[#All],[Order Date]],"dddd")</f>
        <v>Monday</v>
      </c>
      <c r="Q1120" t="str">
        <f>TEXT(Table1[[#All],[Order Date]],"mmm")</f>
        <v>Apr</v>
      </c>
      <c r="R1120" t="str">
        <f>IF(Table1[[#All],[Total Price (?)]]&gt;1000,"High Value","Normal")</f>
        <v>High Value</v>
      </c>
    </row>
    <row r="1121" spans="1:18" x14ac:dyDescent="0.3">
      <c r="A1121" t="s">
        <v>1182</v>
      </c>
      <c r="B1121" s="1">
        <v>45701</v>
      </c>
      <c r="C1121" t="s">
        <v>36</v>
      </c>
      <c r="D1121" t="s">
        <v>16</v>
      </c>
      <c r="E1121" t="s">
        <v>61</v>
      </c>
      <c r="F1121" t="s">
        <v>62</v>
      </c>
      <c r="G1121">
        <v>1</v>
      </c>
      <c r="H1121">
        <v>399.43</v>
      </c>
      <c r="I1121">
        <v>0.12</v>
      </c>
      <c r="J1121">
        <v>351.5</v>
      </c>
      <c r="K1121" t="s">
        <v>41</v>
      </c>
      <c r="L1121" t="s">
        <v>34</v>
      </c>
      <c r="M1121" t="s">
        <v>54</v>
      </c>
      <c r="N1121" t="s">
        <v>22</v>
      </c>
      <c r="O1121">
        <f>Table1[[#All],[Quantity]]*Table1[[#All],[Unit Price (?)]]</f>
        <v>399.43</v>
      </c>
      <c r="P1121" t="str">
        <f>TEXT(Table1[[#All],[Order Date]],"dddd")</f>
        <v>Thursday</v>
      </c>
      <c r="Q1121" t="str">
        <f>TEXT(Table1[[#All],[Order Date]],"mmm")</f>
        <v>Feb</v>
      </c>
      <c r="R1121" t="str">
        <f>IF(Table1[[#All],[Total Price (?)]]&gt;1000,"High Value","Normal")</f>
        <v>Normal</v>
      </c>
    </row>
    <row r="1122" spans="1:18" x14ac:dyDescent="0.3">
      <c r="A1122" t="s">
        <v>1183</v>
      </c>
      <c r="B1122" s="1">
        <v>45728</v>
      </c>
      <c r="C1122" t="s">
        <v>15</v>
      </c>
      <c r="D1122" t="s">
        <v>39</v>
      </c>
      <c r="E1122" t="s">
        <v>27</v>
      </c>
      <c r="F1122" t="s">
        <v>68</v>
      </c>
      <c r="G1122">
        <v>3</v>
      </c>
      <c r="H1122">
        <v>1492.52</v>
      </c>
      <c r="I1122">
        <v>0.23</v>
      </c>
      <c r="J1122">
        <v>3447.72</v>
      </c>
      <c r="K1122" t="s">
        <v>58</v>
      </c>
      <c r="L1122" t="s">
        <v>20</v>
      </c>
      <c r="M1122" t="s">
        <v>30</v>
      </c>
      <c r="N1122" t="s">
        <v>22</v>
      </c>
      <c r="O1122">
        <f>Table1[[#All],[Quantity]]*Table1[[#All],[Unit Price (?)]]</f>
        <v>4477.5599999999995</v>
      </c>
      <c r="P1122" t="str">
        <f>TEXT(Table1[[#All],[Order Date]],"dddd")</f>
        <v>Wednesday</v>
      </c>
      <c r="Q1122" t="str">
        <f>TEXT(Table1[[#All],[Order Date]],"mmm")</f>
        <v>Mar</v>
      </c>
      <c r="R1122" t="str">
        <f>IF(Table1[[#All],[Total Price (?)]]&gt;1000,"High Value","Normal")</f>
        <v>High Value</v>
      </c>
    </row>
    <row r="1123" spans="1:18" x14ac:dyDescent="0.3">
      <c r="A1123" t="s">
        <v>1184</v>
      </c>
      <c r="B1123" s="1">
        <v>45814</v>
      </c>
      <c r="C1123" t="s">
        <v>36</v>
      </c>
      <c r="D1123" t="s">
        <v>43</v>
      </c>
      <c r="E1123" t="s">
        <v>49</v>
      </c>
      <c r="F1123" t="s">
        <v>53</v>
      </c>
      <c r="G1123">
        <v>2</v>
      </c>
      <c r="H1123">
        <v>479.63</v>
      </c>
      <c r="I1123">
        <v>0.04</v>
      </c>
      <c r="J1123">
        <v>920.89</v>
      </c>
      <c r="K1123" t="s">
        <v>33</v>
      </c>
      <c r="L1123" t="s">
        <v>29</v>
      </c>
      <c r="M1123" t="s">
        <v>21</v>
      </c>
      <c r="N1123" t="s">
        <v>22</v>
      </c>
      <c r="O1123">
        <f>Table1[[#All],[Quantity]]*Table1[[#All],[Unit Price (?)]]</f>
        <v>959.26</v>
      </c>
      <c r="P1123" t="str">
        <f>TEXT(Table1[[#All],[Order Date]],"dddd")</f>
        <v>Friday</v>
      </c>
      <c r="Q1123" t="str">
        <f>TEXT(Table1[[#All],[Order Date]],"mmm")</f>
        <v>Jun</v>
      </c>
      <c r="R1123" t="str">
        <f>IF(Table1[[#All],[Total Price (?)]]&gt;1000,"High Value","Normal")</f>
        <v>Normal</v>
      </c>
    </row>
    <row r="1124" spans="1:18" x14ac:dyDescent="0.3">
      <c r="A1124" t="s">
        <v>1185</v>
      </c>
      <c r="B1124" s="1">
        <v>45710</v>
      </c>
      <c r="C1124" t="s">
        <v>52</v>
      </c>
      <c r="D1124" t="s">
        <v>39</v>
      </c>
      <c r="E1124" t="s">
        <v>99</v>
      </c>
      <c r="F1124" t="s">
        <v>120</v>
      </c>
      <c r="G1124">
        <v>4</v>
      </c>
      <c r="H1124">
        <v>1717.78</v>
      </c>
      <c r="I1124">
        <v>0.19</v>
      </c>
      <c r="J1124">
        <v>5565.61</v>
      </c>
      <c r="K1124" t="s">
        <v>33</v>
      </c>
      <c r="L1124" t="s">
        <v>29</v>
      </c>
      <c r="M1124" t="s">
        <v>21</v>
      </c>
      <c r="N1124" t="s">
        <v>59</v>
      </c>
      <c r="O1124">
        <f>Table1[[#All],[Quantity]]*Table1[[#All],[Unit Price (?)]]</f>
        <v>6871.12</v>
      </c>
      <c r="P1124" t="str">
        <f>TEXT(Table1[[#All],[Order Date]],"dddd")</f>
        <v>Saturday</v>
      </c>
      <c r="Q1124" t="str">
        <f>TEXT(Table1[[#All],[Order Date]],"mmm")</f>
        <v>Feb</v>
      </c>
      <c r="R1124" t="str">
        <f>IF(Table1[[#All],[Total Price (?)]]&gt;1000,"High Value","Normal")</f>
        <v>High Value</v>
      </c>
    </row>
    <row r="1125" spans="1:18" x14ac:dyDescent="0.3">
      <c r="A1125" t="s">
        <v>1186</v>
      </c>
      <c r="B1125" s="1">
        <v>45726</v>
      </c>
      <c r="C1125" t="s">
        <v>52</v>
      </c>
      <c r="D1125" t="s">
        <v>43</v>
      </c>
      <c r="E1125" t="s">
        <v>27</v>
      </c>
      <c r="F1125" t="s">
        <v>87</v>
      </c>
      <c r="G1125">
        <v>2</v>
      </c>
      <c r="H1125">
        <v>4946.53</v>
      </c>
      <c r="I1125">
        <v>0.02</v>
      </c>
      <c r="J1125">
        <v>9695.2000000000007</v>
      </c>
      <c r="K1125" t="s">
        <v>19</v>
      </c>
      <c r="L1125" t="s">
        <v>20</v>
      </c>
      <c r="M1125" t="s">
        <v>21</v>
      </c>
      <c r="N1125" t="s">
        <v>22</v>
      </c>
      <c r="O1125">
        <f>Table1[[#All],[Quantity]]*Table1[[#All],[Unit Price (?)]]</f>
        <v>9893.06</v>
      </c>
      <c r="P1125" t="str">
        <f>TEXT(Table1[[#All],[Order Date]],"dddd")</f>
        <v>Monday</v>
      </c>
      <c r="Q1125" t="str">
        <f>TEXT(Table1[[#All],[Order Date]],"mmm")</f>
        <v>Mar</v>
      </c>
      <c r="R1125" t="str">
        <f>IF(Table1[[#All],[Total Price (?)]]&gt;1000,"High Value","Normal")</f>
        <v>High Value</v>
      </c>
    </row>
    <row r="1126" spans="1:18" x14ac:dyDescent="0.3">
      <c r="A1126" t="s">
        <v>1187</v>
      </c>
      <c r="B1126" s="1">
        <v>45714</v>
      </c>
      <c r="C1126" t="s">
        <v>15</v>
      </c>
      <c r="D1126" t="s">
        <v>25</v>
      </c>
      <c r="E1126" t="s">
        <v>49</v>
      </c>
      <c r="F1126" t="s">
        <v>56</v>
      </c>
      <c r="G1126">
        <v>2</v>
      </c>
      <c r="H1126">
        <v>2607.36</v>
      </c>
      <c r="I1126">
        <v>0.11</v>
      </c>
      <c r="J1126">
        <v>4641.1000000000004</v>
      </c>
      <c r="K1126" t="s">
        <v>58</v>
      </c>
      <c r="L1126" t="s">
        <v>20</v>
      </c>
      <c r="M1126" t="s">
        <v>21</v>
      </c>
      <c r="N1126" t="s">
        <v>22</v>
      </c>
      <c r="O1126">
        <f>Table1[[#All],[Quantity]]*Table1[[#All],[Unit Price (?)]]</f>
        <v>5214.72</v>
      </c>
      <c r="P1126" t="str">
        <f>TEXT(Table1[[#All],[Order Date]],"dddd")</f>
        <v>Wednesday</v>
      </c>
      <c r="Q1126" t="str">
        <f>TEXT(Table1[[#All],[Order Date]],"mmm")</f>
        <v>Feb</v>
      </c>
      <c r="R1126" t="str">
        <f>IF(Table1[[#All],[Total Price (?)]]&gt;1000,"High Value","Normal")</f>
        <v>High Value</v>
      </c>
    </row>
    <row r="1127" spans="1:18" x14ac:dyDescent="0.3">
      <c r="A1127" t="s">
        <v>1188</v>
      </c>
      <c r="B1127" s="1">
        <v>45830</v>
      </c>
      <c r="C1127" t="s">
        <v>52</v>
      </c>
      <c r="D1127" t="s">
        <v>39</v>
      </c>
      <c r="E1127" t="s">
        <v>27</v>
      </c>
      <c r="F1127" t="s">
        <v>79</v>
      </c>
      <c r="G1127">
        <v>4</v>
      </c>
      <c r="H1127">
        <v>3892.21</v>
      </c>
      <c r="I1127">
        <v>0.18</v>
      </c>
      <c r="J1127">
        <v>12766.45</v>
      </c>
      <c r="K1127" t="s">
        <v>33</v>
      </c>
      <c r="L1127" t="s">
        <v>34</v>
      </c>
      <c r="M1127" t="s">
        <v>30</v>
      </c>
      <c r="N1127" t="s">
        <v>88</v>
      </c>
      <c r="O1127">
        <f>Table1[[#All],[Quantity]]*Table1[[#All],[Unit Price (?)]]</f>
        <v>15568.84</v>
      </c>
      <c r="P1127" t="str">
        <f>TEXT(Table1[[#All],[Order Date]],"dddd")</f>
        <v>Sunday</v>
      </c>
      <c r="Q1127" t="str">
        <f>TEXT(Table1[[#All],[Order Date]],"mmm")</f>
        <v>Jun</v>
      </c>
      <c r="R1127" t="str">
        <f>IF(Table1[[#All],[Total Price (?)]]&gt;1000,"High Value","Normal")</f>
        <v>High Value</v>
      </c>
    </row>
    <row r="1128" spans="1:18" x14ac:dyDescent="0.3">
      <c r="A1128" t="s">
        <v>1189</v>
      </c>
      <c r="B1128" s="1">
        <v>45775</v>
      </c>
      <c r="C1128" t="s">
        <v>36</v>
      </c>
      <c r="D1128" t="s">
        <v>25</v>
      </c>
      <c r="E1128" t="s">
        <v>99</v>
      </c>
      <c r="F1128" t="s">
        <v>120</v>
      </c>
      <c r="G1128">
        <v>3</v>
      </c>
      <c r="H1128">
        <v>3585.6</v>
      </c>
      <c r="I1128">
        <v>0.21</v>
      </c>
      <c r="J1128">
        <v>8497.8700000000008</v>
      </c>
      <c r="K1128" t="s">
        <v>19</v>
      </c>
      <c r="L1128" t="s">
        <v>20</v>
      </c>
      <c r="M1128" t="s">
        <v>21</v>
      </c>
      <c r="N1128" t="s">
        <v>22</v>
      </c>
      <c r="O1128">
        <f>Table1[[#All],[Quantity]]*Table1[[#All],[Unit Price (?)]]</f>
        <v>10756.8</v>
      </c>
      <c r="P1128" t="str">
        <f>TEXT(Table1[[#All],[Order Date]],"dddd")</f>
        <v>Monday</v>
      </c>
      <c r="Q1128" t="str">
        <f>TEXT(Table1[[#All],[Order Date]],"mmm")</f>
        <v>Apr</v>
      </c>
      <c r="R1128" t="str">
        <f>IF(Table1[[#All],[Total Price (?)]]&gt;1000,"High Value","Normal")</f>
        <v>High Value</v>
      </c>
    </row>
    <row r="1129" spans="1:18" x14ac:dyDescent="0.3">
      <c r="A1129" t="s">
        <v>1190</v>
      </c>
      <c r="B1129" s="1">
        <v>45796</v>
      </c>
      <c r="C1129" t="s">
        <v>36</v>
      </c>
      <c r="D1129" t="s">
        <v>39</v>
      </c>
      <c r="E1129" t="s">
        <v>99</v>
      </c>
      <c r="F1129" t="s">
        <v>120</v>
      </c>
      <c r="G1129">
        <v>3</v>
      </c>
      <c r="H1129">
        <v>972.26</v>
      </c>
      <c r="I1129">
        <v>0.22</v>
      </c>
      <c r="J1129">
        <v>2275.09</v>
      </c>
      <c r="K1129" t="s">
        <v>41</v>
      </c>
      <c r="L1129" t="s">
        <v>29</v>
      </c>
      <c r="M1129" t="s">
        <v>30</v>
      </c>
      <c r="N1129" t="s">
        <v>22</v>
      </c>
      <c r="O1129">
        <f>Table1[[#All],[Quantity]]*Table1[[#All],[Unit Price (?)]]</f>
        <v>2916.7799999999997</v>
      </c>
      <c r="P1129" t="str">
        <f>TEXT(Table1[[#All],[Order Date]],"dddd")</f>
        <v>Monday</v>
      </c>
      <c r="Q1129" t="str">
        <f>TEXT(Table1[[#All],[Order Date]],"mmm")</f>
        <v>May</v>
      </c>
      <c r="R1129" t="str">
        <f>IF(Table1[[#All],[Total Price (?)]]&gt;1000,"High Value","Normal")</f>
        <v>High Value</v>
      </c>
    </row>
    <row r="1130" spans="1:18" x14ac:dyDescent="0.3">
      <c r="A1130" t="s">
        <v>1191</v>
      </c>
      <c r="B1130" s="1">
        <v>45830</v>
      </c>
      <c r="C1130" t="s">
        <v>48</v>
      </c>
      <c r="D1130" t="s">
        <v>16</v>
      </c>
      <c r="E1130" t="s">
        <v>61</v>
      </c>
      <c r="F1130" t="s">
        <v>75</v>
      </c>
      <c r="G1130">
        <v>1</v>
      </c>
      <c r="H1130">
        <v>1059.5999999999999</v>
      </c>
      <c r="I1130">
        <v>0.09</v>
      </c>
      <c r="J1130">
        <v>964.24</v>
      </c>
      <c r="K1130" t="s">
        <v>46</v>
      </c>
      <c r="L1130" t="s">
        <v>20</v>
      </c>
      <c r="M1130" t="s">
        <v>54</v>
      </c>
      <c r="N1130" t="s">
        <v>22</v>
      </c>
      <c r="O1130">
        <f>Table1[[#All],[Quantity]]*Table1[[#All],[Unit Price (?)]]</f>
        <v>1059.5999999999999</v>
      </c>
      <c r="P1130" t="str">
        <f>TEXT(Table1[[#All],[Order Date]],"dddd")</f>
        <v>Sunday</v>
      </c>
      <c r="Q1130" t="str">
        <f>TEXT(Table1[[#All],[Order Date]],"mmm")</f>
        <v>Jun</v>
      </c>
      <c r="R1130" t="str">
        <f>IF(Table1[[#All],[Total Price (?)]]&gt;1000,"High Value","Normal")</f>
        <v>Normal</v>
      </c>
    </row>
    <row r="1131" spans="1:18" x14ac:dyDescent="0.3">
      <c r="A1131" t="s">
        <v>1192</v>
      </c>
      <c r="B1131" s="1">
        <v>45713</v>
      </c>
      <c r="C1131" t="s">
        <v>15</v>
      </c>
      <c r="D1131" t="s">
        <v>25</v>
      </c>
      <c r="E1131" t="s">
        <v>99</v>
      </c>
      <c r="F1131" t="s">
        <v>120</v>
      </c>
      <c r="G1131">
        <v>1</v>
      </c>
      <c r="H1131">
        <v>3073.19</v>
      </c>
      <c r="I1131">
        <v>0.01</v>
      </c>
      <c r="J1131">
        <v>3042.46</v>
      </c>
      <c r="K1131" t="s">
        <v>46</v>
      </c>
      <c r="L1131" t="s">
        <v>29</v>
      </c>
      <c r="M1131" t="s">
        <v>30</v>
      </c>
      <c r="N1131" t="s">
        <v>22</v>
      </c>
      <c r="O1131">
        <f>Table1[[#All],[Quantity]]*Table1[[#All],[Unit Price (?)]]</f>
        <v>3073.19</v>
      </c>
      <c r="P1131" t="str">
        <f>TEXT(Table1[[#All],[Order Date]],"dddd")</f>
        <v>Tuesday</v>
      </c>
      <c r="Q1131" t="str">
        <f>TEXT(Table1[[#All],[Order Date]],"mmm")</f>
        <v>Feb</v>
      </c>
      <c r="R1131" t="str">
        <f>IF(Table1[[#All],[Total Price (?)]]&gt;1000,"High Value","Normal")</f>
        <v>High Value</v>
      </c>
    </row>
    <row r="1132" spans="1:18" x14ac:dyDescent="0.3">
      <c r="A1132" t="s">
        <v>1193</v>
      </c>
      <c r="B1132" s="1">
        <v>45767</v>
      </c>
      <c r="C1132" t="s">
        <v>24</v>
      </c>
      <c r="D1132" t="s">
        <v>43</v>
      </c>
      <c r="E1132" t="s">
        <v>99</v>
      </c>
      <c r="F1132" t="s">
        <v>111</v>
      </c>
      <c r="G1132">
        <v>4</v>
      </c>
      <c r="H1132">
        <v>4986.43</v>
      </c>
      <c r="I1132">
        <v>0.16</v>
      </c>
      <c r="J1132">
        <v>16754.400000000001</v>
      </c>
      <c r="K1132" t="s">
        <v>33</v>
      </c>
      <c r="L1132" t="s">
        <v>20</v>
      </c>
      <c r="M1132" t="s">
        <v>30</v>
      </c>
      <c r="N1132" t="s">
        <v>22</v>
      </c>
      <c r="O1132">
        <f>Table1[[#All],[Quantity]]*Table1[[#All],[Unit Price (?)]]</f>
        <v>19945.72</v>
      </c>
      <c r="P1132" t="str">
        <f>TEXT(Table1[[#All],[Order Date]],"dddd")</f>
        <v>Sunday</v>
      </c>
      <c r="Q1132" t="str">
        <f>TEXT(Table1[[#All],[Order Date]],"mmm")</f>
        <v>Apr</v>
      </c>
      <c r="R1132" t="str">
        <f>IF(Table1[[#All],[Total Price (?)]]&gt;1000,"High Value","Normal")</f>
        <v>High Value</v>
      </c>
    </row>
    <row r="1133" spans="1:18" x14ac:dyDescent="0.3">
      <c r="A1133" t="s">
        <v>1194</v>
      </c>
      <c r="B1133" s="1">
        <v>45661</v>
      </c>
      <c r="C1133" t="s">
        <v>24</v>
      </c>
      <c r="D1133" t="s">
        <v>43</v>
      </c>
      <c r="E1133" t="s">
        <v>27</v>
      </c>
      <c r="F1133" t="s">
        <v>79</v>
      </c>
      <c r="G1133">
        <v>5</v>
      </c>
      <c r="H1133">
        <v>4481.8999999999996</v>
      </c>
      <c r="I1133">
        <v>0.04</v>
      </c>
      <c r="J1133">
        <v>21513.119999999999</v>
      </c>
      <c r="K1133" t="s">
        <v>46</v>
      </c>
      <c r="L1133" t="s">
        <v>20</v>
      </c>
      <c r="M1133" t="s">
        <v>21</v>
      </c>
      <c r="N1133" t="s">
        <v>37</v>
      </c>
      <c r="O1133">
        <f>Table1[[#All],[Quantity]]*Table1[[#All],[Unit Price (?)]]</f>
        <v>22409.5</v>
      </c>
      <c r="P1133" t="str">
        <f>TEXT(Table1[[#All],[Order Date]],"dddd")</f>
        <v>Saturday</v>
      </c>
      <c r="Q1133" t="str">
        <f>TEXT(Table1[[#All],[Order Date]],"mmm")</f>
        <v>Jan</v>
      </c>
      <c r="R1133" t="str">
        <f>IF(Table1[[#All],[Total Price (?)]]&gt;1000,"High Value","Normal")</f>
        <v>High Value</v>
      </c>
    </row>
    <row r="1134" spans="1:18" x14ac:dyDescent="0.3">
      <c r="A1134" t="s">
        <v>1195</v>
      </c>
      <c r="B1134" s="1">
        <v>45760</v>
      </c>
      <c r="C1134" t="s">
        <v>48</v>
      </c>
      <c r="D1134" t="s">
        <v>39</v>
      </c>
      <c r="E1134" t="s">
        <v>61</v>
      </c>
      <c r="F1134" t="s">
        <v>62</v>
      </c>
      <c r="G1134">
        <v>4</v>
      </c>
      <c r="H1134">
        <v>3223.64</v>
      </c>
      <c r="I1134">
        <v>0.02</v>
      </c>
      <c r="J1134">
        <v>12636.67</v>
      </c>
      <c r="K1134" t="s">
        <v>58</v>
      </c>
      <c r="L1134" t="s">
        <v>20</v>
      </c>
      <c r="M1134" t="s">
        <v>54</v>
      </c>
      <c r="N1134" t="s">
        <v>59</v>
      </c>
      <c r="O1134">
        <f>Table1[[#All],[Quantity]]*Table1[[#All],[Unit Price (?)]]</f>
        <v>12894.56</v>
      </c>
      <c r="P1134" t="str">
        <f>TEXT(Table1[[#All],[Order Date]],"dddd")</f>
        <v>Sunday</v>
      </c>
      <c r="Q1134" t="str">
        <f>TEXT(Table1[[#All],[Order Date]],"mmm")</f>
        <v>Apr</v>
      </c>
      <c r="R1134" t="str">
        <f>IF(Table1[[#All],[Total Price (?)]]&gt;1000,"High Value","Normal")</f>
        <v>High Value</v>
      </c>
    </row>
    <row r="1135" spans="1:18" x14ac:dyDescent="0.3">
      <c r="A1135" t="s">
        <v>1196</v>
      </c>
      <c r="B1135" s="1">
        <v>45697</v>
      </c>
      <c r="C1135" t="s">
        <v>15</v>
      </c>
      <c r="D1135" t="s">
        <v>16</v>
      </c>
      <c r="E1135" t="s">
        <v>61</v>
      </c>
      <c r="F1135" t="s">
        <v>62</v>
      </c>
      <c r="G1135">
        <v>2</v>
      </c>
      <c r="H1135">
        <v>4538.05</v>
      </c>
      <c r="I1135">
        <v>0.15</v>
      </c>
      <c r="J1135">
        <v>7714.69</v>
      </c>
      <c r="K1135" t="s">
        <v>46</v>
      </c>
      <c r="L1135" t="s">
        <v>29</v>
      </c>
      <c r="M1135" t="s">
        <v>30</v>
      </c>
      <c r="N1135" t="s">
        <v>37</v>
      </c>
      <c r="O1135">
        <f>Table1[[#All],[Quantity]]*Table1[[#All],[Unit Price (?)]]</f>
        <v>9076.1</v>
      </c>
      <c r="P1135" t="str">
        <f>TEXT(Table1[[#All],[Order Date]],"dddd")</f>
        <v>Sunday</v>
      </c>
      <c r="Q1135" t="str">
        <f>TEXT(Table1[[#All],[Order Date]],"mmm")</f>
        <v>Feb</v>
      </c>
      <c r="R1135" t="str">
        <f>IF(Table1[[#All],[Total Price (?)]]&gt;1000,"High Value","Normal")</f>
        <v>High Value</v>
      </c>
    </row>
    <row r="1136" spans="1:18" x14ac:dyDescent="0.3">
      <c r="A1136" t="s">
        <v>1197</v>
      </c>
      <c r="B1136" s="1">
        <v>45676</v>
      </c>
      <c r="C1136" t="s">
        <v>24</v>
      </c>
      <c r="D1136" t="s">
        <v>25</v>
      </c>
      <c r="E1136" t="s">
        <v>49</v>
      </c>
      <c r="F1136" t="s">
        <v>50</v>
      </c>
      <c r="G1136">
        <v>5</v>
      </c>
      <c r="H1136">
        <v>822.82</v>
      </c>
      <c r="I1136">
        <v>7.0000000000000007E-2</v>
      </c>
      <c r="J1136">
        <v>3826.11</v>
      </c>
      <c r="K1136" t="s">
        <v>58</v>
      </c>
      <c r="L1136" t="s">
        <v>20</v>
      </c>
      <c r="M1136" t="s">
        <v>54</v>
      </c>
      <c r="N1136" t="s">
        <v>22</v>
      </c>
      <c r="O1136">
        <f>Table1[[#All],[Quantity]]*Table1[[#All],[Unit Price (?)]]</f>
        <v>4114.1000000000004</v>
      </c>
      <c r="P1136" t="str">
        <f>TEXT(Table1[[#All],[Order Date]],"dddd")</f>
        <v>Sunday</v>
      </c>
      <c r="Q1136" t="str">
        <f>TEXT(Table1[[#All],[Order Date]],"mmm")</f>
        <v>Jan</v>
      </c>
      <c r="R1136" t="str">
        <f>IF(Table1[[#All],[Total Price (?)]]&gt;1000,"High Value","Normal")</f>
        <v>High Value</v>
      </c>
    </row>
    <row r="1137" spans="1:18" x14ac:dyDescent="0.3">
      <c r="A1137" t="s">
        <v>1198</v>
      </c>
      <c r="B1137" s="1">
        <v>45706</v>
      </c>
      <c r="C1137" t="s">
        <v>36</v>
      </c>
      <c r="D1137" t="s">
        <v>39</v>
      </c>
      <c r="E1137" t="s">
        <v>27</v>
      </c>
      <c r="F1137" t="s">
        <v>68</v>
      </c>
      <c r="G1137">
        <v>1</v>
      </c>
      <c r="H1137">
        <v>1624.71</v>
      </c>
      <c r="I1137">
        <v>0.14000000000000001</v>
      </c>
      <c r="J1137">
        <v>1397.25</v>
      </c>
      <c r="K1137" t="s">
        <v>41</v>
      </c>
      <c r="L1137" t="s">
        <v>20</v>
      </c>
      <c r="M1137" t="s">
        <v>54</v>
      </c>
      <c r="N1137" t="s">
        <v>22</v>
      </c>
      <c r="O1137">
        <f>Table1[[#All],[Quantity]]*Table1[[#All],[Unit Price (?)]]</f>
        <v>1624.71</v>
      </c>
      <c r="P1137" t="str">
        <f>TEXT(Table1[[#All],[Order Date]],"dddd")</f>
        <v>Tuesday</v>
      </c>
      <c r="Q1137" t="str">
        <f>TEXT(Table1[[#All],[Order Date]],"mmm")</f>
        <v>Feb</v>
      </c>
      <c r="R1137" t="str">
        <f>IF(Table1[[#All],[Total Price (?)]]&gt;1000,"High Value","Normal")</f>
        <v>High Value</v>
      </c>
    </row>
    <row r="1138" spans="1:18" x14ac:dyDescent="0.3">
      <c r="A1138" t="s">
        <v>1199</v>
      </c>
      <c r="B1138" s="1">
        <v>45799</v>
      </c>
      <c r="C1138" t="s">
        <v>24</v>
      </c>
      <c r="D1138" t="s">
        <v>16</v>
      </c>
      <c r="E1138" t="s">
        <v>17</v>
      </c>
      <c r="F1138" t="s">
        <v>40</v>
      </c>
      <c r="G1138">
        <v>2</v>
      </c>
      <c r="H1138">
        <v>3674.8</v>
      </c>
      <c r="I1138">
        <v>0.05</v>
      </c>
      <c r="J1138">
        <v>6982.12</v>
      </c>
      <c r="K1138" t="s">
        <v>58</v>
      </c>
      <c r="L1138" t="s">
        <v>20</v>
      </c>
      <c r="M1138" t="s">
        <v>21</v>
      </c>
      <c r="N1138" t="s">
        <v>88</v>
      </c>
      <c r="O1138">
        <f>Table1[[#All],[Quantity]]*Table1[[#All],[Unit Price (?)]]</f>
        <v>7349.6</v>
      </c>
      <c r="P1138" t="str">
        <f>TEXT(Table1[[#All],[Order Date]],"dddd")</f>
        <v>Thursday</v>
      </c>
      <c r="Q1138" t="str">
        <f>TEXT(Table1[[#All],[Order Date]],"mmm")</f>
        <v>May</v>
      </c>
      <c r="R1138" t="str">
        <f>IF(Table1[[#All],[Total Price (?)]]&gt;1000,"High Value","Normal")</f>
        <v>High Value</v>
      </c>
    </row>
    <row r="1139" spans="1:18" x14ac:dyDescent="0.3">
      <c r="A1139" t="s">
        <v>1200</v>
      </c>
      <c r="B1139" s="1">
        <v>45738</v>
      </c>
      <c r="C1139" t="s">
        <v>15</v>
      </c>
      <c r="D1139" t="s">
        <v>43</v>
      </c>
      <c r="E1139" t="s">
        <v>17</v>
      </c>
      <c r="F1139" t="s">
        <v>44</v>
      </c>
      <c r="G1139">
        <v>2</v>
      </c>
      <c r="H1139">
        <v>1608.13</v>
      </c>
      <c r="I1139">
        <v>0.17</v>
      </c>
      <c r="J1139">
        <v>2669.5</v>
      </c>
      <c r="K1139" t="s">
        <v>41</v>
      </c>
      <c r="L1139" t="s">
        <v>20</v>
      </c>
      <c r="M1139" t="s">
        <v>54</v>
      </c>
      <c r="N1139" t="s">
        <v>22</v>
      </c>
      <c r="O1139">
        <f>Table1[[#All],[Quantity]]*Table1[[#All],[Unit Price (?)]]</f>
        <v>3216.26</v>
      </c>
      <c r="P1139" t="str">
        <f>TEXT(Table1[[#All],[Order Date]],"dddd")</f>
        <v>Saturday</v>
      </c>
      <c r="Q1139" t="str">
        <f>TEXT(Table1[[#All],[Order Date]],"mmm")</f>
        <v>Mar</v>
      </c>
      <c r="R1139" t="str">
        <f>IF(Table1[[#All],[Total Price (?)]]&gt;1000,"High Value","Normal")</f>
        <v>High Value</v>
      </c>
    </row>
    <row r="1140" spans="1:18" x14ac:dyDescent="0.3">
      <c r="A1140" t="s">
        <v>1201</v>
      </c>
      <c r="B1140" s="1">
        <v>45754</v>
      </c>
      <c r="C1140" t="s">
        <v>52</v>
      </c>
      <c r="D1140" t="s">
        <v>39</v>
      </c>
      <c r="E1140" t="s">
        <v>49</v>
      </c>
      <c r="F1140" t="s">
        <v>53</v>
      </c>
      <c r="G1140">
        <v>5</v>
      </c>
      <c r="H1140">
        <v>1646.15</v>
      </c>
      <c r="I1140">
        <v>0.06</v>
      </c>
      <c r="J1140">
        <v>7736.9</v>
      </c>
      <c r="K1140" t="s">
        <v>46</v>
      </c>
      <c r="L1140" t="s">
        <v>20</v>
      </c>
      <c r="M1140" t="s">
        <v>54</v>
      </c>
      <c r="N1140" t="s">
        <v>37</v>
      </c>
      <c r="O1140">
        <f>Table1[[#All],[Quantity]]*Table1[[#All],[Unit Price (?)]]</f>
        <v>8230.75</v>
      </c>
      <c r="P1140" t="str">
        <f>TEXT(Table1[[#All],[Order Date]],"dddd")</f>
        <v>Monday</v>
      </c>
      <c r="Q1140" t="str">
        <f>TEXT(Table1[[#All],[Order Date]],"mmm")</f>
        <v>Apr</v>
      </c>
      <c r="R1140" t="str">
        <f>IF(Table1[[#All],[Total Price (?)]]&gt;1000,"High Value","Normal")</f>
        <v>High Value</v>
      </c>
    </row>
    <row r="1141" spans="1:18" x14ac:dyDescent="0.3">
      <c r="A1141" t="s">
        <v>1202</v>
      </c>
      <c r="B1141" s="1">
        <v>45767</v>
      </c>
      <c r="C1141" t="s">
        <v>15</v>
      </c>
      <c r="D1141" t="s">
        <v>25</v>
      </c>
      <c r="E1141" t="s">
        <v>61</v>
      </c>
      <c r="F1141" t="s">
        <v>66</v>
      </c>
      <c r="G1141">
        <v>1</v>
      </c>
      <c r="H1141">
        <v>2500.44</v>
      </c>
      <c r="I1141">
        <v>0.14000000000000001</v>
      </c>
      <c r="J1141">
        <v>2150.38</v>
      </c>
      <c r="K1141" t="s">
        <v>41</v>
      </c>
      <c r="L1141" t="s">
        <v>34</v>
      </c>
      <c r="M1141" t="s">
        <v>30</v>
      </c>
      <c r="N1141" t="s">
        <v>88</v>
      </c>
      <c r="O1141">
        <f>Table1[[#All],[Quantity]]*Table1[[#All],[Unit Price (?)]]</f>
        <v>2500.44</v>
      </c>
      <c r="P1141" t="str">
        <f>TEXT(Table1[[#All],[Order Date]],"dddd")</f>
        <v>Sunday</v>
      </c>
      <c r="Q1141" t="str">
        <f>TEXT(Table1[[#All],[Order Date]],"mmm")</f>
        <v>Apr</v>
      </c>
      <c r="R1141" t="str">
        <f>IF(Table1[[#All],[Total Price (?)]]&gt;1000,"High Value","Normal")</f>
        <v>High Value</v>
      </c>
    </row>
    <row r="1142" spans="1:18" x14ac:dyDescent="0.3">
      <c r="A1142" t="s">
        <v>1203</v>
      </c>
      <c r="B1142" s="1">
        <v>45807</v>
      </c>
      <c r="C1142" t="s">
        <v>36</v>
      </c>
      <c r="D1142" t="s">
        <v>39</v>
      </c>
      <c r="E1142" t="s">
        <v>61</v>
      </c>
      <c r="F1142" t="s">
        <v>62</v>
      </c>
      <c r="G1142">
        <v>5</v>
      </c>
      <c r="H1142">
        <v>2886.69</v>
      </c>
      <c r="I1142">
        <v>0.25</v>
      </c>
      <c r="J1142">
        <v>10825.09</v>
      </c>
      <c r="K1142" t="s">
        <v>41</v>
      </c>
      <c r="L1142" t="s">
        <v>20</v>
      </c>
      <c r="M1142" t="s">
        <v>30</v>
      </c>
      <c r="N1142" t="s">
        <v>22</v>
      </c>
      <c r="O1142">
        <f>Table1[[#All],[Quantity]]*Table1[[#All],[Unit Price (?)]]</f>
        <v>14433.45</v>
      </c>
      <c r="P1142" t="str">
        <f>TEXT(Table1[[#All],[Order Date]],"dddd")</f>
        <v>Friday</v>
      </c>
      <c r="Q1142" t="str">
        <f>TEXT(Table1[[#All],[Order Date]],"mmm")</f>
        <v>May</v>
      </c>
      <c r="R1142" t="str">
        <f>IF(Table1[[#All],[Total Price (?)]]&gt;1000,"High Value","Normal")</f>
        <v>High Value</v>
      </c>
    </row>
    <row r="1143" spans="1:18" x14ac:dyDescent="0.3">
      <c r="A1143" t="s">
        <v>1204</v>
      </c>
      <c r="B1143" s="1">
        <v>45706</v>
      </c>
      <c r="C1143" t="s">
        <v>15</v>
      </c>
      <c r="D1143" t="s">
        <v>43</v>
      </c>
      <c r="E1143" t="s">
        <v>99</v>
      </c>
      <c r="F1143" t="s">
        <v>100</v>
      </c>
      <c r="G1143">
        <v>3</v>
      </c>
      <c r="H1143">
        <v>544.71</v>
      </c>
      <c r="I1143">
        <v>0.19</v>
      </c>
      <c r="J1143">
        <v>1323.65</v>
      </c>
      <c r="K1143" t="s">
        <v>33</v>
      </c>
      <c r="L1143" t="s">
        <v>29</v>
      </c>
      <c r="M1143" t="s">
        <v>30</v>
      </c>
      <c r="N1143" t="s">
        <v>22</v>
      </c>
      <c r="O1143">
        <f>Table1[[#All],[Quantity]]*Table1[[#All],[Unit Price (?)]]</f>
        <v>1634.13</v>
      </c>
      <c r="P1143" t="str">
        <f>TEXT(Table1[[#All],[Order Date]],"dddd")</f>
        <v>Tuesday</v>
      </c>
      <c r="Q1143" t="str">
        <f>TEXT(Table1[[#All],[Order Date]],"mmm")</f>
        <v>Feb</v>
      </c>
      <c r="R1143" t="str">
        <f>IF(Table1[[#All],[Total Price (?)]]&gt;1000,"High Value","Normal")</f>
        <v>High Value</v>
      </c>
    </row>
    <row r="1144" spans="1:18" x14ac:dyDescent="0.3">
      <c r="A1144" t="s">
        <v>1205</v>
      </c>
      <c r="B1144" s="1">
        <v>45794</v>
      </c>
      <c r="C1144" t="s">
        <v>36</v>
      </c>
      <c r="D1144" t="s">
        <v>25</v>
      </c>
      <c r="E1144" t="s">
        <v>17</v>
      </c>
      <c r="F1144" t="s">
        <v>18</v>
      </c>
      <c r="G1144">
        <v>2</v>
      </c>
      <c r="H1144">
        <v>2389.5100000000002</v>
      </c>
      <c r="I1144">
        <v>0.08</v>
      </c>
      <c r="J1144">
        <v>4396.7</v>
      </c>
      <c r="K1144" t="s">
        <v>19</v>
      </c>
      <c r="L1144" t="s">
        <v>34</v>
      </c>
      <c r="M1144" t="s">
        <v>21</v>
      </c>
      <c r="N1144" t="s">
        <v>22</v>
      </c>
      <c r="O1144">
        <f>Table1[[#All],[Quantity]]*Table1[[#All],[Unit Price (?)]]</f>
        <v>4779.0200000000004</v>
      </c>
      <c r="P1144" t="str">
        <f>TEXT(Table1[[#All],[Order Date]],"dddd")</f>
        <v>Saturday</v>
      </c>
      <c r="Q1144" t="str">
        <f>TEXT(Table1[[#All],[Order Date]],"mmm")</f>
        <v>May</v>
      </c>
      <c r="R1144" t="str">
        <f>IF(Table1[[#All],[Total Price (?)]]&gt;1000,"High Value","Normal")</f>
        <v>High Value</v>
      </c>
    </row>
    <row r="1145" spans="1:18" x14ac:dyDescent="0.3">
      <c r="A1145" t="s">
        <v>1206</v>
      </c>
      <c r="B1145" s="1">
        <v>45752</v>
      </c>
      <c r="C1145" t="s">
        <v>24</v>
      </c>
      <c r="D1145" t="s">
        <v>16</v>
      </c>
      <c r="E1145" t="s">
        <v>17</v>
      </c>
      <c r="F1145" t="s">
        <v>32</v>
      </c>
      <c r="G1145">
        <v>2</v>
      </c>
      <c r="H1145">
        <v>2164.9</v>
      </c>
      <c r="I1145">
        <v>0.08</v>
      </c>
      <c r="J1145">
        <v>3983.42</v>
      </c>
      <c r="K1145" t="s">
        <v>46</v>
      </c>
      <c r="L1145" t="s">
        <v>20</v>
      </c>
      <c r="M1145" t="s">
        <v>21</v>
      </c>
      <c r="N1145" t="s">
        <v>22</v>
      </c>
      <c r="O1145">
        <f>Table1[[#All],[Quantity]]*Table1[[#All],[Unit Price (?)]]</f>
        <v>4329.8</v>
      </c>
      <c r="P1145" t="str">
        <f>TEXT(Table1[[#All],[Order Date]],"dddd")</f>
        <v>Saturday</v>
      </c>
      <c r="Q1145" t="str">
        <f>TEXT(Table1[[#All],[Order Date]],"mmm")</f>
        <v>Apr</v>
      </c>
      <c r="R1145" t="str">
        <f>IF(Table1[[#All],[Total Price (?)]]&gt;1000,"High Value","Normal")</f>
        <v>High Value</v>
      </c>
    </row>
    <row r="1146" spans="1:18" x14ac:dyDescent="0.3">
      <c r="A1146" t="s">
        <v>1207</v>
      </c>
      <c r="B1146" s="1">
        <v>45785</v>
      </c>
      <c r="C1146" t="s">
        <v>52</v>
      </c>
      <c r="D1146" t="s">
        <v>25</v>
      </c>
      <c r="E1146" t="s">
        <v>99</v>
      </c>
      <c r="F1146" t="s">
        <v>111</v>
      </c>
      <c r="G1146">
        <v>2</v>
      </c>
      <c r="H1146">
        <v>3785.02</v>
      </c>
      <c r="I1146">
        <v>0.11</v>
      </c>
      <c r="J1146">
        <v>6737.34</v>
      </c>
      <c r="K1146" t="s">
        <v>41</v>
      </c>
      <c r="L1146" t="s">
        <v>29</v>
      </c>
      <c r="M1146" t="s">
        <v>21</v>
      </c>
      <c r="N1146" t="s">
        <v>22</v>
      </c>
      <c r="O1146">
        <f>Table1[[#All],[Quantity]]*Table1[[#All],[Unit Price (?)]]</f>
        <v>7570.04</v>
      </c>
      <c r="P1146" t="str">
        <f>TEXT(Table1[[#All],[Order Date]],"dddd")</f>
        <v>Thursday</v>
      </c>
      <c r="Q1146" t="str">
        <f>TEXT(Table1[[#All],[Order Date]],"mmm")</f>
        <v>May</v>
      </c>
      <c r="R1146" t="str">
        <f>IF(Table1[[#All],[Total Price (?)]]&gt;1000,"High Value","Normal")</f>
        <v>High Value</v>
      </c>
    </row>
    <row r="1147" spans="1:18" x14ac:dyDescent="0.3">
      <c r="A1147" t="s">
        <v>1208</v>
      </c>
      <c r="B1147" s="1">
        <v>45798</v>
      </c>
      <c r="C1147" t="s">
        <v>48</v>
      </c>
      <c r="D1147" t="s">
        <v>39</v>
      </c>
      <c r="E1147" t="s">
        <v>49</v>
      </c>
      <c r="F1147" t="s">
        <v>50</v>
      </c>
      <c r="G1147">
        <v>3</v>
      </c>
      <c r="H1147">
        <v>3044.62</v>
      </c>
      <c r="I1147">
        <v>0.12</v>
      </c>
      <c r="J1147">
        <v>8037.8</v>
      </c>
      <c r="K1147" t="s">
        <v>19</v>
      </c>
      <c r="L1147" t="s">
        <v>34</v>
      </c>
      <c r="M1147" t="s">
        <v>30</v>
      </c>
      <c r="N1147" t="s">
        <v>22</v>
      </c>
      <c r="O1147">
        <f>Table1[[#All],[Quantity]]*Table1[[#All],[Unit Price (?)]]</f>
        <v>9133.86</v>
      </c>
      <c r="P1147" t="str">
        <f>TEXT(Table1[[#All],[Order Date]],"dddd")</f>
        <v>Wednesday</v>
      </c>
      <c r="Q1147" t="str">
        <f>TEXT(Table1[[#All],[Order Date]],"mmm")</f>
        <v>May</v>
      </c>
      <c r="R1147" t="str">
        <f>IF(Table1[[#All],[Total Price (?)]]&gt;1000,"High Value","Normal")</f>
        <v>High Value</v>
      </c>
    </row>
    <row r="1148" spans="1:18" x14ac:dyDescent="0.3">
      <c r="A1148" t="s">
        <v>1209</v>
      </c>
      <c r="B1148" s="1">
        <v>45755</v>
      </c>
      <c r="C1148" t="s">
        <v>48</v>
      </c>
      <c r="D1148" t="s">
        <v>43</v>
      </c>
      <c r="E1148" t="s">
        <v>61</v>
      </c>
      <c r="F1148" t="s">
        <v>62</v>
      </c>
      <c r="G1148">
        <v>5</v>
      </c>
      <c r="H1148">
        <v>2063.6799999999998</v>
      </c>
      <c r="I1148">
        <v>0.01</v>
      </c>
      <c r="J1148">
        <v>10215.219999999999</v>
      </c>
      <c r="K1148" t="s">
        <v>41</v>
      </c>
      <c r="L1148" t="s">
        <v>34</v>
      </c>
      <c r="M1148" t="s">
        <v>21</v>
      </c>
      <c r="N1148" t="s">
        <v>37</v>
      </c>
      <c r="O1148">
        <f>Table1[[#All],[Quantity]]*Table1[[#All],[Unit Price (?)]]</f>
        <v>10318.4</v>
      </c>
      <c r="P1148" t="str">
        <f>TEXT(Table1[[#All],[Order Date]],"dddd")</f>
        <v>Tuesday</v>
      </c>
      <c r="Q1148" t="str">
        <f>TEXT(Table1[[#All],[Order Date]],"mmm")</f>
        <v>Apr</v>
      </c>
      <c r="R1148" t="str">
        <f>IF(Table1[[#All],[Total Price (?)]]&gt;1000,"High Value","Normal")</f>
        <v>High Value</v>
      </c>
    </row>
    <row r="1149" spans="1:18" x14ac:dyDescent="0.3">
      <c r="A1149" t="s">
        <v>1210</v>
      </c>
      <c r="B1149" s="1">
        <v>45747</v>
      </c>
      <c r="C1149" t="s">
        <v>36</v>
      </c>
      <c r="D1149" t="s">
        <v>39</v>
      </c>
      <c r="E1149" t="s">
        <v>27</v>
      </c>
      <c r="F1149" t="s">
        <v>68</v>
      </c>
      <c r="G1149">
        <v>3</v>
      </c>
      <c r="H1149">
        <v>3963.99</v>
      </c>
      <c r="I1149">
        <v>0.01</v>
      </c>
      <c r="J1149">
        <v>11773.05</v>
      </c>
      <c r="K1149" t="s">
        <v>19</v>
      </c>
      <c r="L1149" t="s">
        <v>20</v>
      </c>
      <c r="M1149" t="s">
        <v>54</v>
      </c>
      <c r="N1149" t="s">
        <v>88</v>
      </c>
      <c r="O1149">
        <f>Table1[[#All],[Quantity]]*Table1[[#All],[Unit Price (?)]]</f>
        <v>11891.97</v>
      </c>
      <c r="P1149" t="str">
        <f>TEXT(Table1[[#All],[Order Date]],"dddd")</f>
        <v>Monday</v>
      </c>
      <c r="Q1149" t="str">
        <f>TEXT(Table1[[#All],[Order Date]],"mmm")</f>
        <v>Mar</v>
      </c>
      <c r="R1149" t="str">
        <f>IF(Table1[[#All],[Total Price (?)]]&gt;1000,"High Value","Normal")</f>
        <v>High Value</v>
      </c>
    </row>
    <row r="1150" spans="1:18" x14ac:dyDescent="0.3">
      <c r="A1150" t="s">
        <v>1211</v>
      </c>
      <c r="B1150" s="1">
        <v>45813</v>
      </c>
      <c r="C1150" t="s">
        <v>48</v>
      </c>
      <c r="D1150" t="s">
        <v>39</v>
      </c>
      <c r="E1150" t="s">
        <v>61</v>
      </c>
      <c r="F1150" t="s">
        <v>66</v>
      </c>
      <c r="G1150">
        <v>4</v>
      </c>
      <c r="H1150">
        <v>104.13</v>
      </c>
      <c r="I1150">
        <v>0.04</v>
      </c>
      <c r="J1150">
        <v>399.86</v>
      </c>
      <c r="K1150" t="s">
        <v>41</v>
      </c>
      <c r="L1150" t="s">
        <v>20</v>
      </c>
      <c r="M1150" t="s">
        <v>54</v>
      </c>
      <c r="N1150" t="s">
        <v>22</v>
      </c>
      <c r="O1150">
        <f>Table1[[#All],[Quantity]]*Table1[[#All],[Unit Price (?)]]</f>
        <v>416.52</v>
      </c>
      <c r="P1150" t="str">
        <f>TEXT(Table1[[#All],[Order Date]],"dddd")</f>
        <v>Thursday</v>
      </c>
      <c r="Q1150" t="str">
        <f>TEXT(Table1[[#All],[Order Date]],"mmm")</f>
        <v>Jun</v>
      </c>
      <c r="R1150" t="str">
        <f>IF(Table1[[#All],[Total Price (?)]]&gt;1000,"High Value","Normal")</f>
        <v>Normal</v>
      </c>
    </row>
    <row r="1151" spans="1:18" x14ac:dyDescent="0.3">
      <c r="A1151" t="s">
        <v>1212</v>
      </c>
      <c r="B1151" s="1">
        <v>45663</v>
      </c>
      <c r="C1151" t="s">
        <v>52</v>
      </c>
      <c r="D1151" t="s">
        <v>16</v>
      </c>
      <c r="E1151" t="s">
        <v>61</v>
      </c>
      <c r="F1151" t="s">
        <v>75</v>
      </c>
      <c r="G1151">
        <v>2</v>
      </c>
      <c r="H1151">
        <v>855.28</v>
      </c>
      <c r="I1151">
        <v>0.14000000000000001</v>
      </c>
      <c r="J1151">
        <v>1471.08</v>
      </c>
      <c r="K1151" t="s">
        <v>41</v>
      </c>
      <c r="L1151" t="s">
        <v>20</v>
      </c>
      <c r="M1151" t="s">
        <v>30</v>
      </c>
      <c r="N1151" t="s">
        <v>22</v>
      </c>
      <c r="O1151">
        <f>Table1[[#All],[Quantity]]*Table1[[#All],[Unit Price (?)]]</f>
        <v>1710.56</v>
      </c>
      <c r="P1151" t="str">
        <f>TEXT(Table1[[#All],[Order Date]],"dddd")</f>
        <v>Monday</v>
      </c>
      <c r="Q1151" t="str">
        <f>TEXT(Table1[[#All],[Order Date]],"mmm")</f>
        <v>Jan</v>
      </c>
      <c r="R1151" t="str">
        <f>IF(Table1[[#All],[Total Price (?)]]&gt;1000,"High Value","Normal")</f>
        <v>High Value</v>
      </c>
    </row>
    <row r="1152" spans="1:18" x14ac:dyDescent="0.3">
      <c r="A1152" t="s">
        <v>1213</v>
      </c>
      <c r="B1152" s="1">
        <v>45678</v>
      </c>
      <c r="C1152" t="s">
        <v>48</v>
      </c>
      <c r="D1152" t="s">
        <v>25</v>
      </c>
      <c r="E1152" t="s">
        <v>99</v>
      </c>
      <c r="F1152" t="s">
        <v>120</v>
      </c>
      <c r="G1152">
        <v>4</v>
      </c>
      <c r="H1152">
        <v>3524.02</v>
      </c>
      <c r="I1152">
        <v>0.23</v>
      </c>
      <c r="J1152">
        <v>10853.98</v>
      </c>
      <c r="K1152" t="s">
        <v>33</v>
      </c>
      <c r="L1152" t="s">
        <v>29</v>
      </c>
      <c r="M1152" t="s">
        <v>21</v>
      </c>
      <c r="N1152" t="s">
        <v>88</v>
      </c>
      <c r="O1152">
        <f>Table1[[#All],[Quantity]]*Table1[[#All],[Unit Price (?)]]</f>
        <v>14096.08</v>
      </c>
      <c r="P1152" t="str">
        <f>TEXT(Table1[[#All],[Order Date]],"dddd")</f>
        <v>Tuesday</v>
      </c>
      <c r="Q1152" t="str">
        <f>TEXT(Table1[[#All],[Order Date]],"mmm")</f>
        <v>Jan</v>
      </c>
      <c r="R1152" t="str">
        <f>IF(Table1[[#All],[Total Price (?)]]&gt;1000,"High Value","Normal")</f>
        <v>High Value</v>
      </c>
    </row>
    <row r="1153" spans="1:18" x14ac:dyDescent="0.3">
      <c r="A1153" t="s">
        <v>1214</v>
      </c>
      <c r="B1153" s="1">
        <v>45717</v>
      </c>
      <c r="C1153" t="s">
        <v>48</v>
      </c>
      <c r="D1153" t="s">
        <v>25</v>
      </c>
      <c r="E1153" t="s">
        <v>61</v>
      </c>
      <c r="F1153" t="s">
        <v>62</v>
      </c>
      <c r="G1153">
        <v>2</v>
      </c>
      <c r="H1153">
        <v>2059.4299999999998</v>
      </c>
      <c r="I1153">
        <v>0.08</v>
      </c>
      <c r="J1153">
        <v>3789.35</v>
      </c>
      <c r="K1153" t="s">
        <v>19</v>
      </c>
      <c r="L1153" t="s">
        <v>34</v>
      </c>
      <c r="M1153" t="s">
        <v>30</v>
      </c>
      <c r="N1153" t="s">
        <v>22</v>
      </c>
      <c r="O1153">
        <f>Table1[[#All],[Quantity]]*Table1[[#All],[Unit Price (?)]]</f>
        <v>4118.8599999999997</v>
      </c>
      <c r="P1153" t="str">
        <f>TEXT(Table1[[#All],[Order Date]],"dddd")</f>
        <v>Saturday</v>
      </c>
      <c r="Q1153" t="str">
        <f>TEXT(Table1[[#All],[Order Date]],"mmm")</f>
        <v>Mar</v>
      </c>
      <c r="R1153" t="str">
        <f>IF(Table1[[#All],[Total Price (?)]]&gt;1000,"High Value","Normal")</f>
        <v>High Value</v>
      </c>
    </row>
    <row r="1154" spans="1:18" x14ac:dyDescent="0.3">
      <c r="A1154" t="s">
        <v>1215</v>
      </c>
      <c r="B1154" s="1">
        <v>45703</v>
      </c>
      <c r="C1154" t="s">
        <v>15</v>
      </c>
      <c r="D1154" t="s">
        <v>43</v>
      </c>
      <c r="E1154" t="s">
        <v>27</v>
      </c>
      <c r="F1154" t="s">
        <v>79</v>
      </c>
      <c r="G1154">
        <v>5</v>
      </c>
      <c r="H1154">
        <v>231.79</v>
      </c>
      <c r="I1154">
        <v>0.22</v>
      </c>
      <c r="J1154">
        <v>903.98</v>
      </c>
      <c r="K1154" t="s">
        <v>41</v>
      </c>
      <c r="L1154" t="s">
        <v>29</v>
      </c>
      <c r="M1154" t="s">
        <v>54</v>
      </c>
      <c r="N1154" t="s">
        <v>22</v>
      </c>
      <c r="O1154">
        <f>Table1[[#All],[Quantity]]*Table1[[#All],[Unit Price (?)]]</f>
        <v>1158.95</v>
      </c>
      <c r="P1154" t="str">
        <f>TEXT(Table1[[#All],[Order Date]],"dddd")</f>
        <v>Saturday</v>
      </c>
      <c r="Q1154" t="str">
        <f>TEXT(Table1[[#All],[Order Date]],"mmm")</f>
        <v>Feb</v>
      </c>
      <c r="R1154" t="str">
        <f>IF(Table1[[#All],[Total Price (?)]]&gt;1000,"High Value","Normal")</f>
        <v>Normal</v>
      </c>
    </row>
    <row r="1155" spans="1:18" x14ac:dyDescent="0.3">
      <c r="A1155" t="s">
        <v>1216</v>
      </c>
      <c r="B1155" s="1">
        <v>45738</v>
      </c>
      <c r="C1155" t="s">
        <v>36</v>
      </c>
      <c r="D1155" t="s">
        <v>16</v>
      </c>
      <c r="E1155" t="s">
        <v>99</v>
      </c>
      <c r="F1155" t="s">
        <v>120</v>
      </c>
      <c r="G1155">
        <v>1</v>
      </c>
      <c r="H1155">
        <v>3263.33</v>
      </c>
      <c r="I1155">
        <v>0.03</v>
      </c>
      <c r="J1155">
        <v>3165.43</v>
      </c>
      <c r="K1155" t="s">
        <v>33</v>
      </c>
      <c r="L1155" t="s">
        <v>34</v>
      </c>
      <c r="M1155" t="s">
        <v>54</v>
      </c>
      <c r="N1155" t="s">
        <v>22</v>
      </c>
      <c r="O1155">
        <f>Table1[[#All],[Quantity]]*Table1[[#All],[Unit Price (?)]]</f>
        <v>3263.33</v>
      </c>
      <c r="P1155" t="str">
        <f>TEXT(Table1[[#All],[Order Date]],"dddd")</f>
        <v>Saturday</v>
      </c>
      <c r="Q1155" t="str">
        <f>TEXT(Table1[[#All],[Order Date]],"mmm")</f>
        <v>Mar</v>
      </c>
      <c r="R1155" t="str">
        <f>IF(Table1[[#All],[Total Price (?)]]&gt;1000,"High Value","Normal")</f>
        <v>High Value</v>
      </c>
    </row>
    <row r="1156" spans="1:18" x14ac:dyDescent="0.3">
      <c r="A1156" t="s">
        <v>1217</v>
      </c>
      <c r="B1156" s="1">
        <v>45794</v>
      </c>
      <c r="C1156" t="s">
        <v>15</v>
      </c>
      <c r="D1156" t="s">
        <v>25</v>
      </c>
      <c r="E1156" t="s">
        <v>49</v>
      </c>
      <c r="F1156" t="s">
        <v>56</v>
      </c>
      <c r="G1156">
        <v>2</v>
      </c>
      <c r="H1156">
        <v>2185.9899999999998</v>
      </c>
      <c r="I1156">
        <v>7.0000000000000007E-2</v>
      </c>
      <c r="J1156">
        <v>4065.94</v>
      </c>
      <c r="K1156" t="s">
        <v>41</v>
      </c>
      <c r="L1156" t="s">
        <v>29</v>
      </c>
      <c r="M1156" t="s">
        <v>30</v>
      </c>
      <c r="N1156" t="s">
        <v>22</v>
      </c>
      <c r="O1156">
        <f>Table1[[#All],[Quantity]]*Table1[[#All],[Unit Price (?)]]</f>
        <v>4371.9799999999996</v>
      </c>
      <c r="P1156" t="str">
        <f>TEXT(Table1[[#All],[Order Date]],"dddd")</f>
        <v>Saturday</v>
      </c>
      <c r="Q1156" t="str">
        <f>TEXT(Table1[[#All],[Order Date]],"mmm")</f>
        <v>May</v>
      </c>
      <c r="R1156" t="str">
        <f>IF(Table1[[#All],[Total Price (?)]]&gt;1000,"High Value","Normal")</f>
        <v>High Value</v>
      </c>
    </row>
    <row r="1157" spans="1:18" x14ac:dyDescent="0.3">
      <c r="A1157" t="s">
        <v>1218</v>
      </c>
      <c r="B1157" s="1">
        <v>45707</v>
      </c>
      <c r="C1157" t="s">
        <v>52</v>
      </c>
      <c r="D1157" t="s">
        <v>39</v>
      </c>
      <c r="E1157" t="s">
        <v>49</v>
      </c>
      <c r="F1157" t="s">
        <v>73</v>
      </c>
      <c r="G1157">
        <v>5</v>
      </c>
      <c r="H1157">
        <v>4187.74</v>
      </c>
      <c r="I1157">
        <v>0.12</v>
      </c>
      <c r="J1157">
        <v>18426.060000000001</v>
      </c>
      <c r="K1157" t="s">
        <v>41</v>
      </c>
      <c r="L1157" t="s">
        <v>29</v>
      </c>
      <c r="M1157" t="s">
        <v>54</v>
      </c>
      <c r="N1157" t="s">
        <v>22</v>
      </c>
      <c r="O1157">
        <f>Table1[[#All],[Quantity]]*Table1[[#All],[Unit Price (?)]]</f>
        <v>20938.699999999997</v>
      </c>
      <c r="P1157" t="str">
        <f>TEXT(Table1[[#All],[Order Date]],"dddd")</f>
        <v>Wednesday</v>
      </c>
      <c r="Q1157" t="str">
        <f>TEXT(Table1[[#All],[Order Date]],"mmm")</f>
        <v>Feb</v>
      </c>
      <c r="R1157" t="str">
        <f>IF(Table1[[#All],[Total Price (?)]]&gt;1000,"High Value","Normal")</f>
        <v>High Value</v>
      </c>
    </row>
    <row r="1158" spans="1:18" x14ac:dyDescent="0.3">
      <c r="A1158" t="s">
        <v>1219</v>
      </c>
      <c r="B1158" s="1">
        <v>45719</v>
      </c>
      <c r="C1158" t="s">
        <v>24</v>
      </c>
      <c r="D1158" t="s">
        <v>16</v>
      </c>
      <c r="E1158" t="s">
        <v>17</v>
      </c>
      <c r="F1158" t="s">
        <v>40</v>
      </c>
      <c r="G1158">
        <v>2</v>
      </c>
      <c r="H1158">
        <v>2915.94</v>
      </c>
      <c r="I1158">
        <v>0.1</v>
      </c>
      <c r="J1158">
        <v>5248.69</v>
      </c>
      <c r="K1158" t="s">
        <v>19</v>
      </c>
      <c r="L1158" t="s">
        <v>34</v>
      </c>
      <c r="M1158" t="s">
        <v>30</v>
      </c>
      <c r="N1158" t="s">
        <v>22</v>
      </c>
      <c r="O1158">
        <f>Table1[[#All],[Quantity]]*Table1[[#All],[Unit Price (?)]]</f>
        <v>5831.88</v>
      </c>
      <c r="P1158" t="str">
        <f>TEXT(Table1[[#All],[Order Date]],"dddd")</f>
        <v>Monday</v>
      </c>
      <c r="Q1158" t="str">
        <f>TEXT(Table1[[#All],[Order Date]],"mmm")</f>
        <v>Mar</v>
      </c>
      <c r="R1158" t="str">
        <f>IF(Table1[[#All],[Total Price (?)]]&gt;1000,"High Value","Normal")</f>
        <v>High Value</v>
      </c>
    </row>
    <row r="1159" spans="1:18" x14ac:dyDescent="0.3">
      <c r="A1159" t="s">
        <v>1220</v>
      </c>
      <c r="B1159" s="1">
        <v>45788</v>
      </c>
      <c r="C1159" t="s">
        <v>24</v>
      </c>
      <c r="D1159" t="s">
        <v>39</v>
      </c>
      <c r="E1159" t="s">
        <v>49</v>
      </c>
      <c r="F1159" t="s">
        <v>50</v>
      </c>
      <c r="G1159">
        <v>3</v>
      </c>
      <c r="H1159">
        <v>3736.12</v>
      </c>
      <c r="I1159">
        <v>0.03</v>
      </c>
      <c r="J1159">
        <v>10872.11</v>
      </c>
      <c r="K1159" t="s">
        <v>46</v>
      </c>
      <c r="L1159" t="s">
        <v>34</v>
      </c>
      <c r="M1159" t="s">
        <v>30</v>
      </c>
      <c r="N1159" t="s">
        <v>88</v>
      </c>
      <c r="O1159">
        <f>Table1[[#All],[Quantity]]*Table1[[#All],[Unit Price (?)]]</f>
        <v>11208.36</v>
      </c>
      <c r="P1159" t="str">
        <f>TEXT(Table1[[#All],[Order Date]],"dddd")</f>
        <v>Sunday</v>
      </c>
      <c r="Q1159" t="str">
        <f>TEXT(Table1[[#All],[Order Date]],"mmm")</f>
        <v>May</v>
      </c>
      <c r="R1159" t="str">
        <f>IF(Table1[[#All],[Total Price (?)]]&gt;1000,"High Value","Normal")</f>
        <v>High Value</v>
      </c>
    </row>
    <row r="1160" spans="1:18" x14ac:dyDescent="0.3">
      <c r="A1160" t="s">
        <v>1221</v>
      </c>
      <c r="B1160" s="1">
        <v>45772</v>
      </c>
      <c r="C1160" t="s">
        <v>24</v>
      </c>
      <c r="D1160" t="s">
        <v>43</v>
      </c>
      <c r="E1160" t="s">
        <v>99</v>
      </c>
      <c r="F1160" t="s">
        <v>111</v>
      </c>
      <c r="G1160">
        <v>5</v>
      </c>
      <c r="H1160">
        <v>3822.09</v>
      </c>
      <c r="I1160">
        <v>0.22</v>
      </c>
      <c r="J1160">
        <v>14906.15</v>
      </c>
      <c r="K1160" t="s">
        <v>19</v>
      </c>
      <c r="L1160" t="s">
        <v>34</v>
      </c>
      <c r="M1160" t="s">
        <v>54</v>
      </c>
      <c r="N1160" t="s">
        <v>22</v>
      </c>
      <c r="O1160">
        <f>Table1[[#All],[Quantity]]*Table1[[#All],[Unit Price (?)]]</f>
        <v>19110.45</v>
      </c>
      <c r="P1160" t="str">
        <f>TEXT(Table1[[#All],[Order Date]],"dddd")</f>
        <v>Friday</v>
      </c>
      <c r="Q1160" t="str">
        <f>TEXT(Table1[[#All],[Order Date]],"mmm")</f>
        <v>Apr</v>
      </c>
      <c r="R1160" t="str">
        <f>IF(Table1[[#All],[Total Price (?)]]&gt;1000,"High Value","Normal")</f>
        <v>High Value</v>
      </c>
    </row>
    <row r="1161" spans="1:18" x14ac:dyDescent="0.3">
      <c r="A1161" t="s">
        <v>1222</v>
      </c>
      <c r="B1161" s="1">
        <v>45731</v>
      </c>
      <c r="C1161" t="s">
        <v>52</v>
      </c>
      <c r="D1161" t="s">
        <v>16</v>
      </c>
      <c r="E1161" t="s">
        <v>27</v>
      </c>
      <c r="F1161" t="s">
        <v>28</v>
      </c>
      <c r="G1161">
        <v>4</v>
      </c>
      <c r="H1161">
        <v>2230.9499999999998</v>
      </c>
      <c r="I1161">
        <v>0.12</v>
      </c>
      <c r="J1161">
        <v>7852.94</v>
      </c>
      <c r="K1161" t="s">
        <v>33</v>
      </c>
      <c r="L1161" t="s">
        <v>29</v>
      </c>
      <c r="M1161" t="s">
        <v>54</v>
      </c>
      <c r="N1161" t="s">
        <v>37</v>
      </c>
      <c r="O1161">
        <f>Table1[[#All],[Quantity]]*Table1[[#All],[Unit Price (?)]]</f>
        <v>8923.7999999999993</v>
      </c>
      <c r="P1161" t="str">
        <f>TEXT(Table1[[#All],[Order Date]],"dddd")</f>
        <v>Saturday</v>
      </c>
      <c r="Q1161" t="str">
        <f>TEXT(Table1[[#All],[Order Date]],"mmm")</f>
        <v>Mar</v>
      </c>
      <c r="R1161" t="str">
        <f>IF(Table1[[#All],[Total Price (?)]]&gt;1000,"High Value","Normal")</f>
        <v>High Value</v>
      </c>
    </row>
    <row r="1162" spans="1:18" x14ac:dyDescent="0.3">
      <c r="A1162" t="s">
        <v>1223</v>
      </c>
      <c r="B1162" s="1">
        <v>45751</v>
      </c>
      <c r="C1162" t="s">
        <v>24</v>
      </c>
      <c r="D1162" t="s">
        <v>16</v>
      </c>
      <c r="E1162" t="s">
        <v>49</v>
      </c>
      <c r="F1162" t="s">
        <v>53</v>
      </c>
      <c r="G1162">
        <v>3</v>
      </c>
      <c r="H1162">
        <v>1336.4</v>
      </c>
      <c r="I1162">
        <v>0.08</v>
      </c>
      <c r="J1162">
        <v>3688.46</v>
      </c>
      <c r="K1162" t="s">
        <v>33</v>
      </c>
      <c r="L1162" t="s">
        <v>29</v>
      </c>
      <c r="M1162" t="s">
        <v>30</v>
      </c>
      <c r="N1162" t="s">
        <v>22</v>
      </c>
      <c r="O1162">
        <f>Table1[[#All],[Quantity]]*Table1[[#All],[Unit Price (?)]]</f>
        <v>4009.2000000000003</v>
      </c>
      <c r="P1162" t="str">
        <f>TEXT(Table1[[#All],[Order Date]],"dddd")</f>
        <v>Friday</v>
      </c>
      <c r="Q1162" t="str">
        <f>TEXT(Table1[[#All],[Order Date]],"mmm")</f>
        <v>Apr</v>
      </c>
      <c r="R1162" t="str">
        <f>IF(Table1[[#All],[Total Price (?)]]&gt;1000,"High Value","Normal")</f>
        <v>High Value</v>
      </c>
    </row>
    <row r="1163" spans="1:18" x14ac:dyDescent="0.3">
      <c r="A1163" t="s">
        <v>1224</v>
      </c>
      <c r="B1163" s="1">
        <v>45767</v>
      </c>
      <c r="C1163" t="s">
        <v>15</v>
      </c>
      <c r="D1163" t="s">
        <v>16</v>
      </c>
      <c r="E1163" t="s">
        <v>61</v>
      </c>
      <c r="F1163" t="s">
        <v>66</v>
      </c>
      <c r="G1163">
        <v>4</v>
      </c>
      <c r="H1163">
        <v>1690.7</v>
      </c>
      <c r="I1163">
        <v>0.16</v>
      </c>
      <c r="J1163">
        <v>5680.75</v>
      </c>
      <c r="K1163" t="s">
        <v>41</v>
      </c>
      <c r="L1163" t="s">
        <v>20</v>
      </c>
      <c r="M1163" t="s">
        <v>21</v>
      </c>
      <c r="N1163" t="s">
        <v>22</v>
      </c>
      <c r="O1163">
        <f>Table1[[#All],[Quantity]]*Table1[[#All],[Unit Price (?)]]</f>
        <v>6762.8</v>
      </c>
      <c r="P1163" t="str">
        <f>TEXT(Table1[[#All],[Order Date]],"dddd")</f>
        <v>Sunday</v>
      </c>
      <c r="Q1163" t="str">
        <f>TEXT(Table1[[#All],[Order Date]],"mmm")</f>
        <v>Apr</v>
      </c>
      <c r="R1163" t="str">
        <f>IF(Table1[[#All],[Total Price (?)]]&gt;1000,"High Value","Normal")</f>
        <v>High Value</v>
      </c>
    </row>
    <row r="1164" spans="1:18" x14ac:dyDescent="0.3">
      <c r="A1164" t="s">
        <v>1225</v>
      </c>
      <c r="B1164" s="1">
        <v>45763</v>
      </c>
      <c r="C1164" t="s">
        <v>52</v>
      </c>
      <c r="D1164" t="s">
        <v>25</v>
      </c>
      <c r="E1164" t="s">
        <v>17</v>
      </c>
      <c r="F1164" t="s">
        <v>40</v>
      </c>
      <c r="G1164">
        <v>5</v>
      </c>
      <c r="H1164">
        <v>563.41</v>
      </c>
      <c r="I1164">
        <v>0.18</v>
      </c>
      <c r="J1164">
        <v>2309.98</v>
      </c>
      <c r="K1164" t="s">
        <v>19</v>
      </c>
      <c r="L1164" t="s">
        <v>20</v>
      </c>
      <c r="M1164" t="s">
        <v>21</v>
      </c>
      <c r="N1164" t="s">
        <v>22</v>
      </c>
      <c r="O1164">
        <f>Table1[[#All],[Quantity]]*Table1[[#All],[Unit Price (?)]]</f>
        <v>2817.0499999999997</v>
      </c>
      <c r="P1164" t="str">
        <f>TEXT(Table1[[#All],[Order Date]],"dddd")</f>
        <v>Wednesday</v>
      </c>
      <c r="Q1164" t="str">
        <f>TEXT(Table1[[#All],[Order Date]],"mmm")</f>
        <v>Apr</v>
      </c>
      <c r="R1164" t="str">
        <f>IF(Table1[[#All],[Total Price (?)]]&gt;1000,"High Value","Normal")</f>
        <v>High Value</v>
      </c>
    </row>
    <row r="1165" spans="1:18" x14ac:dyDescent="0.3">
      <c r="A1165" t="s">
        <v>1226</v>
      </c>
      <c r="B1165" s="1">
        <v>45726</v>
      </c>
      <c r="C1165" t="s">
        <v>48</v>
      </c>
      <c r="D1165" t="s">
        <v>39</v>
      </c>
      <c r="E1165" t="s">
        <v>99</v>
      </c>
      <c r="F1165" t="s">
        <v>111</v>
      </c>
      <c r="G1165">
        <v>5</v>
      </c>
      <c r="H1165">
        <v>2888.43</v>
      </c>
      <c r="I1165">
        <v>0.01</v>
      </c>
      <c r="J1165">
        <v>14297.73</v>
      </c>
      <c r="K1165" t="s">
        <v>33</v>
      </c>
      <c r="L1165" t="s">
        <v>20</v>
      </c>
      <c r="M1165" t="s">
        <v>30</v>
      </c>
      <c r="N1165" t="s">
        <v>22</v>
      </c>
      <c r="O1165">
        <f>Table1[[#All],[Quantity]]*Table1[[#All],[Unit Price (?)]]</f>
        <v>14442.15</v>
      </c>
      <c r="P1165" t="str">
        <f>TEXT(Table1[[#All],[Order Date]],"dddd")</f>
        <v>Monday</v>
      </c>
      <c r="Q1165" t="str">
        <f>TEXT(Table1[[#All],[Order Date]],"mmm")</f>
        <v>Mar</v>
      </c>
      <c r="R1165" t="str">
        <f>IF(Table1[[#All],[Total Price (?)]]&gt;1000,"High Value","Normal")</f>
        <v>High Value</v>
      </c>
    </row>
    <row r="1166" spans="1:18" x14ac:dyDescent="0.3">
      <c r="A1166" t="s">
        <v>1227</v>
      </c>
      <c r="B1166" s="1">
        <v>45742</v>
      </c>
      <c r="C1166" t="s">
        <v>48</v>
      </c>
      <c r="D1166" t="s">
        <v>25</v>
      </c>
      <c r="E1166" t="s">
        <v>27</v>
      </c>
      <c r="F1166" t="s">
        <v>79</v>
      </c>
      <c r="G1166">
        <v>1</v>
      </c>
      <c r="H1166">
        <v>1755.09</v>
      </c>
      <c r="I1166">
        <v>0.16</v>
      </c>
      <c r="J1166">
        <v>1474.28</v>
      </c>
      <c r="K1166" t="s">
        <v>33</v>
      </c>
      <c r="L1166" t="s">
        <v>29</v>
      </c>
      <c r="M1166" t="s">
        <v>30</v>
      </c>
      <c r="N1166" t="s">
        <v>22</v>
      </c>
      <c r="O1166">
        <f>Table1[[#All],[Quantity]]*Table1[[#All],[Unit Price (?)]]</f>
        <v>1755.09</v>
      </c>
      <c r="P1166" t="str">
        <f>TEXT(Table1[[#All],[Order Date]],"dddd")</f>
        <v>Wednesday</v>
      </c>
      <c r="Q1166" t="str">
        <f>TEXT(Table1[[#All],[Order Date]],"mmm")</f>
        <v>Mar</v>
      </c>
      <c r="R1166" t="str">
        <f>IF(Table1[[#All],[Total Price (?)]]&gt;1000,"High Value","Normal")</f>
        <v>High Value</v>
      </c>
    </row>
    <row r="1167" spans="1:18" x14ac:dyDescent="0.3">
      <c r="A1167" t="s">
        <v>1228</v>
      </c>
      <c r="B1167" s="1">
        <v>45804</v>
      </c>
      <c r="C1167" t="s">
        <v>24</v>
      </c>
      <c r="D1167" t="s">
        <v>43</v>
      </c>
      <c r="E1167" t="s">
        <v>61</v>
      </c>
      <c r="F1167" t="s">
        <v>66</v>
      </c>
      <c r="G1167">
        <v>2</v>
      </c>
      <c r="H1167">
        <v>2897.39</v>
      </c>
      <c r="I1167">
        <v>0.25</v>
      </c>
      <c r="J1167">
        <v>4346.09</v>
      </c>
      <c r="K1167" t="s">
        <v>41</v>
      </c>
      <c r="L1167" t="s">
        <v>20</v>
      </c>
      <c r="M1167" t="s">
        <v>21</v>
      </c>
      <c r="N1167" t="s">
        <v>22</v>
      </c>
      <c r="O1167">
        <f>Table1[[#All],[Quantity]]*Table1[[#All],[Unit Price (?)]]</f>
        <v>5794.78</v>
      </c>
      <c r="P1167" t="str">
        <f>TEXT(Table1[[#All],[Order Date]],"dddd")</f>
        <v>Tuesday</v>
      </c>
      <c r="Q1167" t="str">
        <f>TEXT(Table1[[#All],[Order Date]],"mmm")</f>
        <v>May</v>
      </c>
      <c r="R1167" t="str">
        <f>IF(Table1[[#All],[Total Price (?)]]&gt;1000,"High Value","Normal")</f>
        <v>High Value</v>
      </c>
    </row>
    <row r="1168" spans="1:18" x14ac:dyDescent="0.3">
      <c r="A1168" t="s">
        <v>1229</v>
      </c>
      <c r="B1168" s="1">
        <v>45766</v>
      </c>
      <c r="C1168" t="s">
        <v>36</v>
      </c>
      <c r="D1168" t="s">
        <v>39</v>
      </c>
      <c r="E1168" t="s">
        <v>17</v>
      </c>
      <c r="F1168" t="s">
        <v>32</v>
      </c>
      <c r="G1168">
        <v>4</v>
      </c>
      <c r="H1168">
        <v>1446.46</v>
      </c>
      <c r="I1168">
        <v>0.17</v>
      </c>
      <c r="J1168">
        <v>4802.25</v>
      </c>
      <c r="K1168" t="s">
        <v>41</v>
      </c>
      <c r="L1168" t="s">
        <v>20</v>
      </c>
      <c r="M1168" t="s">
        <v>54</v>
      </c>
      <c r="N1168" t="s">
        <v>22</v>
      </c>
      <c r="O1168">
        <f>Table1[[#All],[Quantity]]*Table1[[#All],[Unit Price (?)]]</f>
        <v>5785.84</v>
      </c>
      <c r="P1168" t="str">
        <f>TEXT(Table1[[#All],[Order Date]],"dddd")</f>
        <v>Saturday</v>
      </c>
      <c r="Q1168" t="str">
        <f>TEXT(Table1[[#All],[Order Date]],"mmm")</f>
        <v>Apr</v>
      </c>
      <c r="R1168" t="str">
        <f>IF(Table1[[#All],[Total Price (?)]]&gt;1000,"High Value","Normal")</f>
        <v>High Value</v>
      </c>
    </row>
    <row r="1169" spans="1:18" x14ac:dyDescent="0.3">
      <c r="A1169" t="s">
        <v>1230</v>
      </c>
      <c r="B1169" s="1">
        <v>45724</v>
      </c>
      <c r="C1169" t="s">
        <v>52</v>
      </c>
      <c r="D1169" t="s">
        <v>43</v>
      </c>
      <c r="E1169" t="s">
        <v>17</v>
      </c>
      <c r="F1169" t="s">
        <v>40</v>
      </c>
      <c r="G1169">
        <v>1</v>
      </c>
      <c r="H1169">
        <v>2095.1999999999998</v>
      </c>
      <c r="I1169">
        <v>0</v>
      </c>
      <c r="J1169">
        <v>2095.1999999999998</v>
      </c>
      <c r="K1169" t="s">
        <v>46</v>
      </c>
      <c r="L1169" t="s">
        <v>34</v>
      </c>
      <c r="M1169" t="s">
        <v>30</v>
      </c>
      <c r="N1169" t="s">
        <v>22</v>
      </c>
      <c r="O1169">
        <f>Table1[[#All],[Quantity]]*Table1[[#All],[Unit Price (?)]]</f>
        <v>2095.1999999999998</v>
      </c>
      <c r="P1169" t="str">
        <f>TEXT(Table1[[#All],[Order Date]],"dddd")</f>
        <v>Saturday</v>
      </c>
      <c r="Q1169" t="str">
        <f>TEXT(Table1[[#All],[Order Date]],"mmm")</f>
        <v>Mar</v>
      </c>
      <c r="R1169" t="str">
        <f>IF(Table1[[#All],[Total Price (?)]]&gt;1000,"High Value","Normal")</f>
        <v>High Value</v>
      </c>
    </row>
    <row r="1170" spans="1:18" x14ac:dyDescent="0.3">
      <c r="A1170" t="s">
        <v>1231</v>
      </c>
      <c r="B1170" s="1">
        <v>45728</v>
      </c>
      <c r="C1170" t="s">
        <v>24</v>
      </c>
      <c r="D1170" t="s">
        <v>39</v>
      </c>
      <c r="E1170" t="s">
        <v>49</v>
      </c>
      <c r="F1170" t="s">
        <v>53</v>
      </c>
      <c r="G1170">
        <v>1</v>
      </c>
      <c r="H1170">
        <v>3574.14</v>
      </c>
      <c r="I1170">
        <v>0.06</v>
      </c>
      <c r="J1170">
        <v>3359.69</v>
      </c>
      <c r="K1170" t="s">
        <v>19</v>
      </c>
      <c r="L1170" t="s">
        <v>20</v>
      </c>
      <c r="M1170" t="s">
        <v>21</v>
      </c>
      <c r="N1170" t="s">
        <v>22</v>
      </c>
      <c r="O1170">
        <f>Table1[[#All],[Quantity]]*Table1[[#All],[Unit Price (?)]]</f>
        <v>3574.14</v>
      </c>
      <c r="P1170" t="str">
        <f>TEXT(Table1[[#All],[Order Date]],"dddd")</f>
        <v>Wednesday</v>
      </c>
      <c r="Q1170" t="str">
        <f>TEXT(Table1[[#All],[Order Date]],"mmm")</f>
        <v>Mar</v>
      </c>
      <c r="R1170" t="str">
        <f>IF(Table1[[#All],[Total Price (?)]]&gt;1000,"High Value","Normal")</f>
        <v>High Value</v>
      </c>
    </row>
    <row r="1171" spans="1:18" x14ac:dyDescent="0.3">
      <c r="A1171" t="s">
        <v>1232</v>
      </c>
      <c r="B1171" s="1">
        <v>45796</v>
      </c>
      <c r="C1171" t="s">
        <v>36</v>
      </c>
      <c r="D1171" t="s">
        <v>16</v>
      </c>
      <c r="E1171" t="s">
        <v>27</v>
      </c>
      <c r="F1171" t="s">
        <v>87</v>
      </c>
      <c r="G1171">
        <v>5</v>
      </c>
      <c r="H1171">
        <v>1710.88</v>
      </c>
      <c r="I1171">
        <v>0.1</v>
      </c>
      <c r="J1171">
        <v>7698.96</v>
      </c>
      <c r="K1171" t="s">
        <v>41</v>
      </c>
      <c r="L1171" t="s">
        <v>29</v>
      </c>
      <c r="M1171" t="s">
        <v>21</v>
      </c>
      <c r="N1171" t="s">
        <v>22</v>
      </c>
      <c r="O1171">
        <f>Table1[[#All],[Quantity]]*Table1[[#All],[Unit Price (?)]]</f>
        <v>8554.4000000000015</v>
      </c>
      <c r="P1171" t="str">
        <f>TEXT(Table1[[#All],[Order Date]],"dddd")</f>
        <v>Monday</v>
      </c>
      <c r="Q1171" t="str">
        <f>TEXT(Table1[[#All],[Order Date]],"mmm")</f>
        <v>May</v>
      </c>
      <c r="R1171" t="str">
        <f>IF(Table1[[#All],[Total Price (?)]]&gt;1000,"High Value","Normal")</f>
        <v>High Value</v>
      </c>
    </row>
    <row r="1172" spans="1:18" x14ac:dyDescent="0.3">
      <c r="A1172" t="s">
        <v>1233</v>
      </c>
      <c r="B1172" s="1">
        <v>45748</v>
      </c>
      <c r="C1172" t="s">
        <v>48</v>
      </c>
      <c r="D1172" t="s">
        <v>25</v>
      </c>
      <c r="E1172" t="s">
        <v>99</v>
      </c>
      <c r="F1172" t="s">
        <v>111</v>
      </c>
      <c r="G1172">
        <v>4</v>
      </c>
      <c r="H1172">
        <v>1132.1199999999999</v>
      </c>
      <c r="I1172">
        <v>0.17</v>
      </c>
      <c r="J1172">
        <v>3758.64</v>
      </c>
      <c r="K1172" t="s">
        <v>19</v>
      </c>
      <c r="L1172" t="s">
        <v>34</v>
      </c>
      <c r="M1172" t="s">
        <v>21</v>
      </c>
      <c r="N1172" t="s">
        <v>22</v>
      </c>
      <c r="O1172">
        <f>Table1[[#All],[Quantity]]*Table1[[#All],[Unit Price (?)]]</f>
        <v>4528.4799999999996</v>
      </c>
      <c r="P1172" t="str">
        <f>TEXT(Table1[[#All],[Order Date]],"dddd")</f>
        <v>Tuesday</v>
      </c>
      <c r="Q1172" t="str">
        <f>TEXT(Table1[[#All],[Order Date]],"mmm")</f>
        <v>Apr</v>
      </c>
      <c r="R1172" t="str">
        <f>IF(Table1[[#All],[Total Price (?)]]&gt;1000,"High Value","Normal")</f>
        <v>High Value</v>
      </c>
    </row>
    <row r="1173" spans="1:18" x14ac:dyDescent="0.3">
      <c r="A1173" t="s">
        <v>1234</v>
      </c>
      <c r="B1173" s="1">
        <v>45712</v>
      </c>
      <c r="C1173" t="s">
        <v>48</v>
      </c>
      <c r="D1173" t="s">
        <v>39</v>
      </c>
      <c r="E1173" t="s">
        <v>17</v>
      </c>
      <c r="F1173" t="s">
        <v>18</v>
      </c>
      <c r="G1173">
        <v>1</v>
      </c>
      <c r="H1173">
        <v>1117</v>
      </c>
      <c r="I1173">
        <v>0.25</v>
      </c>
      <c r="J1173">
        <v>837.75</v>
      </c>
      <c r="K1173" t="s">
        <v>33</v>
      </c>
      <c r="L1173" t="s">
        <v>34</v>
      </c>
      <c r="M1173" t="s">
        <v>30</v>
      </c>
      <c r="N1173" t="s">
        <v>22</v>
      </c>
      <c r="O1173">
        <f>Table1[[#All],[Quantity]]*Table1[[#All],[Unit Price (?)]]</f>
        <v>1117</v>
      </c>
      <c r="P1173" t="str">
        <f>TEXT(Table1[[#All],[Order Date]],"dddd")</f>
        <v>Monday</v>
      </c>
      <c r="Q1173" t="str">
        <f>TEXT(Table1[[#All],[Order Date]],"mmm")</f>
        <v>Feb</v>
      </c>
      <c r="R1173" t="str">
        <f>IF(Table1[[#All],[Total Price (?)]]&gt;1000,"High Value","Normal")</f>
        <v>Normal</v>
      </c>
    </row>
    <row r="1174" spans="1:18" x14ac:dyDescent="0.3">
      <c r="A1174" t="s">
        <v>1235</v>
      </c>
      <c r="B1174" s="1">
        <v>45719</v>
      </c>
      <c r="C1174" t="s">
        <v>48</v>
      </c>
      <c r="D1174" t="s">
        <v>25</v>
      </c>
      <c r="E1174" t="s">
        <v>99</v>
      </c>
      <c r="F1174" t="s">
        <v>115</v>
      </c>
      <c r="G1174">
        <v>5</v>
      </c>
      <c r="H1174">
        <v>2966.19</v>
      </c>
      <c r="I1174">
        <v>0.16</v>
      </c>
      <c r="J1174">
        <v>12458</v>
      </c>
      <c r="K1174" t="s">
        <v>58</v>
      </c>
      <c r="L1174" t="s">
        <v>20</v>
      </c>
      <c r="M1174" t="s">
        <v>21</v>
      </c>
      <c r="N1174" t="s">
        <v>22</v>
      </c>
      <c r="O1174">
        <f>Table1[[#All],[Quantity]]*Table1[[#All],[Unit Price (?)]]</f>
        <v>14830.95</v>
      </c>
      <c r="P1174" t="str">
        <f>TEXT(Table1[[#All],[Order Date]],"dddd")</f>
        <v>Monday</v>
      </c>
      <c r="Q1174" t="str">
        <f>TEXT(Table1[[#All],[Order Date]],"mmm")</f>
        <v>Mar</v>
      </c>
      <c r="R1174" t="str">
        <f>IF(Table1[[#All],[Total Price (?)]]&gt;1000,"High Value","Normal")</f>
        <v>High Value</v>
      </c>
    </row>
    <row r="1175" spans="1:18" x14ac:dyDescent="0.3">
      <c r="A1175" t="s">
        <v>1236</v>
      </c>
      <c r="B1175" s="1">
        <v>45708</v>
      </c>
      <c r="C1175" t="s">
        <v>36</v>
      </c>
      <c r="D1175" t="s">
        <v>16</v>
      </c>
      <c r="E1175" t="s">
        <v>17</v>
      </c>
      <c r="F1175" t="s">
        <v>32</v>
      </c>
      <c r="G1175">
        <v>4</v>
      </c>
      <c r="H1175">
        <v>4613.76</v>
      </c>
      <c r="I1175">
        <v>0.03</v>
      </c>
      <c r="J1175">
        <v>17901.39</v>
      </c>
      <c r="K1175" t="s">
        <v>41</v>
      </c>
      <c r="L1175" t="s">
        <v>20</v>
      </c>
      <c r="M1175" t="s">
        <v>21</v>
      </c>
      <c r="N1175" t="s">
        <v>22</v>
      </c>
      <c r="O1175">
        <f>Table1[[#All],[Quantity]]*Table1[[#All],[Unit Price (?)]]</f>
        <v>18455.04</v>
      </c>
      <c r="P1175" t="str">
        <f>TEXT(Table1[[#All],[Order Date]],"dddd")</f>
        <v>Thursday</v>
      </c>
      <c r="Q1175" t="str">
        <f>TEXT(Table1[[#All],[Order Date]],"mmm")</f>
        <v>Feb</v>
      </c>
      <c r="R1175" t="str">
        <f>IF(Table1[[#All],[Total Price (?)]]&gt;1000,"High Value","Normal")</f>
        <v>High Value</v>
      </c>
    </row>
    <row r="1176" spans="1:18" x14ac:dyDescent="0.3">
      <c r="A1176" t="s">
        <v>1237</v>
      </c>
      <c r="B1176" s="1">
        <v>45704</v>
      </c>
      <c r="C1176" t="s">
        <v>24</v>
      </c>
      <c r="D1176" t="s">
        <v>25</v>
      </c>
      <c r="E1176" t="s">
        <v>61</v>
      </c>
      <c r="F1176" t="s">
        <v>75</v>
      </c>
      <c r="G1176">
        <v>2</v>
      </c>
      <c r="H1176">
        <v>4337.9799999999996</v>
      </c>
      <c r="I1176">
        <v>0.19</v>
      </c>
      <c r="J1176">
        <v>7027.53</v>
      </c>
      <c r="K1176" t="s">
        <v>33</v>
      </c>
      <c r="L1176" t="s">
        <v>34</v>
      </c>
      <c r="M1176" t="s">
        <v>21</v>
      </c>
      <c r="N1176" t="s">
        <v>22</v>
      </c>
      <c r="O1176">
        <f>Table1[[#All],[Quantity]]*Table1[[#All],[Unit Price (?)]]</f>
        <v>8675.9599999999991</v>
      </c>
      <c r="P1176" t="str">
        <f>TEXT(Table1[[#All],[Order Date]],"dddd")</f>
        <v>Sunday</v>
      </c>
      <c r="Q1176" t="str">
        <f>TEXT(Table1[[#All],[Order Date]],"mmm")</f>
        <v>Feb</v>
      </c>
      <c r="R1176" t="str">
        <f>IF(Table1[[#All],[Total Price (?)]]&gt;1000,"High Value","Normal")</f>
        <v>High Value</v>
      </c>
    </row>
    <row r="1177" spans="1:18" x14ac:dyDescent="0.3">
      <c r="A1177" t="s">
        <v>1238</v>
      </c>
      <c r="B1177" s="1">
        <v>45683</v>
      </c>
      <c r="C1177" t="s">
        <v>48</v>
      </c>
      <c r="D1177" t="s">
        <v>39</v>
      </c>
      <c r="E1177" t="s">
        <v>99</v>
      </c>
      <c r="F1177" t="s">
        <v>100</v>
      </c>
      <c r="G1177">
        <v>3</v>
      </c>
      <c r="H1177">
        <v>3875.45</v>
      </c>
      <c r="I1177">
        <v>0.16</v>
      </c>
      <c r="J1177">
        <v>9766.1299999999992</v>
      </c>
      <c r="K1177" t="s">
        <v>33</v>
      </c>
      <c r="L1177" t="s">
        <v>34</v>
      </c>
      <c r="M1177" t="s">
        <v>21</v>
      </c>
      <c r="N1177" t="s">
        <v>22</v>
      </c>
      <c r="O1177">
        <f>Table1[[#All],[Quantity]]*Table1[[#All],[Unit Price (?)]]</f>
        <v>11626.349999999999</v>
      </c>
      <c r="P1177" t="str">
        <f>TEXT(Table1[[#All],[Order Date]],"dddd")</f>
        <v>Sunday</v>
      </c>
      <c r="Q1177" t="str">
        <f>TEXT(Table1[[#All],[Order Date]],"mmm")</f>
        <v>Jan</v>
      </c>
      <c r="R1177" t="str">
        <f>IF(Table1[[#All],[Total Price (?)]]&gt;1000,"High Value","Normal")</f>
        <v>High Value</v>
      </c>
    </row>
    <row r="1178" spans="1:18" x14ac:dyDescent="0.3">
      <c r="A1178" t="s">
        <v>1239</v>
      </c>
      <c r="B1178" s="1">
        <v>45800</v>
      </c>
      <c r="C1178" t="s">
        <v>52</v>
      </c>
      <c r="D1178" t="s">
        <v>43</v>
      </c>
      <c r="E1178" t="s">
        <v>27</v>
      </c>
      <c r="F1178" t="s">
        <v>87</v>
      </c>
      <c r="G1178">
        <v>4</v>
      </c>
      <c r="H1178">
        <v>1502.79</v>
      </c>
      <c r="I1178">
        <v>0.23</v>
      </c>
      <c r="J1178">
        <v>4628.59</v>
      </c>
      <c r="K1178" t="s">
        <v>41</v>
      </c>
      <c r="L1178" t="s">
        <v>34</v>
      </c>
      <c r="M1178" t="s">
        <v>54</v>
      </c>
      <c r="N1178" t="s">
        <v>22</v>
      </c>
      <c r="O1178">
        <f>Table1[[#All],[Quantity]]*Table1[[#All],[Unit Price (?)]]</f>
        <v>6011.16</v>
      </c>
      <c r="P1178" t="str">
        <f>TEXT(Table1[[#All],[Order Date]],"dddd")</f>
        <v>Friday</v>
      </c>
      <c r="Q1178" t="str">
        <f>TEXT(Table1[[#All],[Order Date]],"mmm")</f>
        <v>May</v>
      </c>
      <c r="R1178" t="str">
        <f>IF(Table1[[#All],[Total Price (?)]]&gt;1000,"High Value","Normal")</f>
        <v>High Value</v>
      </c>
    </row>
    <row r="1179" spans="1:18" x14ac:dyDescent="0.3">
      <c r="A1179" t="s">
        <v>1240</v>
      </c>
      <c r="B1179" s="1">
        <v>45697</v>
      </c>
      <c r="C1179" t="s">
        <v>48</v>
      </c>
      <c r="D1179" t="s">
        <v>25</v>
      </c>
      <c r="E1179" t="s">
        <v>17</v>
      </c>
      <c r="F1179" t="s">
        <v>32</v>
      </c>
      <c r="G1179">
        <v>1</v>
      </c>
      <c r="H1179">
        <v>1978.43</v>
      </c>
      <c r="I1179">
        <v>0.16</v>
      </c>
      <c r="J1179">
        <v>1661.88</v>
      </c>
      <c r="K1179" t="s">
        <v>19</v>
      </c>
      <c r="L1179" t="s">
        <v>29</v>
      </c>
      <c r="M1179" t="s">
        <v>30</v>
      </c>
      <c r="N1179" t="s">
        <v>22</v>
      </c>
      <c r="O1179">
        <f>Table1[[#All],[Quantity]]*Table1[[#All],[Unit Price (?)]]</f>
        <v>1978.43</v>
      </c>
      <c r="P1179" t="str">
        <f>TEXT(Table1[[#All],[Order Date]],"dddd")</f>
        <v>Sunday</v>
      </c>
      <c r="Q1179" t="str">
        <f>TEXT(Table1[[#All],[Order Date]],"mmm")</f>
        <v>Feb</v>
      </c>
      <c r="R1179" t="str">
        <f>IF(Table1[[#All],[Total Price (?)]]&gt;1000,"High Value","Normal")</f>
        <v>High Value</v>
      </c>
    </row>
    <row r="1180" spans="1:18" x14ac:dyDescent="0.3">
      <c r="A1180" t="s">
        <v>1241</v>
      </c>
      <c r="B1180" s="1">
        <v>45721</v>
      </c>
      <c r="C1180" t="s">
        <v>52</v>
      </c>
      <c r="D1180" t="s">
        <v>25</v>
      </c>
      <c r="E1180" t="s">
        <v>17</v>
      </c>
      <c r="F1180" t="s">
        <v>44</v>
      </c>
      <c r="G1180">
        <v>5</v>
      </c>
      <c r="H1180">
        <v>4994.66</v>
      </c>
      <c r="I1180">
        <v>0.15</v>
      </c>
      <c r="J1180">
        <v>21227.31</v>
      </c>
      <c r="K1180" t="s">
        <v>33</v>
      </c>
      <c r="L1180" t="s">
        <v>29</v>
      </c>
      <c r="M1180" t="s">
        <v>21</v>
      </c>
      <c r="N1180" t="s">
        <v>37</v>
      </c>
      <c r="O1180">
        <f>Table1[[#All],[Quantity]]*Table1[[#All],[Unit Price (?)]]</f>
        <v>24973.3</v>
      </c>
      <c r="P1180" t="str">
        <f>TEXT(Table1[[#All],[Order Date]],"dddd")</f>
        <v>Wednesday</v>
      </c>
      <c r="Q1180" t="str">
        <f>TEXT(Table1[[#All],[Order Date]],"mmm")</f>
        <v>Mar</v>
      </c>
      <c r="R1180" t="str">
        <f>IF(Table1[[#All],[Total Price (?)]]&gt;1000,"High Value","Normal")</f>
        <v>High Value</v>
      </c>
    </row>
    <row r="1181" spans="1:18" x14ac:dyDescent="0.3">
      <c r="A1181" t="s">
        <v>1242</v>
      </c>
      <c r="B1181" s="1">
        <v>45683</v>
      </c>
      <c r="C1181" t="s">
        <v>52</v>
      </c>
      <c r="D1181" t="s">
        <v>25</v>
      </c>
      <c r="E1181" t="s">
        <v>99</v>
      </c>
      <c r="F1181" t="s">
        <v>100</v>
      </c>
      <c r="G1181">
        <v>4</v>
      </c>
      <c r="H1181">
        <v>3453.38</v>
      </c>
      <c r="I1181">
        <v>0.24</v>
      </c>
      <c r="J1181">
        <v>10498.28</v>
      </c>
      <c r="K1181" t="s">
        <v>33</v>
      </c>
      <c r="L1181" t="s">
        <v>29</v>
      </c>
      <c r="M1181" t="s">
        <v>54</v>
      </c>
      <c r="N1181" t="s">
        <v>22</v>
      </c>
      <c r="O1181">
        <f>Table1[[#All],[Quantity]]*Table1[[#All],[Unit Price (?)]]</f>
        <v>13813.52</v>
      </c>
      <c r="P1181" t="str">
        <f>TEXT(Table1[[#All],[Order Date]],"dddd")</f>
        <v>Sunday</v>
      </c>
      <c r="Q1181" t="str">
        <f>TEXT(Table1[[#All],[Order Date]],"mmm")</f>
        <v>Jan</v>
      </c>
      <c r="R1181" t="str">
        <f>IF(Table1[[#All],[Total Price (?)]]&gt;1000,"High Value","Normal")</f>
        <v>High Value</v>
      </c>
    </row>
    <row r="1182" spans="1:18" x14ac:dyDescent="0.3">
      <c r="A1182" t="s">
        <v>1243</v>
      </c>
      <c r="B1182" s="1">
        <v>45804</v>
      </c>
      <c r="C1182" t="s">
        <v>48</v>
      </c>
      <c r="D1182" t="s">
        <v>39</v>
      </c>
      <c r="E1182" t="s">
        <v>61</v>
      </c>
      <c r="F1182" t="s">
        <v>75</v>
      </c>
      <c r="G1182">
        <v>2</v>
      </c>
      <c r="H1182">
        <v>958.53</v>
      </c>
      <c r="I1182">
        <v>0.23</v>
      </c>
      <c r="J1182">
        <v>1476.14</v>
      </c>
      <c r="K1182" t="s">
        <v>46</v>
      </c>
      <c r="L1182" t="s">
        <v>29</v>
      </c>
      <c r="M1182" t="s">
        <v>54</v>
      </c>
      <c r="N1182" t="s">
        <v>22</v>
      </c>
      <c r="O1182">
        <f>Table1[[#All],[Quantity]]*Table1[[#All],[Unit Price (?)]]</f>
        <v>1917.06</v>
      </c>
      <c r="P1182" t="str">
        <f>TEXT(Table1[[#All],[Order Date]],"dddd")</f>
        <v>Tuesday</v>
      </c>
      <c r="Q1182" t="str">
        <f>TEXT(Table1[[#All],[Order Date]],"mmm")</f>
        <v>May</v>
      </c>
      <c r="R1182" t="str">
        <f>IF(Table1[[#All],[Total Price (?)]]&gt;1000,"High Value","Normal")</f>
        <v>High Value</v>
      </c>
    </row>
    <row r="1183" spans="1:18" x14ac:dyDescent="0.3">
      <c r="A1183" t="s">
        <v>1244</v>
      </c>
      <c r="B1183" s="1">
        <v>45764</v>
      </c>
      <c r="C1183" t="s">
        <v>52</v>
      </c>
      <c r="D1183" t="s">
        <v>43</v>
      </c>
      <c r="E1183" t="s">
        <v>17</v>
      </c>
      <c r="F1183" t="s">
        <v>18</v>
      </c>
      <c r="G1183">
        <v>4</v>
      </c>
      <c r="H1183">
        <v>1300.73</v>
      </c>
      <c r="I1183">
        <v>0.15</v>
      </c>
      <c r="J1183">
        <v>4422.4799999999996</v>
      </c>
      <c r="K1183" t="s">
        <v>33</v>
      </c>
      <c r="L1183" t="s">
        <v>34</v>
      </c>
      <c r="M1183" t="s">
        <v>54</v>
      </c>
      <c r="N1183" t="s">
        <v>59</v>
      </c>
      <c r="O1183">
        <f>Table1[[#All],[Quantity]]*Table1[[#All],[Unit Price (?)]]</f>
        <v>5202.92</v>
      </c>
      <c r="P1183" t="str">
        <f>TEXT(Table1[[#All],[Order Date]],"dddd")</f>
        <v>Thursday</v>
      </c>
      <c r="Q1183" t="str">
        <f>TEXT(Table1[[#All],[Order Date]],"mmm")</f>
        <v>Apr</v>
      </c>
      <c r="R1183" t="str">
        <f>IF(Table1[[#All],[Total Price (?)]]&gt;1000,"High Value","Normal")</f>
        <v>High Value</v>
      </c>
    </row>
    <row r="1184" spans="1:18" x14ac:dyDescent="0.3">
      <c r="A1184" t="s">
        <v>1245</v>
      </c>
      <c r="B1184" s="1">
        <v>45808</v>
      </c>
      <c r="C1184" t="s">
        <v>36</v>
      </c>
      <c r="D1184" t="s">
        <v>16</v>
      </c>
      <c r="E1184" t="s">
        <v>27</v>
      </c>
      <c r="F1184" t="s">
        <v>79</v>
      </c>
      <c r="G1184">
        <v>2</v>
      </c>
      <c r="H1184">
        <v>2364.84</v>
      </c>
      <c r="I1184">
        <v>0.24</v>
      </c>
      <c r="J1184">
        <v>3594.56</v>
      </c>
      <c r="K1184" t="s">
        <v>46</v>
      </c>
      <c r="L1184" t="s">
        <v>20</v>
      </c>
      <c r="M1184" t="s">
        <v>54</v>
      </c>
      <c r="N1184" t="s">
        <v>22</v>
      </c>
      <c r="O1184">
        <f>Table1[[#All],[Quantity]]*Table1[[#All],[Unit Price (?)]]</f>
        <v>4729.68</v>
      </c>
      <c r="P1184" t="str">
        <f>TEXT(Table1[[#All],[Order Date]],"dddd")</f>
        <v>Saturday</v>
      </c>
      <c r="Q1184" t="str">
        <f>TEXT(Table1[[#All],[Order Date]],"mmm")</f>
        <v>May</v>
      </c>
      <c r="R1184" t="str">
        <f>IF(Table1[[#All],[Total Price (?)]]&gt;1000,"High Value","Normal")</f>
        <v>High Value</v>
      </c>
    </row>
    <row r="1185" spans="1:18" x14ac:dyDescent="0.3">
      <c r="A1185" t="s">
        <v>1246</v>
      </c>
      <c r="B1185" s="1">
        <v>45794</v>
      </c>
      <c r="C1185" t="s">
        <v>48</v>
      </c>
      <c r="D1185" t="s">
        <v>16</v>
      </c>
      <c r="E1185" t="s">
        <v>49</v>
      </c>
      <c r="F1185" t="s">
        <v>50</v>
      </c>
      <c r="G1185">
        <v>3</v>
      </c>
      <c r="H1185">
        <v>4428.45</v>
      </c>
      <c r="I1185">
        <v>0.13</v>
      </c>
      <c r="J1185">
        <v>11558.25</v>
      </c>
      <c r="K1185" t="s">
        <v>58</v>
      </c>
      <c r="L1185" t="s">
        <v>34</v>
      </c>
      <c r="M1185" t="s">
        <v>21</v>
      </c>
      <c r="N1185" t="s">
        <v>22</v>
      </c>
      <c r="O1185">
        <f>Table1[[#All],[Quantity]]*Table1[[#All],[Unit Price (?)]]</f>
        <v>13285.349999999999</v>
      </c>
      <c r="P1185" t="str">
        <f>TEXT(Table1[[#All],[Order Date]],"dddd")</f>
        <v>Saturday</v>
      </c>
      <c r="Q1185" t="str">
        <f>TEXT(Table1[[#All],[Order Date]],"mmm")</f>
        <v>May</v>
      </c>
      <c r="R1185" t="str">
        <f>IF(Table1[[#All],[Total Price (?)]]&gt;1000,"High Value","Normal")</f>
        <v>High Value</v>
      </c>
    </row>
    <row r="1186" spans="1:18" x14ac:dyDescent="0.3">
      <c r="A1186" t="s">
        <v>1247</v>
      </c>
      <c r="B1186" s="1">
        <v>45695</v>
      </c>
      <c r="C1186" t="s">
        <v>48</v>
      </c>
      <c r="D1186" t="s">
        <v>25</v>
      </c>
      <c r="E1186" t="s">
        <v>17</v>
      </c>
      <c r="F1186" t="s">
        <v>32</v>
      </c>
      <c r="G1186">
        <v>4</v>
      </c>
      <c r="H1186">
        <v>3611.46</v>
      </c>
      <c r="I1186">
        <v>0.13</v>
      </c>
      <c r="J1186">
        <v>12567.88</v>
      </c>
      <c r="K1186" t="s">
        <v>58</v>
      </c>
      <c r="L1186" t="s">
        <v>34</v>
      </c>
      <c r="M1186" t="s">
        <v>21</v>
      </c>
      <c r="N1186" t="s">
        <v>22</v>
      </c>
      <c r="O1186">
        <f>Table1[[#All],[Quantity]]*Table1[[#All],[Unit Price (?)]]</f>
        <v>14445.84</v>
      </c>
      <c r="P1186" t="str">
        <f>TEXT(Table1[[#All],[Order Date]],"dddd")</f>
        <v>Friday</v>
      </c>
      <c r="Q1186" t="str">
        <f>TEXT(Table1[[#All],[Order Date]],"mmm")</f>
        <v>Feb</v>
      </c>
      <c r="R1186" t="str">
        <f>IF(Table1[[#All],[Total Price (?)]]&gt;1000,"High Value","Normal")</f>
        <v>High Value</v>
      </c>
    </row>
    <row r="1187" spans="1:18" x14ac:dyDescent="0.3">
      <c r="A1187" t="s">
        <v>1248</v>
      </c>
      <c r="B1187" s="1">
        <v>45697</v>
      </c>
      <c r="C1187" t="s">
        <v>52</v>
      </c>
      <c r="D1187" t="s">
        <v>39</v>
      </c>
      <c r="E1187" t="s">
        <v>17</v>
      </c>
      <c r="F1187" t="s">
        <v>18</v>
      </c>
      <c r="G1187">
        <v>1</v>
      </c>
      <c r="H1187">
        <v>3637.77</v>
      </c>
      <c r="I1187">
        <v>0.09</v>
      </c>
      <c r="J1187">
        <v>3310.37</v>
      </c>
      <c r="K1187" t="s">
        <v>46</v>
      </c>
      <c r="L1187" t="s">
        <v>29</v>
      </c>
      <c r="M1187" t="s">
        <v>21</v>
      </c>
      <c r="N1187" t="s">
        <v>22</v>
      </c>
      <c r="O1187">
        <f>Table1[[#All],[Quantity]]*Table1[[#All],[Unit Price (?)]]</f>
        <v>3637.77</v>
      </c>
      <c r="P1187" t="str">
        <f>TEXT(Table1[[#All],[Order Date]],"dddd")</f>
        <v>Sunday</v>
      </c>
      <c r="Q1187" t="str">
        <f>TEXT(Table1[[#All],[Order Date]],"mmm")</f>
        <v>Feb</v>
      </c>
      <c r="R1187" t="str">
        <f>IF(Table1[[#All],[Total Price (?)]]&gt;1000,"High Value","Normal")</f>
        <v>High Value</v>
      </c>
    </row>
    <row r="1188" spans="1:18" x14ac:dyDescent="0.3">
      <c r="A1188" t="s">
        <v>1249</v>
      </c>
      <c r="B1188" s="1">
        <v>45702</v>
      </c>
      <c r="C1188" t="s">
        <v>52</v>
      </c>
      <c r="D1188" t="s">
        <v>25</v>
      </c>
      <c r="E1188" t="s">
        <v>61</v>
      </c>
      <c r="F1188" t="s">
        <v>92</v>
      </c>
      <c r="G1188">
        <v>3</v>
      </c>
      <c r="H1188">
        <v>3245.97</v>
      </c>
      <c r="I1188">
        <v>0.02</v>
      </c>
      <c r="J1188">
        <v>9543.15</v>
      </c>
      <c r="K1188" t="s">
        <v>46</v>
      </c>
      <c r="L1188" t="s">
        <v>20</v>
      </c>
      <c r="M1188" t="s">
        <v>21</v>
      </c>
      <c r="N1188" t="s">
        <v>88</v>
      </c>
      <c r="O1188">
        <f>Table1[[#All],[Quantity]]*Table1[[#All],[Unit Price (?)]]</f>
        <v>9737.91</v>
      </c>
      <c r="P1188" t="str">
        <f>TEXT(Table1[[#All],[Order Date]],"dddd")</f>
        <v>Friday</v>
      </c>
      <c r="Q1188" t="str">
        <f>TEXT(Table1[[#All],[Order Date]],"mmm")</f>
        <v>Feb</v>
      </c>
      <c r="R1188" t="str">
        <f>IF(Table1[[#All],[Total Price (?)]]&gt;1000,"High Value","Normal")</f>
        <v>High Value</v>
      </c>
    </row>
    <row r="1189" spans="1:18" x14ac:dyDescent="0.3">
      <c r="A1189" t="s">
        <v>1250</v>
      </c>
      <c r="B1189" s="1">
        <v>45803</v>
      </c>
      <c r="C1189" t="s">
        <v>15</v>
      </c>
      <c r="D1189" t="s">
        <v>16</v>
      </c>
      <c r="E1189" t="s">
        <v>99</v>
      </c>
      <c r="F1189" t="s">
        <v>111</v>
      </c>
      <c r="G1189">
        <v>4</v>
      </c>
      <c r="H1189">
        <v>3527.85</v>
      </c>
      <c r="I1189">
        <v>0.14000000000000001</v>
      </c>
      <c r="J1189">
        <v>12135.8</v>
      </c>
      <c r="K1189" t="s">
        <v>41</v>
      </c>
      <c r="L1189" t="s">
        <v>34</v>
      </c>
      <c r="M1189" t="s">
        <v>21</v>
      </c>
      <c r="N1189" t="s">
        <v>88</v>
      </c>
      <c r="O1189">
        <f>Table1[[#All],[Quantity]]*Table1[[#All],[Unit Price (?)]]</f>
        <v>14111.4</v>
      </c>
      <c r="P1189" t="str">
        <f>TEXT(Table1[[#All],[Order Date]],"dddd")</f>
        <v>Monday</v>
      </c>
      <c r="Q1189" t="str">
        <f>TEXT(Table1[[#All],[Order Date]],"mmm")</f>
        <v>May</v>
      </c>
      <c r="R1189" t="str">
        <f>IF(Table1[[#All],[Total Price (?)]]&gt;1000,"High Value","Normal")</f>
        <v>High Value</v>
      </c>
    </row>
    <row r="1190" spans="1:18" x14ac:dyDescent="0.3">
      <c r="A1190" t="s">
        <v>1251</v>
      </c>
      <c r="B1190" s="1">
        <v>45754</v>
      </c>
      <c r="C1190" t="s">
        <v>24</v>
      </c>
      <c r="D1190" t="s">
        <v>43</v>
      </c>
      <c r="E1190" t="s">
        <v>61</v>
      </c>
      <c r="F1190" t="s">
        <v>66</v>
      </c>
      <c r="G1190">
        <v>5</v>
      </c>
      <c r="H1190">
        <v>1877.35</v>
      </c>
      <c r="I1190">
        <v>7.0000000000000007E-2</v>
      </c>
      <c r="J1190">
        <v>8729.68</v>
      </c>
      <c r="K1190" t="s">
        <v>19</v>
      </c>
      <c r="L1190" t="s">
        <v>34</v>
      </c>
      <c r="M1190" t="s">
        <v>21</v>
      </c>
      <c r="N1190" t="s">
        <v>22</v>
      </c>
      <c r="O1190">
        <f>Table1[[#All],[Quantity]]*Table1[[#All],[Unit Price (?)]]</f>
        <v>9386.75</v>
      </c>
      <c r="P1190" t="str">
        <f>TEXT(Table1[[#All],[Order Date]],"dddd")</f>
        <v>Monday</v>
      </c>
      <c r="Q1190" t="str">
        <f>TEXT(Table1[[#All],[Order Date]],"mmm")</f>
        <v>Apr</v>
      </c>
      <c r="R1190" t="str">
        <f>IF(Table1[[#All],[Total Price (?)]]&gt;1000,"High Value","Normal")</f>
        <v>High Value</v>
      </c>
    </row>
    <row r="1191" spans="1:18" x14ac:dyDescent="0.3">
      <c r="A1191" t="s">
        <v>1252</v>
      </c>
      <c r="B1191" s="1">
        <v>45713</v>
      </c>
      <c r="C1191" t="s">
        <v>48</v>
      </c>
      <c r="D1191" t="s">
        <v>39</v>
      </c>
      <c r="E1191" t="s">
        <v>99</v>
      </c>
      <c r="F1191" t="s">
        <v>115</v>
      </c>
      <c r="G1191">
        <v>2</v>
      </c>
      <c r="H1191">
        <v>817.98</v>
      </c>
      <c r="I1191">
        <v>7.0000000000000007E-2</v>
      </c>
      <c r="J1191">
        <v>1521.44</v>
      </c>
      <c r="K1191" t="s">
        <v>46</v>
      </c>
      <c r="L1191" t="s">
        <v>20</v>
      </c>
      <c r="M1191" t="s">
        <v>30</v>
      </c>
      <c r="N1191" t="s">
        <v>22</v>
      </c>
      <c r="O1191">
        <f>Table1[[#All],[Quantity]]*Table1[[#All],[Unit Price (?)]]</f>
        <v>1635.96</v>
      </c>
      <c r="P1191" t="str">
        <f>TEXT(Table1[[#All],[Order Date]],"dddd")</f>
        <v>Tuesday</v>
      </c>
      <c r="Q1191" t="str">
        <f>TEXT(Table1[[#All],[Order Date]],"mmm")</f>
        <v>Feb</v>
      </c>
      <c r="R1191" t="str">
        <f>IF(Table1[[#All],[Total Price (?)]]&gt;1000,"High Value","Normal")</f>
        <v>High Value</v>
      </c>
    </row>
    <row r="1192" spans="1:18" x14ac:dyDescent="0.3">
      <c r="A1192" t="s">
        <v>1253</v>
      </c>
      <c r="B1192" s="1">
        <v>45800</v>
      </c>
      <c r="C1192" t="s">
        <v>36</v>
      </c>
      <c r="D1192" t="s">
        <v>25</v>
      </c>
      <c r="E1192" t="s">
        <v>17</v>
      </c>
      <c r="F1192" t="s">
        <v>44</v>
      </c>
      <c r="G1192">
        <v>5</v>
      </c>
      <c r="H1192">
        <v>159.13</v>
      </c>
      <c r="I1192">
        <v>0.09</v>
      </c>
      <c r="J1192">
        <v>724.04</v>
      </c>
      <c r="K1192" t="s">
        <v>46</v>
      </c>
      <c r="L1192" t="s">
        <v>20</v>
      </c>
      <c r="M1192" t="s">
        <v>21</v>
      </c>
      <c r="N1192" t="s">
        <v>22</v>
      </c>
      <c r="O1192">
        <f>Table1[[#All],[Quantity]]*Table1[[#All],[Unit Price (?)]]</f>
        <v>795.65</v>
      </c>
      <c r="P1192" t="str">
        <f>TEXT(Table1[[#All],[Order Date]],"dddd")</f>
        <v>Friday</v>
      </c>
      <c r="Q1192" t="str">
        <f>TEXT(Table1[[#All],[Order Date]],"mmm")</f>
        <v>May</v>
      </c>
      <c r="R1192" t="str">
        <f>IF(Table1[[#All],[Total Price (?)]]&gt;1000,"High Value","Normal")</f>
        <v>Normal</v>
      </c>
    </row>
    <row r="1193" spans="1:18" x14ac:dyDescent="0.3">
      <c r="A1193" t="s">
        <v>1254</v>
      </c>
      <c r="B1193" s="1">
        <v>45774</v>
      </c>
      <c r="C1193" t="s">
        <v>52</v>
      </c>
      <c r="D1193" t="s">
        <v>43</v>
      </c>
      <c r="E1193" t="s">
        <v>61</v>
      </c>
      <c r="F1193" t="s">
        <v>66</v>
      </c>
      <c r="G1193">
        <v>3</v>
      </c>
      <c r="H1193">
        <v>2664.35</v>
      </c>
      <c r="I1193">
        <v>0.09</v>
      </c>
      <c r="J1193">
        <v>7273.68</v>
      </c>
      <c r="K1193" t="s">
        <v>33</v>
      </c>
      <c r="L1193" t="s">
        <v>29</v>
      </c>
      <c r="M1193" t="s">
        <v>30</v>
      </c>
      <c r="N1193" t="s">
        <v>37</v>
      </c>
      <c r="O1193">
        <f>Table1[[#All],[Quantity]]*Table1[[#All],[Unit Price (?)]]</f>
        <v>7993.0499999999993</v>
      </c>
      <c r="P1193" t="str">
        <f>TEXT(Table1[[#All],[Order Date]],"dddd")</f>
        <v>Sunday</v>
      </c>
      <c r="Q1193" t="str">
        <f>TEXT(Table1[[#All],[Order Date]],"mmm")</f>
        <v>Apr</v>
      </c>
      <c r="R1193" t="str">
        <f>IF(Table1[[#All],[Total Price (?)]]&gt;1000,"High Value","Normal")</f>
        <v>High Value</v>
      </c>
    </row>
    <row r="1194" spans="1:18" x14ac:dyDescent="0.3">
      <c r="A1194" t="s">
        <v>1255</v>
      </c>
      <c r="B1194" s="1">
        <v>45807</v>
      </c>
      <c r="C1194" t="s">
        <v>48</v>
      </c>
      <c r="D1194" t="s">
        <v>43</v>
      </c>
      <c r="E1194" t="s">
        <v>49</v>
      </c>
      <c r="F1194" t="s">
        <v>73</v>
      </c>
      <c r="G1194">
        <v>1</v>
      </c>
      <c r="H1194">
        <v>1777.6</v>
      </c>
      <c r="I1194">
        <v>0.08</v>
      </c>
      <c r="J1194">
        <v>1635.39</v>
      </c>
      <c r="K1194" t="s">
        <v>41</v>
      </c>
      <c r="L1194" t="s">
        <v>20</v>
      </c>
      <c r="M1194" t="s">
        <v>54</v>
      </c>
      <c r="N1194" t="s">
        <v>22</v>
      </c>
      <c r="O1194">
        <f>Table1[[#All],[Quantity]]*Table1[[#All],[Unit Price (?)]]</f>
        <v>1777.6</v>
      </c>
      <c r="P1194" t="str">
        <f>TEXT(Table1[[#All],[Order Date]],"dddd")</f>
        <v>Friday</v>
      </c>
      <c r="Q1194" t="str">
        <f>TEXT(Table1[[#All],[Order Date]],"mmm")</f>
        <v>May</v>
      </c>
      <c r="R1194" t="str">
        <f>IF(Table1[[#All],[Total Price (?)]]&gt;1000,"High Value","Normal")</f>
        <v>High Value</v>
      </c>
    </row>
    <row r="1195" spans="1:18" x14ac:dyDescent="0.3">
      <c r="A1195" t="s">
        <v>1256</v>
      </c>
      <c r="B1195" s="1">
        <v>45761</v>
      </c>
      <c r="C1195" t="s">
        <v>15</v>
      </c>
      <c r="D1195" t="s">
        <v>43</v>
      </c>
      <c r="E1195" t="s">
        <v>17</v>
      </c>
      <c r="F1195" t="s">
        <v>44</v>
      </c>
      <c r="G1195">
        <v>5</v>
      </c>
      <c r="H1195">
        <v>4572.24</v>
      </c>
      <c r="I1195">
        <v>0.23</v>
      </c>
      <c r="J1195">
        <v>17603.12</v>
      </c>
      <c r="K1195" t="s">
        <v>41</v>
      </c>
      <c r="L1195" t="s">
        <v>34</v>
      </c>
      <c r="M1195" t="s">
        <v>21</v>
      </c>
      <c r="N1195" t="s">
        <v>22</v>
      </c>
      <c r="O1195">
        <f>Table1[[#All],[Quantity]]*Table1[[#All],[Unit Price (?)]]</f>
        <v>22861.199999999997</v>
      </c>
      <c r="P1195" t="str">
        <f>TEXT(Table1[[#All],[Order Date]],"dddd")</f>
        <v>Monday</v>
      </c>
      <c r="Q1195" t="str">
        <f>TEXT(Table1[[#All],[Order Date]],"mmm")</f>
        <v>Apr</v>
      </c>
      <c r="R1195" t="str">
        <f>IF(Table1[[#All],[Total Price (?)]]&gt;1000,"High Value","Normal")</f>
        <v>High Value</v>
      </c>
    </row>
    <row r="1196" spans="1:18" x14ac:dyDescent="0.3">
      <c r="A1196" t="s">
        <v>1257</v>
      </c>
      <c r="B1196" s="1">
        <v>45775</v>
      </c>
      <c r="C1196" t="s">
        <v>48</v>
      </c>
      <c r="D1196" t="s">
        <v>16</v>
      </c>
      <c r="E1196" t="s">
        <v>99</v>
      </c>
      <c r="F1196" t="s">
        <v>120</v>
      </c>
      <c r="G1196">
        <v>5</v>
      </c>
      <c r="H1196">
        <v>429.27</v>
      </c>
      <c r="I1196">
        <v>0.14000000000000001</v>
      </c>
      <c r="J1196">
        <v>1845.86</v>
      </c>
      <c r="K1196" t="s">
        <v>58</v>
      </c>
      <c r="L1196" t="s">
        <v>34</v>
      </c>
      <c r="M1196" t="s">
        <v>21</v>
      </c>
      <c r="N1196" t="s">
        <v>59</v>
      </c>
      <c r="O1196">
        <f>Table1[[#All],[Quantity]]*Table1[[#All],[Unit Price (?)]]</f>
        <v>2146.35</v>
      </c>
      <c r="P1196" t="str">
        <f>TEXT(Table1[[#All],[Order Date]],"dddd")</f>
        <v>Monday</v>
      </c>
      <c r="Q1196" t="str">
        <f>TEXT(Table1[[#All],[Order Date]],"mmm")</f>
        <v>Apr</v>
      </c>
      <c r="R1196" t="str">
        <f>IF(Table1[[#All],[Total Price (?)]]&gt;1000,"High Value","Normal")</f>
        <v>High Value</v>
      </c>
    </row>
    <row r="1197" spans="1:18" x14ac:dyDescent="0.3">
      <c r="A1197" t="s">
        <v>1258</v>
      </c>
      <c r="B1197" s="1">
        <v>45714</v>
      </c>
      <c r="C1197" t="s">
        <v>36</v>
      </c>
      <c r="D1197" t="s">
        <v>43</v>
      </c>
      <c r="E1197" t="s">
        <v>17</v>
      </c>
      <c r="F1197" t="s">
        <v>40</v>
      </c>
      <c r="G1197">
        <v>2</v>
      </c>
      <c r="H1197">
        <v>1354.75</v>
      </c>
      <c r="I1197">
        <v>0.18</v>
      </c>
      <c r="J1197">
        <v>2221.79</v>
      </c>
      <c r="K1197" t="s">
        <v>33</v>
      </c>
      <c r="L1197" t="s">
        <v>20</v>
      </c>
      <c r="M1197" t="s">
        <v>21</v>
      </c>
      <c r="N1197" t="s">
        <v>22</v>
      </c>
      <c r="O1197">
        <f>Table1[[#All],[Quantity]]*Table1[[#All],[Unit Price (?)]]</f>
        <v>2709.5</v>
      </c>
      <c r="P1197" t="str">
        <f>TEXT(Table1[[#All],[Order Date]],"dddd")</f>
        <v>Wednesday</v>
      </c>
      <c r="Q1197" t="str">
        <f>TEXT(Table1[[#All],[Order Date]],"mmm")</f>
        <v>Feb</v>
      </c>
      <c r="R1197" t="str">
        <f>IF(Table1[[#All],[Total Price (?)]]&gt;1000,"High Value","Normal")</f>
        <v>High Value</v>
      </c>
    </row>
    <row r="1198" spans="1:18" x14ac:dyDescent="0.3">
      <c r="A1198" t="s">
        <v>1259</v>
      </c>
      <c r="B1198" s="1">
        <v>45679</v>
      </c>
      <c r="C1198" t="s">
        <v>24</v>
      </c>
      <c r="D1198" t="s">
        <v>16</v>
      </c>
      <c r="E1198" t="s">
        <v>49</v>
      </c>
      <c r="F1198" t="s">
        <v>73</v>
      </c>
      <c r="G1198">
        <v>5</v>
      </c>
      <c r="H1198">
        <v>1459.64</v>
      </c>
      <c r="I1198">
        <v>0.19</v>
      </c>
      <c r="J1198">
        <v>5911.54</v>
      </c>
      <c r="K1198" t="s">
        <v>33</v>
      </c>
      <c r="L1198" t="s">
        <v>34</v>
      </c>
      <c r="M1198" t="s">
        <v>21</v>
      </c>
      <c r="N1198" t="s">
        <v>37</v>
      </c>
      <c r="O1198">
        <f>Table1[[#All],[Quantity]]*Table1[[#All],[Unit Price (?)]]</f>
        <v>7298.2000000000007</v>
      </c>
      <c r="P1198" t="str">
        <f>TEXT(Table1[[#All],[Order Date]],"dddd")</f>
        <v>Wednesday</v>
      </c>
      <c r="Q1198" t="str">
        <f>TEXT(Table1[[#All],[Order Date]],"mmm")</f>
        <v>Jan</v>
      </c>
      <c r="R1198" t="str">
        <f>IF(Table1[[#All],[Total Price (?)]]&gt;1000,"High Value","Normal")</f>
        <v>High Value</v>
      </c>
    </row>
    <row r="1199" spans="1:18" x14ac:dyDescent="0.3">
      <c r="A1199" t="s">
        <v>1260</v>
      </c>
      <c r="B1199" s="1">
        <v>45821</v>
      </c>
      <c r="C1199" t="s">
        <v>24</v>
      </c>
      <c r="D1199" t="s">
        <v>16</v>
      </c>
      <c r="E1199" t="s">
        <v>61</v>
      </c>
      <c r="F1199" t="s">
        <v>66</v>
      </c>
      <c r="G1199">
        <v>2</v>
      </c>
      <c r="H1199">
        <v>2969.82</v>
      </c>
      <c r="I1199">
        <v>0.15</v>
      </c>
      <c r="J1199">
        <v>5048.6899999999996</v>
      </c>
      <c r="K1199" t="s">
        <v>19</v>
      </c>
      <c r="L1199" t="s">
        <v>20</v>
      </c>
      <c r="M1199" t="s">
        <v>30</v>
      </c>
      <c r="N1199" t="s">
        <v>22</v>
      </c>
      <c r="O1199">
        <f>Table1[[#All],[Quantity]]*Table1[[#All],[Unit Price (?)]]</f>
        <v>5939.64</v>
      </c>
      <c r="P1199" t="str">
        <f>TEXT(Table1[[#All],[Order Date]],"dddd")</f>
        <v>Friday</v>
      </c>
      <c r="Q1199" t="str">
        <f>TEXT(Table1[[#All],[Order Date]],"mmm")</f>
        <v>Jun</v>
      </c>
      <c r="R1199" t="str">
        <f>IF(Table1[[#All],[Total Price (?)]]&gt;1000,"High Value","Normal")</f>
        <v>High Value</v>
      </c>
    </row>
    <row r="1200" spans="1:18" x14ac:dyDescent="0.3">
      <c r="A1200" t="s">
        <v>1261</v>
      </c>
      <c r="B1200" s="1">
        <v>45697</v>
      </c>
      <c r="C1200" t="s">
        <v>24</v>
      </c>
      <c r="D1200" t="s">
        <v>43</v>
      </c>
      <c r="E1200" t="s">
        <v>17</v>
      </c>
      <c r="F1200" t="s">
        <v>32</v>
      </c>
      <c r="G1200">
        <v>1</v>
      </c>
      <c r="H1200">
        <v>2265.3000000000002</v>
      </c>
      <c r="I1200">
        <v>0.12</v>
      </c>
      <c r="J1200">
        <v>1993.46</v>
      </c>
      <c r="K1200" t="s">
        <v>19</v>
      </c>
      <c r="L1200" t="s">
        <v>34</v>
      </c>
      <c r="M1200" t="s">
        <v>54</v>
      </c>
      <c r="N1200" t="s">
        <v>22</v>
      </c>
      <c r="O1200">
        <f>Table1[[#All],[Quantity]]*Table1[[#All],[Unit Price (?)]]</f>
        <v>2265.3000000000002</v>
      </c>
      <c r="P1200" t="str">
        <f>TEXT(Table1[[#All],[Order Date]],"dddd")</f>
        <v>Sunday</v>
      </c>
      <c r="Q1200" t="str">
        <f>TEXT(Table1[[#All],[Order Date]],"mmm")</f>
        <v>Feb</v>
      </c>
      <c r="R1200" t="str">
        <f>IF(Table1[[#All],[Total Price (?)]]&gt;1000,"High Value","Normal")</f>
        <v>High Value</v>
      </c>
    </row>
    <row r="1201" spans="1:18" x14ac:dyDescent="0.3">
      <c r="A1201" t="s">
        <v>1262</v>
      </c>
      <c r="B1201" s="1">
        <v>45717</v>
      </c>
      <c r="C1201" t="s">
        <v>36</v>
      </c>
      <c r="D1201" t="s">
        <v>25</v>
      </c>
      <c r="E1201" t="s">
        <v>99</v>
      </c>
      <c r="F1201" t="s">
        <v>120</v>
      </c>
      <c r="G1201">
        <v>4</v>
      </c>
      <c r="H1201">
        <v>3909.24</v>
      </c>
      <c r="I1201">
        <v>0.05</v>
      </c>
      <c r="J1201">
        <v>14855.11</v>
      </c>
      <c r="K1201" t="s">
        <v>41</v>
      </c>
      <c r="L1201" t="s">
        <v>20</v>
      </c>
      <c r="M1201" t="s">
        <v>21</v>
      </c>
      <c r="N1201" t="s">
        <v>59</v>
      </c>
      <c r="O1201">
        <f>Table1[[#All],[Quantity]]*Table1[[#All],[Unit Price (?)]]</f>
        <v>15636.96</v>
      </c>
      <c r="P1201" t="str">
        <f>TEXT(Table1[[#All],[Order Date]],"dddd")</f>
        <v>Saturday</v>
      </c>
      <c r="Q1201" t="str">
        <f>TEXT(Table1[[#All],[Order Date]],"mmm")</f>
        <v>Mar</v>
      </c>
      <c r="R1201" t="str">
        <f>IF(Table1[[#All],[Total Price (?)]]&gt;1000,"High Value","Normal")</f>
        <v>High Value</v>
      </c>
    </row>
    <row r="1202" spans="1:18" x14ac:dyDescent="0.3">
      <c r="A1202" t="s">
        <v>1263</v>
      </c>
      <c r="B1202" s="1">
        <v>45704</v>
      </c>
      <c r="C1202" t="s">
        <v>36</v>
      </c>
      <c r="D1202" t="s">
        <v>39</v>
      </c>
      <c r="E1202" t="s">
        <v>99</v>
      </c>
      <c r="F1202" t="s">
        <v>115</v>
      </c>
      <c r="G1202">
        <v>2</v>
      </c>
      <c r="H1202">
        <v>1710.33</v>
      </c>
      <c r="I1202">
        <v>0.12</v>
      </c>
      <c r="J1202">
        <v>3010.18</v>
      </c>
      <c r="K1202" t="s">
        <v>46</v>
      </c>
      <c r="L1202" t="s">
        <v>34</v>
      </c>
      <c r="M1202" t="s">
        <v>30</v>
      </c>
      <c r="N1202" t="s">
        <v>22</v>
      </c>
      <c r="O1202">
        <f>Table1[[#All],[Quantity]]*Table1[[#All],[Unit Price (?)]]</f>
        <v>3420.66</v>
      </c>
      <c r="P1202" t="str">
        <f>TEXT(Table1[[#All],[Order Date]],"dddd")</f>
        <v>Sunday</v>
      </c>
      <c r="Q1202" t="str">
        <f>TEXT(Table1[[#All],[Order Date]],"mmm")</f>
        <v>Feb</v>
      </c>
      <c r="R1202" t="str">
        <f>IF(Table1[[#All],[Total Price (?)]]&gt;1000,"High Value","Normal")</f>
        <v>High Value</v>
      </c>
    </row>
    <row r="1203" spans="1:18" x14ac:dyDescent="0.3">
      <c r="A1203" t="s">
        <v>1264</v>
      </c>
      <c r="B1203" s="1">
        <v>45730</v>
      </c>
      <c r="C1203" t="s">
        <v>15</v>
      </c>
      <c r="D1203" t="s">
        <v>43</v>
      </c>
      <c r="E1203" t="s">
        <v>27</v>
      </c>
      <c r="F1203" t="s">
        <v>68</v>
      </c>
      <c r="G1203">
        <v>5</v>
      </c>
      <c r="H1203">
        <v>2565.0100000000002</v>
      </c>
      <c r="I1203">
        <v>0.16</v>
      </c>
      <c r="J1203">
        <v>10773.04</v>
      </c>
      <c r="K1203" t="s">
        <v>46</v>
      </c>
      <c r="L1203" t="s">
        <v>29</v>
      </c>
      <c r="M1203" t="s">
        <v>54</v>
      </c>
      <c r="N1203" t="s">
        <v>22</v>
      </c>
      <c r="O1203">
        <f>Table1[[#All],[Quantity]]*Table1[[#All],[Unit Price (?)]]</f>
        <v>12825.050000000001</v>
      </c>
      <c r="P1203" t="str">
        <f>TEXT(Table1[[#All],[Order Date]],"dddd")</f>
        <v>Friday</v>
      </c>
      <c r="Q1203" t="str">
        <f>TEXT(Table1[[#All],[Order Date]],"mmm")</f>
        <v>Mar</v>
      </c>
      <c r="R1203" t="str">
        <f>IF(Table1[[#All],[Total Price (?)]]&gt;1000,"High Value","Normal")</f>
        <v>High Value</v>
      </c>
    </row>
    <row r="1204" spans="1:18" x14ac:dyDescent="0.3">
      <c r="A1204" t="s">
        <v>1265</v>
      </c>
      <c r="B1204" s="1">
        <v>45694</v>
      </c>
      <c r="C1204" t="s">
        <v>48</v>
      </c>
      <c r="D1204" t="s">
        <v>25</v>
      </c>
      <c r="E1204" t="s">
        <v>99</v>
      </c>
      <c r="F1204" t="s">
        <v>115</v>
      </c>
      <c r="G1204">
        <v>1</v>
      </c>
      <c r="H1204">
        <v>3826.15</v>
      </c>
      <c r="I1204">
        <v>0.17</v>
      </c>
      <c r="J1204">
        <v>3175.7</v>
      </c>
      <c r="K1204" t="s">
        <v>19</v>
      </c>
      <c r="L1204" t="s">
        <v>20</v>
      </c>
      <c r="M1204" t="s">
        <v>54</v>
      </c>
      <c r="N1204" t="s">
        <v>22</v>
      </c>
      <c r="O1204">
        <f>Table1[[#All],[Quantity]]*Table1[[#All],[Unit Price (?)]]</f>
        <v>3826.15</v>
      </c>
      <c r="P1204" t="str">
        <f>TEXT(Table1[[#All],[Order Date]],"dddd")</f>
        <v>Thursday</v>
      </c>
      <c r="Q1204" t="str">
        <f>TEXT(Table1[[#All],[Order Date]],"mmm")</f>
        <v>Feb</v>
      </c>
      <c r="R1204" t="str">
        <f>IF(Table1[[#All],[Total Price (?)]]&gt;1000,"High Value","Normal")</f>
        <v>High Value</v>
      </c>
    </row>
    <row r="1205" spans="1:18" x14ac:dyDescent="0.3">
      <c r="A1205" t="s">
        <v>1266</v>
      </c>
      <c r="B1205" s="1">
        <v>45718</v>
      </c>
      <c r="C1205" t="s">
        <v>52</v>
      </c>
      <c r="D1205" t="s">
        <v>25</v>
      </c>
      <c r="E1205" t="s">
        <v>27</v>
      </c>
      <c r="F1205" t="s">
        <v>68</v>
      </c>
      <c r="G1205">
        <v>2</v>
      </c>
      <c r="H1205">
        <v>1605.28</v>
      </c>
      <c r="I1205">
        <v>0.08</v>
      </c>
      <c r="J1205">
        <v>2953.72</v>
      </c>
      <c r="K1205" t="s">
        <v>58</v>
      </c>
      <c r="L1205" t="s">
        <v>20</v>
      </c>
      <c r="M1205" t="s">
        <v>21</v>
      </c>
      <c r="N1205" t="s">
        <v>22</v>
      </c>
      <c r="O1205">
        <f>Table1[[#All],[Quantity]]*Table1[[#All],[Unit Price (?)]]</f>
        <v>3210.56</v>
      </c>
      <c r="P1205" t="str">
        <f>TEXT(Table1[[#All],[Order Date]],"dddd")</f>
        <v>Sunday</v>
      </c>
      <c r="Q1205" t="str">
        <f>TEXT(Table1[[#All],[Order Date]],"mmm")</f>
        <v>Mar</v>
      </c>
      <c r="R1205" t="str">
        <f>IF(Table1[[#All],[Total Price (?)]]&gt;1000,"High Value","Normal")</f>
        <v>High Value</v>
      </c>
    </row>
    <row r="1206" spans="1:18" x14ac:dyDescent="0.3">
      <c r="A1206" t="s">
        <v>1267</v>
      </c>
      <c r="B1206" s="1">
        <v>45662</v>
      </c>
      <c r="C1206" t="s">
        <v>36</v>
      </c>
      <c r="D1206" t="s">
        <v>43</v>
      </c>
      <c r="E1206" t="s">
        <v>99</v>
      </c>
      <c r="F1206" t="s">
        <v>100</v>
      </c>
      <c r="G1206">
        <v>2</v>
      </c>
      <c r="H1206">
        <v>1040.33</v>
      </c>
      <c r="I1206">
        <v>0.1</v>
      </c>
      <c r="J1206">
        <v>1872.59</v>
      </c>
      <c r="K1206" t="s">
        <v>19</v>
      </c>
      <c r="L1206" t="s">
        <v>34</v>
      </c>
      <c r="M1206" t="s">
        <v>54</v>
      </c>
      <c r="N1206" t="s">
        <v>22</v>
      </c>
      <c r="O1206">
        <f>Table1[[#All],[Quantity]]*Table1[[#All],[Unit Price (?)]]</f>
        <v>2080.66</v>
      </c>
      <c r="P1206" t="str">
        <f>TEXT(Table1[[#All],[Order Date]],"dddd")</f>
        <v>Sunday</v>
      </c>
      <c r="Q1206" t="str">
        <f>TEXT(Table1[[#All],[Order Date]],"mmm")</f>
        <v>Jan</v>
      </c>
      <c r="R1206" t="str">
        <f>IF(Table1[[#All],[Total Price (?)]]&gt;1000,"High Value","Normal")</f>
        <v>High Value</v>
      </c>
    </row>
    <row r="1207" spans="1:18" x14ac:dyDescent="0.3">
      <c r="A1207" t="s">
        <v>1268</v>
      </c>
      <c r="B1207" s="1">
        <v>45797</v>
      </c>
      <c r="C1207" t="s">
        <v>36</v>
      </c>
      <c r="D1207" t="s">
        <v>43</v>
      </c>
      <c r="E1207" t="s">
        <v>61</v>
      </c>
      <c r="F1207" t="s">
        <v>66</v>
      </c>
      <c r="G1207">
        <v>5</v>
      </c>
      <c r="H1207">
        <v>3964.87</v>
      </c>
      <c r="I1207">
        <v>0.19</v>
      </c>
      <c r="J1207">
        <v>16057.72</v>
      </c>
      <c r="K1207" t="s">
        <v>41</v>
      </c>
      <c r="L1207" t="s">
        <v>29</v>
      </c>
      <c r="M1207" t="s">
        <v>30</v>
      </c>
      <c r="N1207" t="s">
        <v>37</v>
      </c>
      <c r="O1207">
        <f>Table1[[#All],[Quantity]]*Table1[[#All],[Unit Price (?)]]</f>
        <v>19824.349999999999</v>
      </c>
      <c r="P1207" t="str">
        <f>TEXT(Table1[[#All],[Order Date]],"dddd")</f>
        <v>Tuesday</v>
      </c>
      <c r="Q1207" t="str">
        <f>TEXT(Table1[[#All],[Order Date]],"mmm")</f>
        <v>May</v>
      </c>
      <c r="R1207" t="str">
        <f>IF(Table1[[#All],[Total Price (?)]]&gt;1000,"High Value","Normal")</f>
        <v>High Value</v>
      </c>
    </row>
    <row r="1208" spans="1:18" x14ac:dyDescent="0.3">
      <c r="A1208" t="s">
        <v>1269</v>
      </c>
      <c r="B1208" s="1">
        <v>45763</v>
      </c>
      <c r="C1208" t="s">
        <v>15</v>
      </c>
      <c r="D1208" t="s">
        <v>25</v>
      </c>
      <c r="E1208" t="s">
        <v>49</v>
      </c>
      <c r="F1208" t="s">
        <v>53</v>
      </c>
      <c r="G1208">
        <v>3</v>
      </c>
      <c r="H1208">
        <v>3660.88</v>
      </c>
      <c r="I1208">
        <v>0.21</v>
      </c>
      <c r="J1208">
        <v>8676.2900000000009</v>
      </c>
      <c r="K1208" t="s">
        <v>19</v>
      </c>
      <c r="L1208" t="s">
        <v>34</v>
      </c>
      <c r="M1208" t="s">
        <v>30</v>
      </c>
      <c r="N1208" t="s">
        <v>22</v>
      </c>
      <c r="O1208">
        <f>Table1[[#All],[Quantity]]*Table1[[#All],[Unit Price (?)]]</f>
        <v>10982.64</v>
      </c>
      <c r="P1208" t="str">
        <f>TEXT(Table1[[#All],[Order Date]],"dddd")</f>
        <v>Wednesday</v>
      </c>
      <c r="Q1208" t="str">
        <f>TEXT(Table1[[#All],[Order Date]],"mmm")</f>
        <v>Apr</v>
      </c>
      <c r="R1208" t="str">
        <f>IF(Table1[[#All],[Total Price (?)]]&gt;1000,"High Value","Normal")</f>
        <v>High Value</v>
      </c>
    </row>
    <row r="1209" spans="1:18" x14ac:dyDescent="0.3">
      <c r="A1209" t="s">
        <v>1270</v>
      </c>
      <c r="B1209" s="1">
        <v>45684</v>
      </c>
      <c r="C1209" t="s">
        <v>48</v>
      </c>
      <c r="D1209" t="s">
        <v>25</v>
      </c>
      <c r="E1209" t="s">
        <v>27</v>
      </c>
      <c r="F1209" t="s">
        <v>87</v>
      </c>
      <c r="G1209">
        <v>1</v>
      </c>
      <c r="H1209">
        <v>4846.53</v>
      </c>
      <c r="I1209">
        <v>0.09</v>
      </c>
      <c r="J1209">
        <v>4410.34</v>
      </c>
      <c r="K1209" t="s">
        <v>58</v>
      </c>
      <c r="L1209" t="s">
        <v>34</v>
      </c>
      <c r="M1209" t="s">
        <v>54</v>
      </c>
      <c r="N1209" t="s">
        <v>88</v>
      </c>
      <c r="O1209">
        <f>Table1[[#All],[Quantity]]*Table1[[#All],[Unit Price (?)]]</f>
        <v>4846.53</v>
      </c>
      <c r="P1209" t="str">
        <f>TEXT(Table1[[#All],[Order Date]],"dddd")</f>
        <v>Monday</v>
      </c>
      <c r="Q1209" t="str">
        <f>TEXT(Table1[[#All],[Order Date]],"mmm")</f>
        <v>Jan</v>
      </c>
      <c r="R1209" t="str">
        <f>IF(Table1[[#All],[Total Price (?)]]&gt;1000,"High Value","Normal")</f>
        <v>High Value</v>
      </c>
    </row>
    <row r="1210" spans="1:18" x14ac:dyDescent="0.3">
      <c r="A1210" t="s">
        <v>1271</v>
      </c>
      <c r="B1210" s="1">
        <v>45713</v>
      </c>
      <c r="C1210" t="s">
        <v>52</v>
      </c>
      <c r="D1210" t="s">
        <v>39</v>
      </c>
      <c r="E1210" t="s">
        <v>17</v>
      </c>
      <c r="F1210" t="s">
        <v>44</v>
      </c>
      <c r="G1210">
        <v>3</v>
      </c>
      <c r="H1210">
        <v>216.03</v>
      </c>
      <c r="I1210">
        <v>0.11</v>
      </c>
      <c r="J1210">
        <v>576.79999999999995</v>
      </c>
      <c r="K1210" t="s">
        <v>46</v>
      </c>
      <c r="L1210" t="s">
        <v>34</v>
      </c>
      <c r="M1210" t="s">
        <v>30</v>
      </c>
      <c r="N1210" t="s">
        <v>22</v>
      </c>
      <c r="O1210">
        <f>Table1[[#All],[Quantity]]*Table1[[#All],[Unit Price (?)]]</f>
        <v>648.09</v>
      </c>
      <c r="P1210" t="str">
        <f>TEXT(Table1[[#All],[Order Date]],"dddd")</f>
        <v>Tuesday</v>
      </c>
      <c r="Q1210" t="str">
        <f>TEXT(Table1[[#All],[Order Date]],"mmm")</f>
        <v>Feb</v>
      </c>
      <c r="R1210" t="str">
        <f>IF(Table1[[#All],[Total Price (?)]]&gt;1000,"High Value","Normal")</f>
        <v>Normal</v>
      </c>
    </row>
    <row r="1211" spans="1:18" x14ac:dyDescent="0.3">
      <c r="A1211" t="s">
        <v>1272</v>
      </c>
      <c r="B1211" s="1">
        <v>45668</v>
      </c>
      <c r="C1211" t="s">
        <v>36</v>
      </c>
      <c r="D1211" t="s">
        <v>25</v>
      </c>
      <c r="E1211" t="s">
        <v>61</v>
      </c>
      <c r="F1211" t="s">
        <v>75</v>
      </c>
      <c r="G1211">
        <v>3</v>
      </c>
      <c r="H1211">
        <v>623.49</v>
      </c>
      <c r="I1211">
        <v>0.06</v>
      </c>
      <c r="J1211">
        <v>1758.24</v>
      </c>
      <c r="K1211" t="s">
        <v>33</v>
      </c>
      <c r="L1211" t="s">
        <v>34</v>
      </c>
      <c r="M1211" t="s">
        <v>30</v>
      </c>
      <c r="N1211" t="s">
        <v>37</v>
      </c>
      <c r="O1211">
        <f>Table1[[#All],[Quantity]]*Table1[[#All],[Unit Price (?)]]</f>
        <v>1870.47</v>
      </c>
      <c r="P1211" t="str">
        <f>TEXT(Table1[[#All],[Order Date]],"dddd")</f>
        <v>Saturday</v>
      </c>
      <c r="Q1211" t="str">
        <f>TEXT(Table1[[#All],[Order Date]],"mmm")</f>
        <v>Jan</v>
      </c>
      <c r="R1211" t="str">
        <f>IF(Table1[[#All],[Total Price (?)]]&gt;1000,"High Value","Normal")</f>
        <v>High Value</v>
      </c>
    </row>
    <row r="1212" spans="1:18" x14ac:dyDescent="0.3">
      <c r="A1212" t="s">
        <v>1273</v>
      </c>
      <c r="B1212" s="1">
        <v>45670</v>
      </c>
      <c r="C1212" t="s">
        <v>24</v>
      </c>
      <c r="D1212" t="s">
        <v>25</v>
      </c>
      <c r="E1212" t="s">
        <v>27</v>
      </c>
      <c r="F1212" t="s">
        <v>87</v>
      </c>
      <c r="G1212">
        <v>4</v>
      </c>
      <c r="H1212">
        <v>1324.25</v>
      </c>
      <c r="I1212">
        <v>0.25</v>
      </c>
      <c r="J1212">
        <v>3972.75</v>
      </c>
      <c r="K1212" t="s">
        <v>41</v>
      </c>
      <c r="L1212" t="s">
        <v>29</v>
      </c>
      <c r="M1212" t="s">
        <v>21</v>
      </c>
      <c r="N1212" t="s">
        <v>22</v>
      </c>
      <c r="O1212">
        <f>Table1[[#All],[Quantity]]*Table1[[#All],[Unit Price (?)]]</f>
        <v>5297</v>
      </c>
      <c r="P1212" t="str">
        <f>TEXT(Table1[[#All],[Order Date]],"dddd")</f>
        <v>Monday</v>
      </c>
      <c r="Q1212" t="str">
        <f>TEXT(Table1[[#All],[Order Date]],"mmm")</f>
        <v>Jan</v>
      </c>
      <c r="R1212" t="str">
        <f>IF(Table1[[#All],[Total Price (?)]]&gt;1000,"High Value","Normal")</f>
        <v>High Value</v>
      </c>
    </row>
    <row r="1213" spans="1:18" x14ac:dyDescent="0.3">
      <c r="A1213" t="s">
        <v>1274</v>
      </c>
      <c r="B1213" s="1">
        <v>45767</v>
      </c>
      <c r="C1213" t="s">
        <v>15</v>
      </c>
      <c r="D1213" t="s">
        <v>16</v>
      </c>
      <c r="E1213" t="s">
        <v>17</v>
      </c>
      <c r="F1213" t="s">
        <v>32</v>
      </c>
      <c r="G1213">
        <v>4</v>
      </c>
      <c r="H1213">
        <v>4625.67</v>
      </c>
      <c r="I1213">
        <v>0.03</v>
      </c>
      <c r="J1213">
        <v>17947.599999999999</v>
      </c>
      <c r="K1213" t="s">
        <v>33</v>
      </c>
      <c r="L1213" t="s">
        <v>34</v>
      </c>
      <c r="M1213" t="s">
        <v>54</v>
      </c>
      <c r="N1213" t="s">
        <v>22</v>
      </c>
      <c r="O1213">
        <f>Table1[[#All],[Quantity]]*Table1[[#All],[Unit Price (?)]]</f>
        <v>18502.68</v>
      </c>
      <c r="P1213" t="str">
        <f>TEXT(Table1[[#All],[Order Date]],"dddd")</f>
        <v>Sunday</v>
      </c>
      <c r="Q1213" t="str">
        <f>TEXT(Table1[[#All],[Order Date]],"mmm")</f>
        <v>Apr</v>
      </c>
      <c r="R1213" t="str">
        <f>IF(Table1[[#All],[Total Price (?)]]&gt;1000,"High Value","Normal")</f>
        <v>High Value</v>
      </c>
    </row>
    <row r="1214" spans="1:18" x14ac:dyDescent="0.3">
      <c r="A1214" t="s">
        <v>1275</v>
      </c>
      <c r="B1214" s="1">
        <v>45716</v>
      </c>
      <c r="C1214" t="s">
        <v>52</v>
      </c>
      <c r="D1214" t="s">
        <v>39</v>
      </c>
      <c r="E1214" t="s">
        <v>49</v>
      </c>
      <c r="F1214" t="s">
        <v>73</v>
      </c>
      <c r="G1214">
        <v>5</v>
      </c>
      <c r="H1214">
        <v>1079.97</v>
      </c>
      <c r="I1214">
        <v>0.02</v>
      </c>
      <c r="J1214">
        <v>5291.85</v>
      </c>
      <c r="K1214" t="s">
        <v>33</v>
      </c>
      <c r="L1214" t="s">
        <v>34</v>
      </c>
      <c r="M1214" t="s">
        <v>54</v>
      </c>
      <c r="N1214" t="s">
        <v>22</v>
      </c>
      <c r="O1214">
        <f>Table1[[#All],[Quantity]]*Table1[[#All],[Unit Price (?)]]</f>
        <v>5399.85</v>
      </c>
      <c r="P1214" t="str">
        <f>TEXT(Table1[[#All],[Order Date]],"dddd")</f>
        <v>Friday</v>
      </c>
      <c r="Q1214" t="str">
        <f>TEXT(Table1[[#All],[Order Date]],"mmm")</f>
        <v>Feb</v>
      </c>
      <c r="R1214" t="str">
        <f>IF(Table1[[#All],[Total Price (?)]]&gt;1000,"High Value","Normal")</f>
        <v>High Value</v>
      </c>
    </row>
    <row r="1215" spans="1:18" x14ac:dyDescent="0.3">
      <c r="A1215" t="s">
        <v>1276</v>
      </c>
      <c r="B1215" s="1">
        <v>45795</v>
      </c>
      <c r="C1215" t="s">
        <v>24</v>
      </c>
      <c r="D1215" t="s">
        <v>43</v>
      </c>
      <c r="E1215" t="s">
        <v>99</v>
      </c>
      <c r="F1215" t="s">
        <v>111</v>
      </c>
      <c r="G1215">
        <v>3</v>
      </c>
      <c r="H1215">
        <v>4790.28</v>
      </c>
      <c r="I1215">
        <v>0.09</v>
      </c>
      <c r="J1215">
        <v>13077.46</v>
      </c>
      <c r="K1215" t="s">
        <v>19</v>
      </c>
      <c r="L1215" t="s">
        <v>20</v>
      </c>
      <c r="M1215" t="s">
        <v>30</v>
      </c>
      <c r="N1215" t="s">
        <v>22</v>
      </c>
      <c r="O1215">
        <f>Table1[[#All],[Quantity]]*Table1[[#All],[Unit Price (?)]]</f>
        <v>14370.84</v>
      </c>
      <c r="P1215" t="str">
        <f>TEXT(Table1[[#All],[Order Date]],"dddd")</f>
        <v>Sunday</v>
      </c>
      <c r="Q1215" t="str">
        <f>TEXT(Table1[[#All],[Order Date]],"mmm")</f>
        <v>May</v>
      </c>
      <c r="R1215" t="str">
        <f>IF(Table1[[#All],[Total Price (?)]]&gt;1000,"High Value","Normal")</f>
        <v>High Value</v>
      </c>
    </row>
    <row r="1216" spans="1:18" x14ac:dyDescent="0.3">
      <c r="A1216" t="s">
        <v>1277</v>
      </c>
      <c r="B1216" s="1">
        <v>45684</v>
      </c>
      <c r="C1216" t="s">
        <v>48</v>
      </c>
      <c r="D1216" t="s">
        <v>16</v>
      </c>
      <c r="E1216" t="s">
        <v>49</v>
      </c>
      <c r="F1216" t="s">
        <v>73</v>
      </c>
      <c r="G1216">
        <v>2</v>
      </c>
      <c r="H1216">
        <v>3420.58</v>
      </c>
      <c r="I1216">
        <v>0.18</v>
      </c>
      <c r="J1216">
        <v>5609.75</v>
      </c>
      <c r="K1216" t="s">
        <v>46</v>
      </c>
      <c r="L1216" t="s">
        <v>34</v>
      </c>
      <c r="M1216" t="s">
        <v>30</v>
      </c>
      <c r="N1216" t="s">
        <v>22</v>
      </c>
      <c r="O1216">
        <f>Table1[[#All],[Quantity]]*Table1[[#All],[Unit Price (?)]]</f>
        <v>6841.16</v>
      </c>
      <c r="P1216" t="str">
        <f>TEXT(Table1[[#All],[Order Date]],"dddd")</f>
        <v>Monday</v>
      </c>
      <c r="Q1216" t="str">
        <f>TEXT(Table1[[#All],[Order Date]],"mmm")</f>
        <v>Jan</v>
      </c>
      <c r="R1216" t="str">
        <f>IF(Table1[[#All],[Total Price (?)]]&gt;1000,"High Value","Normal")</f>
        <v>High Value</v>
      </c>
    </row>
    <row r="1217" spans="1:18" x14ac:dyDescent="0.3">
      <c r="A1217" t="s">
        <v>1278</v>
      </c>
      <c r="B1217" s="1">
        <v>45783</v>
      </c>
      <c r="C1217" t="s">
        <v>48</v>
      </c>
      <c r="D1217" t="s">
        <v>16</v>
      </c>
      <c r="E1217" t="s">
        <v>49</v>
      </c>
      <c r="F1217" t="s">
        <v>50</v>
      </c>
      <c r="G1217">
        <v>5</v>
      </c>
      <c r="H1217">
        <v>395.4</v>
      </c>
      <c r="I1217">
        <v>0.25</v>
      </c>
      <c r="J1217">
        <v>1482.75</v>
      </c>
      <c r="K1217" t="s">
        <v>41</v>
      </c>
      <c r="L1217" t="s">
        <v>20</v>
      </c>
      <c r="M1217" t="s">
        <v>30</v>
      </c>
      <c r="N1217" t="s">
        <v>22</v>
      </c>
      <c r="O1217">
        <f>Table1[[#All],[Quantity]]*Table1[[#All],[Unit Price (?)]]</f>
        <v>1977</v>
      </c>
      <c r="P1217" t="str">
        <f>TEXT(Table1[[#All],[Order Date]],"dddd")</f>
        <v>Tuesday</v>
      </c>
      <c r="Q1217" t="str">
        <f>TEXT(Table1[[#All],[Order Date]],"mmm")</f>
        <v>May</v>
      </c>
      <c r="R1217" t="str">
        <f>IF(Table1[[#All],[Total Price (?)]]&gt;1000,"High Value","Normal")</f>
        <v>High Value</v>
      </c>
    </row>
    <row r="1218" spans="1:18" x14ac:dyDescent="0.3">
      <c r="A1218" t="s">
        <v>1279</v>
      </c>
      <c r="B1218" s="1">
        <v>45828</v>
      </c>
      <c r="C1218" t="s">
        <v>36</v>
      </c>
      <c r="D1218" t="s">
        <v>16</v>
      </c>
      <c r="E1218" t="s">
        <v>17</v>
      </c>
      <c r="F1218" t="s">
        <v>32</v>
      </c>
      <c r="G1218">
        <v>5</v>
      </c>
      <c r="H1218">
        <v>1735.39</v>
      </c>
      <c r="I1218">
        <v>0.02</v>
      </c>
      <c r="J1218">
        <v>8503.41</v>
      </c>
      <c r="K1218" t="s">
        <v>41</v>
      </c>
      <c r="L1218" t="s">
        <v>34</v>
      </c>
      <c r="M1218" t="s">
        <v>54</v>
      </c>
      <c r="N1218" t="s">
        <v>59</v>
      </c>
      <c r="O1218">
        <f>Table1[[#All],[Quantity]]*Table1[[#All],[Unit Price (?)]]</f>
        <v>8676.9500000000007</v>
      </c>
      <c r="P1218" t="str">
        <f>TEXT(Table1[[#All],[Order Date]],"dddd")</f>
        <v>Friday</v>
      </c>
      <c r="Q1218" t="str">
        <f>TEXT(Table1[[#All],[Order Date]],"mmm")</f>
        <v>Jun</v>
      </c>
      <c r="R1218" t="str">
        <f>IF(Table1[[#All],[Total Price (?)]]&gt;1000,"High Value","Normal")</f>
        <v>High Value</v>
      </c>
    </row>
    <row r="1219" spans="1:18" x14ac:dyDescent="0.3">
      <c r="A1219" t="s">
        <v>1280</v>
      </c>
      <c r="B1219" s="1">
        <v>45806</v>
      </c>
      <c r="C1219" t="s">
        <v>36</v>
      </c>
      <c r="D1219" t="s">
        <v>25</v>
      </c>
      <c r="E1219" t="s">
        <v>17</v>
      </c>
      <c r="F1219" t="s">
        <v>44</v>
      </c>
      <c r="G1219">
        <v>4</v>
      </c>
      <c r="H1219">
        <v>3089.15</v>
      </c>
      <c r="I1219">
        <v>0.25</v>
      </c>
      <c r="J1219">
        <v>9267.4500000000007</v>
      </c>
      <c r="K1219" t="s">
        <v>58</v>
      </c>
      <c r="L1219" t="s">
        <v>29</v>
      </c>
      <c r="M1219" t="s">
        <v>54</v>
      </c>
      <c r="N1219" t="s">
        <v>88</v>
      </c>
      <c r="O1219">
        <f>Table1[[#All],[Quantity]]*Table1[[#All],[Unit Price (?)]]</f>
        <v>12356.6</v>
      </c>
      <c r="P1219" t="str">
        <f>TEXT(Table1[[#All],[Order Date]],"dddd")</f>
        <v>Thursday</v>
      </c>
      <c r="Q1219" t="str">
        <f>TEXT(Table1[[#All],[Order Date]],"mmm")</f>
        <v>May</v>
      </c>
      <c r="R1219" t="str">
        <f>IF(Table1[[#All],[Total Price (?)]]&gt;1000,"High Value","Normal")</f>
        <v>High Value</v>
      </c>
    </row>
    <row r="1220" spans="1:18" x14ac:dyDescent="0.3">
      <c r="A1220" t="s">
        <v>1281</v>
      </c>
      <c r="B1220" s="1">
        <v>45755</v>
      </c>
      <c r="C1220" t="s">
        <v>52</v>
      </c>
      <c r="D1220" t="s">
        <v>25</v>
      </c>
      <c r="E1220" t="s">
        <v>49</v>
      </c>
      <c r="F1220" t="s">
        <v>50</v>
      </c>
      <c r="G1220">
        <v>2</v>
      </c>
      <c r="H1220">
        <v>3274.42</v>
      </c>
      <c r="I1220">
        <v>0.08</v>
      </c>
      <c r="J1220">
        <v>6024.93</v>
      </c>
      <c r="K1220" t="s">
        <v>46</v>
      </c>
      <c r="L1220" t="s">
        <v>20</v>
      </c>
      <c r="M1220" t="s">
        <v>21</v>
      </c>
      <c r="N1220" t="s">
        <v>37</v>
      </c>
      <c r="O1220">
        <f>Table1[[#All],[Quantity]]*Table1[[#All],[Unit Price (?)]]</f>
        <v>6548.84</v>
      </c>
      <c r="P1220" t="str">
        <f>TEXT(Table1[[#All],[Order Date]],"dddd")</f>
        <v>Tuesday</v>
      </c>
      <c r="Q1220" t="str">
        <f>TEXT(Table1[[#All],[Order Date]],"mmm")</f>
        <v>Apr</v>
      </c>
      <c r="R1220" t="str">
        <f>IF(Table1[[#All],[Total Price (?)]]&gt;1000,"High Value","Normal")</f>
        <v>High Value</v>
      </c>
    </row>
    <row r="1221" spans="1:18" x14ac:dyDescent="0.3">
      <c r="A1221" t="s">
        <v>1282</v>
      </c>
      <c r="B1221" s="1">
        <v>45679</v>
      </c>
      <c r="C1221" t="s">
        <v>24</v>
      </c>
      <c r="D1221" t="s">
        <v>39</v>
      </c>
      <c r="E1221" t="s">
        <v>49</v>
      </c>
      <c r="F1221" t="s">
        <v>53</v>
      </c>
      <c r="G1221">
        <v>1</v>
      </c>
      <c r="H1221">
        <v>141.84</v>
      </c>
      <c r="I1221">
        <v>0.08</v>
      </c>
      <c r="J1221">
        <v>130.49</v>
      </c>
      <c r="K1221" t="s">
        <v>33</v>
      </c>
      <c r="L1221" t="s">
        <v>34</v>
      </c>
      <c r="M1221" t="s">
        <v>54</v>
      </c>
      <c r="N1221" t="s">
        <v>37</v>
      </c>
      <c r="O1221">
        <f>Table1[[#All],[Quantity]]*Table1[[#All],[Unit Price (?)]]</f>
        <v>141.84</v>
      </c>
      <c r="P1221" t="str">
        <f>TEXT(Table1[[#All],[Order Date]],"dddd")</f>
        <v>Wednesday</v>
      </c>
      <c r="Q1221" t="str">
        <f>TEXT(Table1[[#All],[Order Date]],"mmm")</f>
        <v>Jan</v>
      </c>
      <c r="R1221" t="str">
        <f>IF(Table1[[#All],[Total Price (?)]]&gt;1000,"High Value","Normal")</f>
        <v>Normal</v>
      </c>
    </row>
    <row r="1222" spans="1:18" x14ac:dyDescent="0.3">
      <c r="A1222" t="s">
        <v>1283</v>
      </c>
      <c r="B1222" s="1">
        <v>45829</v>
      </c>
      <c r="C1222" t="s">
        <v>36</v>
      </c>
      <c r="D1222" t="s">
        <v>43</v>
      </c>
      <c r="E1222" t="s">
        <v>27</v>
      </c>
      <c r="F1222" t="s">
        <v>28</v>
      </c>
      <c r="G1222">
        <v>2</v>
      </c>
      <c r="H1222">
        <v>3872.65</v>
      </c>
      <c r="I1222">
        <v>0.14000000000000001</v>
      </c>
      <c r="J1222">
        <v>6660.96</v>
      </c>
      <c r="K1222" t="s">
        <v>41</v>
      </c>
      <c r="L1222" t="s">
        <v>29</v>
      </c>
      <c r="M1222" t="s">
        <v>30</v>
      </c>
      <c r="N1222" t="s">
        <v>22</v>
      </c>
      <c r="O1222">
        <f>Table1[[#All],[Quantity]]*Table1[[#All],[Unit Price (?)]]</f>
        <v>7745.3</v>
      </c>
      <c r="P1222" t="str">
        <f>TEXT(Table1[[#All],[Order Date]],"dddd")</f>
        <v>Saturday</v>
      </c>
      <c r="Q1222" t="str">
        <f>TEXT(Table1[[#All],[Order Date]],"mmm")</f>
        <v>Jun</v>
      </c>
      <c r="R1222" t="str">
        <f>IF(Table1[[#All],[Total Price (?)]]&gt;1000,"High Value","Normal")</f>
        <v>High Value</v>
      </c>
    </row>
    <row r="1223" spans="1:18" x14ac:dyDescent="0.3">
      <c r="A1223" t="s">
        <v>1284</v>
      </c>
      <c r="B1223" s="1">
        <v>45662</v>
      </c>
      <c r="C1223" t="s">
        <v>15</v>
      </c>
      <c r="D1223" t="s">
        <v>43</v>
      </c>
      <c r="E1223" t="s">
        <v>61</v>
      </c>
      <c r="F1223" t="s">
        <v>75</v>
      </c>
      <c r="G1223">
        <v>1</v>
      </c>
      <c r="H1223">
        <v>2713.77</v>
      </c>
      <c r="I1223">
        <v>0.24</v>
      </c>
      <c r="J1223">
        <v>2062.4699999999998</v>
      </c>
      <c r="K1223" t="s">
        <v>19</v>
      </c>
      <c r="L1223" t="s">
        <v>20</v>
      </c>
      <c r="M1223" t="s">
        <v>54</v>
      </c>
      <c r="N1223" t="s">
        <v>22</v>
      </c>
      <c r="O1223">
        <f>Table1[[#All],[Quantity]]*Table1[[#All],[Unit Price (?)]]</f>
        <v>2713.77</v>
      </c>
      <c r="P1223" t="str">
        <f>TEXT(Table1[[#All],[Order Date]],"dddd")</f>
        <v>Sunday</v>
      </c>
      <c r="Q1223" t="str">
        <f>TEXT(Table1[[#All],[Order Date]],"mmm")</f>
        <v>Jan</v>
      </c>
      <c r="R1223" t="str">
        <f>IF(Table1[[#All],[Total Price (?)]]&gt;1000,"High Value","Normal")</f>
        <v>High Value</v>
      </c>
    </row>
    <row r="1224" spans="1:18" x14ac:dyDescent="0.3">
      <c r="A1224" t="s">
        <v>1285</v>
      </c>
      <c r="B1224" s="1">
        <v>45771</v>
      </c>
      <c r="C1224" t="s">
        <v>15</v>
      </c>
      <c r="D1224" t="s">
        <v>43</v>
      </c>
      <c r="E1224" t="s">
        <v>17</v>
      </c>
      <c r="F1224" t="s">
        <v>32</v>
      </c>
      <c r="G1224">
        <v>2</v>
      </c>
      <c r="H1224">
        <v>1088.3399999999999</v>
      </c>
      <c r="I1224">
        <v>0.04</v>
      </c>
      <c r="J1224">
        <v>2089.61</v>
      </c>
      <c r="K1224" t="s">
        <v>19</v>
      </c>
      <c r="L1224" t="s">
        <v>29</v>
      </c>
      <c r="M1224" t="s">
        <v>30</v>
      </c>
      <c r="N1224" t="s">
        <v>37</v>
      </c>
      <c r="O1224">
        <f>Table1[[#All],[Quantity]]*Table1[[#All],[Unit Price (?)]]</f>
        <v>2176.6799999999998</v>
      </c>
      <c r="P1224" t="str">
        <f>TEXT(Table1[[#All],[Order Date]],"dddd")</f>
        <v>Thursday</v>
      </c>
      <c r="Q1224" t="str">
        <f>TEXT(Table1[[#All],[Order Date]],"mmm")</f>
        <v>Apr</v>
      </c>
      <c r="R1224" t="str">
        <f>IF(Table1[[#All],[Total Price (?)]]&gt;1000,"High Value","Normal")</f>
        <v>High Value</v>
      </c>
    </row>
    <row r="1225" spans="1:18" x14ac:dyDescent="0.3">
      <c r="A1225" t="s">
        <v>1286</v>
      </c>
      <c r="B1225" s="1">
        <v>45715</v>
      </c>
      <c r="C1225" t="s">
        <v>24</v>
      </c>
      <c r="D1225" t="s">
        <v>43</v>
      </c>
      <c r="E1225" t="s">
        <v>61</v>
      </c>
      <c r="F1225" t="s">
        <v>66</v>
      </c>
      <c r="G1225">
        <v>1</v>
      </c>
      <c r="H1225">
        <v>4187.37</v>
      </c>
      <c r="I1225">
        <v>0.09</v>
      </c>
      <c r="J1225">
        <v>3810.51</v>
      </c>
      <c r="K1225" t="s">
        <v>19</v>
      </c>
      <c r="L1225" t="s">
        <v>34</v>
      </c>
      <c r="M1225" t="s">
        <v>30</v>
      </c>
      <c r="N1225" t="s">
        <v>22</v>
      </c>
      <c r="O1225">
        <f>Table1[[#All],[Quantity]]*Table1[[#All],[Unit Price (?)]]</f>
        <v>4187.37</v>
      </c>
      <c r="P1225" t="str">
        <f>TEXT(Table1[[#All],[Order Date]],"dddd")</f>
        <v>Thursday</v>
      </c>
      <c r="Q1225" t="str">
        <f>TEXT(Table1[[#All],[Order Date]],"mmm")</f>
        <v>Feb</v>
      </c>
      <c r="R1225" t="str">
        <f>IF(Table1[[#All],[Total Price (?)]]&gt;1000,"High Value","Normal")</f>
        <v>High Value</v>
      </c>
    </row>
    <row r="1226" spans="1:18" x14ac:dyDescent="0.3">
      <c r="A1226" t="s">
        <v>1287</v>
      </c>
      <c r="B1226" s="1">
        <v>45751</v>
      </c>
      <c r="C1226" t="s">
        <v>48</v>
      </c>
      <c r="D1226" t="s">
        <v>16</v>
      </c>
      <c r="E1226" t="s">
        <v>49</v>
      </c>
      <c r="F1226" t="s">
        <v>50</v>
      </c>
      <c r="G1226">
        <v>4</v>
      </c>
      <c r="H1226">
        <v>2992.06</v>
      </c>
      <c r="I1226">
        <v>0.03</v>
      </c>
      <c r="J1226">
        <v>11609.19</v>
      </c>
      <c r="K1226" t="s">
        <v>19</v>
      </c>
      <c r="L1226" t="s">
        <v>20</v>
      </c>
      <c r="M1226" t="s">
        <v>54</v>
      </c>
      <c r="N1226" t="s">
        <v>22</v>
      </c>
      <c r="O1226">
        <f>Table1[[#All],[Quantity]]*Table1[[#All],[Unit Price (?)]]</f>
        <v>11968.24</v>
      </c>
      <c r="P1226" t="str">
        <f>TEXT(Table1[[#All],[Order Date]],"dddd")</f>
        <v>Friday</v>
      </c>
      <c r="Q1226" t="str">
        <f>TEXT(Table1[[#All],[Order Date]],"mmm")</f>
        <v>Apr</v>
      </c>
      <c r="R1226" t="str">
        <f>IF(Table1[[#All],[Total Price (?)]]&gt;1000,"High Value","Normal")</f>
        <v>High Value</v>
      </c>
    </row>
    <row r="1227" spans="1:18" x14ac:dyDescent="0.3">
      <c r="A1227" t="s">
        <v>1288</v>
      </c>
      <c r="B1227" s="1">
        <v>45752</v>
      </c>
      <c r="C1227" t="s">
        <v>48</v>
      </c>
      <c r="D1227" t="s">
        <v>39</v>
      </c>
      <c r="E1227" t="s">
        <v>61</v>
      </c>
      <c r="F1227" t="s">
        <v>62</v>
      </c>
      <c r="G1227">
        <v>3</v>
      </c>
      <c r="H1227">
        <v>2134.13</v>
      </c>
      <c r="I1227">
        <v>0.05</v>
      </c>
      <c r="J1227">
        <v>6082.27</v>
      </c>
      <c r="K1227" t="s">
        <v>33</v>
      </c>
      <c r="L1227" t="s">
        <v>34</v>
      </c>
      <c r="M1227" t="s">
        <v>54</v>
      </c>
      <c r="N1227" t="s">
        <v>22</v>
      </c>
      <c r="O1227">
        <f>Table1[[#All],[Quantity]]*Table1[[#All],[Unit Price (?)]]</f>
        <v>6402.39</v>
      </c>
      <c r="P1227" t="str">
        <f>TEXT(Table1[[#All],[Order Date]],"dddd")</f>
        <v>Saturday</v>
      </c>
      <c r="Q1227" t="str">
        <f>TEXT(Table1[[#All],[Order Date]],"mmm")</f>
        <v>Apr</v>
      </c>
      <c r="R1227" t="str">
        <f>IF(Table1[[#All],[Total Price (?)]]&gt;1000,"High Value","Normal")</f>
        <v>High Value</v>
      </c>
    </row>
    <row r="1228" spans="1:18" x14ac:dyDescent="0.3">
      <c r="A1228" t="s">
        <v>1289</v>
      </c>
      <c r="B1228" s="1">
        <v>45745</v>
      </c>
      <c r="C1228" t="s">
        <v>48</v>
      </c>
      <c r="D1228" t="s">
        <v>39</v>
      </c>
      <c r="E1228" t="s">
        <v>27</v>
      </c>
      <c r="F1228" t="s">
        <v>79</v>
      </c>
      <c r="G1228">
        <v>4</v>
      </c>
      <c r="H1228">
        <v>4036.72</v>
      </c>
      <c r="I1228">
        <v>0.1</v>
      </c>
      <c r="J1228">
        <v>14532.19</v>
      </c>
      <c r="K1228" t="s">
        <v>58</v>
      </c>
      <c r="L1228" t="s">
        <v>20</v>
      </c>
      <c r="M1228" t="s">
        <v>54</v>
      </c>
      <c r="N1228" t="s">
        <v>22</v>
      </c>
      <c r="O1228">
        <f>Table1[[#All],[Quantity]]*Table1[[#All],[Unit Price (?)]]</f>
        <v>16146.88</v>
      </c>
      <c r="P1228" t="str">
        <f>TEXT(Table1[[#All],[Order Date]],"dddd")</f>
        <v>Saturday</v>
      </c>
      <c r="Q1228" t="str">
        <f>TEXT(Table1[[#All],[Order Date]],"mmm")</f>
        <v>Mar</v>
      </c>
      <c r="R1228" t="str">
        <f>IF(Table1[[#All],[Total Price (?)]]&gt;1000,"High Value","Normal")</f>
        <v>High Value</v>
      </c>
    </row>
    <row r="1229" spans="1:18" x14ac:dyDescent="0.3">
      <c r="A1229" t="s">
        <v>1290</v>
      </c>
      <c r="B1229" s="1">
        <v>45726</v>
      </c>
      <c r="C1229" t="s">
        <v>48</v>
      </c>
      <c r="D1229" t="s">
        <v>16</v>
      </c>
      <c r="E1229" t="s">
        <v>99</v>
      </c>
      <c r="F1229" t="s">
        <v>120</v>
      </c>
      <c r="G1229">
        <v>1</v>
      </c>
      <c r="H1229">
        <v>3287.12</v>
      </c>
      <c r="I1229">
        <v>0.2</v>
      </c>
      <c r="J1229">
        <v>2629.7</v>
      </c>
      <c r="K1229" t="s">
        <v>46</v>
      </c>
      <c r="L1229" t="s">
        <v>20</v>
      </c>
      <c r="M1229" t="s">
        <v>30</v>
      </c>
      <c r="N1229" t="s">
        <v>59</v>
      </c>
      <c r="O1229">
        <f>Table1[[#All],[Quantity]]*Table1[[#All],[Unit Price (?)]]</f>
        <v>3287.12</v>
      </c>
      <c r="P1229" t="str">
        <f>TEXT(Table1[[#All],[Order Date]],"dddd")</f>
        <v>Monday</v>
      </c>
      <c r="Q1229" t="str">
        <f>TEXT(Table1[[#All],[Order Date]],"mmm")</f>
        <v>Mar</v>
      </c>
      <c r="R1229" t="str">
        <f>IF(Table1[[#All],[Total Price (?)]]&gt;1000,"High Value","Normal")</f>
        <v>High Value</v>
      </c>
    </row>
    <row r="1230" spans="1:18" x14ac:dyDescent="0.3">
      <c r="A1230" t="s">
        <v>1291</v>
      </c>
      <c r="B1230" s="1">
        <v>45695</v>
      </c>
      <c r="C1230" t="s">
        <v>24</v>
      </c>
      <c r="D1230" t="s">
        <v>43</v>
      </c>
      <c r="E1230" t="s">
        <v>99</v>
      </c>
      <c r="F1230" t="s">
        <v>111</v>
      </c>
      <c r="G1230">
        <v>2</v>
      </c>
      <c r="H1230">
        <v>2866.44</v>
      </c>
      <c r="I1230">
        <v>0.03</v>
      </c>
      <c r="J1230">
        <v>5560.89</v>
      </c>
      <c r="K1230" t="s">
        <v>19</v>
      </c>
      <c r="L1230" t="s">
        <v>20</v>
      </c>
      <c r="M1230" t="s">
        <v>54</v>
      </c>
      <c r="N1230" t="s">
        <v>22</v>
      </c>
      <c r="O1230">
        <f>Table1[[#All],[Quantity]]*Table1[[#All],[Unit Price (?)]]</f>
        <v>5732.88</v>
      </c>
      <c r="P1230" t="str">
        <f>TEXT(Table1[[#All],[Order Date]],"dddd")</f>
        <v>Friday</v>
      </c>
      <c r="Q1230" t="str">
        <f>TEXT(Table1[[#All],[Order Date]],"mmm")</f>
        <v>Feb</v>
      </c>
      <c r="R1230" t="str">
        <f>IF(Table1[[#All],[Total Price (?)]]&gt;1000,"High Value","Normal")</f>
        <v>High Value</v>
      </c>
    </row>
    <row r="1231" spans="1:18" x14ac:dyDescent="0.3">
      <c r="A1231" t="s">
        <v>1292</v>
      </c>
      <c r="B1231" s="1">
        <v>45669</v>
      </c>
      <c r="C1231" t="s">
        <v>36</v>
      </c>
      <c r="D1231" t="s">
        <v>25</v>
      </c>
      <c r="E1231" t="s">
        <v>17</v>
      </c>
      <c r="F1231" t="s">
        <v>18</v>
      </c>
      <c r="G1231">
        <v>3</v>
      </c>
      <c r="H1231">
        <v>1921.35</v>
      </c>
      <c r="I1231">
        <v>0.1</v>
      </c>
      <c r="J1231">
        <v>5187.6400000000003</v>
      </c>
      <c r="K1231" t="s">
        <v>19</v>
      </c>
      <c r="L1231" t="s">
        <v>29</v>
      </c>
      <c r="M1231" t="s">
        <v>54</v>
      </c>
      <c r="N1231" t="s">
        <v>22</v>
      </c>
      <c r="O1231">
        <f>Table1[[#All],[Quantity]]*Table1[[#All],[Unit Price (?)]]</f>
        <v>5764.0499999999993</v>
      </c>
      <c r="P1231" t="str">
        <f>TEXT(Table1[[#All],[Order Date]],"dddd")</f>
        <v>Sunday</v>
      </c>
      <c r="Q1231" t="str">
        <f>TEXT(Table1[[#All],[Order Date]],"mmm")</f>
        <v>Jan</v>
      </c>
      <c r="R1231" t="str">
        <f>IF(Table1[[#All],[Total Price (?)]]&gt;1000,"High Value","Normal")</f>
        <v>High Value</v>
      </c>
    </row>
    <row r="1232" spans="1:18" x14ac:dyDescent="0.3">
      <c r="A1232" t="s">
        <v>1293</v>
      </c>
      <c r="B1232" s="1">
        <v>45709</v>
      </c>
      <c r="C1232" t="s">
        <v>52</v>
      </c>
      <c r="D1232" t="s">
        <v>39</v>
      </c>
      <c r="E1232" t="s">
        <v>27</v>
      </c>
      <c r="F1232" t="s">
        <v>68</v>
      </c>
      <c r="G1232">
        <v>2</v>
      </c>
      <c r="H1232">
        <v>246.9</v>
      </c>
      <c r="I1232">
        <v>0.05</v>
      </c>
      <c r="J1232">
        <v>469.11</v>
      </c>
      <c r="K1232" t="s">
        <v>46</v>
      </c>
      <c r="L1232" t="s">
        <v>20</v>
      </c>
      <c r="M1232" t="s">
        <v>30</v>
      </c>
      <c r="N1232" t="s">
        <v>37</v>
      </c>
      <c r="O1232">
        <f>Table1[[#All],[Quantity]]*Table1[[#All],[Unit Price (?)]]</f>
        <v>493.8</v>
      </c>
      <c r="P1232" t="str">
        <f>TEXT(Table1[[#All],[Order Date]],"dddd")</f>
        <v>Friday</v>
      </c>
      <c r="Q1232" t="str">
        <f>TEXT(Table1[[#All],[Order Date]],"mmm")</f>
        <v>Feb</v>
      </c>
      <c r="R1232" t="str">
        <f>IF(Table1[[#All],[Total Price (?)]]&gt;1000,"High Value","Normal")</f>
        <v>Normal</v>
      </c>
    </row>
    <row r="1233" spans="1:18" x14ac:dyDescent="0.3">
      <c r="A1233" t="s">
        <v>1294</v>
      </c>
      <c r="B1233" s="1">
        <v>45842</v>
      </c>
      <c r="C1233" t="s">
        <v>24</v>
      </c>
      <c r="D1233" t="s">
        <v>25</v>
      </c>
      <c r="E1233" t="s">
        <v>99</v>
      </c>
      <c r="F1233" t="s">
        <v>111</v>
      </c>
      <c r="G1233">
        <v>1</v>
      </c>
      <c r="H1233">
        <v>4455.22</v>
      </c>
      <c r="I1233">
        <v>0.01</v>
      </c>
      <c r="J1233">
        <v>4410.67</v>
      </c>
      <c r="K1233" t="s">
        <v>58</v>
      </c>
      <c r="L1233" t="s">
        <v>34</v>
      </c>
      <c r="M1233" t="s">
        <v>54</v>
      </c>
      <c r="N1233" t="s">
        <v>22</v>
      </c>
      <c r="O1233">
        <f>Table1[[#All],[Quantity]]*Table1[[#All],[Unit Price (?)]]</f>
        <v>4455.22</v>
      </c>
      <c r="P1233" t="str">
        <f>TEXT(Table1[[#All],[Order Date]],"dddd")</f>
        <v>Friday</v>
      </c>
      <c r="Q1233" t="str">
        <f>TEXT(Table1[[#All],[Order Date]],"mmm")</f>
        <v>Jul</v>
      </c>
      <c r="R1233" t="str">
        <f>IF(Table1[[#All],[Total Price (?)]]&gt;1000,"High Value","Normal")</f>
        <v>High Value</v>
      </c>
    </row>
    <row r="1234" spans="1:18" x14ac:dyDescent="0.3">
      <c r="A1234" t="s">
        <v>1295</v>
      </c>
      <c r="B1234" s="1">
        <v>45827</v>
      </c>
      <c r="C1234" t="s">
        <v>52</v>
      </c>
      <c r="D1234" t="s">
        <v>16</v>
      </c>
      <c r="E1234" t="s">
        <v>49</v>
      </c>
      <c r="F1234" t="s">
        <v>73</v>
      </c>
      <c r="G1234">
        <v>3</v>
      </c>
      <c r="H1234">
        <v>4496.22</v>
      </c>
      <c r="I1234">
        <v>0.02</v>
      </c>
      <c r="J1234">
        <v>13218.89</v>
      </c>
      <c r="K1234" t="s">
        <v>58</v>
      </c>
      <c r="L1234" t="s">
        <v>20</v>
      </c>
      <c r="M1234" t="s">
        <v>54</v>
      </c>
      <c r="N1234" t="s">
        <v>59</v>
      </c>
      <c r="O1234">
        <f>Table1[[#All],[Quantity]]*Table1[[#All],[Unit Price (?)]]</f>
        <v>13488.66</v>
      </c>
      <c r="P1234" t="str">
        <f>TEXT(Table1[[#All],[Order Date]],"dddd")</f>
        <v>Thursday</v>
      </c>
      <c r="Q1234" t="str">
        <f>TEXT(Table1[[#All],[Order Date]],"mmm")</f>
        <v>Jun</v>
      </c>
      <c r="R1234" t="str">
        <f>IF(Table1[[#All],[Total Price (?)]]&gt;1000,"High Value","Normal")</f>
        <v>High Value</v>
      </c>
    </row>
    <row r="1235" spans="1:18" x14ac:dyDescent="0.3">
      <c r="A1235" t="s">
        <v>1296</v>
      </c>
      <c r="B1235" s="1">
        <v>45752</v>
      </c>
      <c r="C1235" t="s">
        <v>36</v>
      </c>
      <c r="D1235" t="s">
        <v>25</v>
      </c>
      <c r="E1235" t="s">
        <v>49</v>
      </c>
      <c r="F1235" t="s">
        <v>50</v>
      </c>
      <c r="G1235">
        <v>5</v>
      </c>
      <c r="H1235">
        <v>4066.18</v>
      </c>
      <c r="I1235">
        <v>0</v>
      </c>
      <c r="J1235">
        <v>20330.900000000001</v>
      </c>
      <c r="K1235" t="s">
        <v>41</v>
      </c>
      <c r="L1235" t="s">
        <v>20</v>
      </c>
      <c r="M1235" t="s">
        <v>30</v>
      </c>
      <c r="N1235" t="s">
        <v>37</v>
      </c>
      <c r="O1235">
        <f>Table1[[#All],[Quantity]]*Table1[[#All],[Unit Price (?)]]</f>
        <v>20330.899999999998</v>
      </c>
      <c r="P1235" t="str">
        <f>TEXT(Table1[[#All],[Order Date]],"dddd")</f>
        <v>Saturday</v>
      </c>
      <c r="Q1235" t="str">
        <f>TEXT(Table1[[#All],[Order Date]],"mmm")</f>
        <v>Apr</v>
      </c>
      <c r="R1235" t="str">
        <f>IF(Table1[[#All],[Total Price (?)]]&gt;1000,"High Value","Normal")</f>
        <v>High Value</v>
      </c>
    </row>
    <row r="1236" spans="1:18" x14ac:dyDescent="0.3">
      <c r="A1236" t="s">
        <v>1297</v>
      </c>
      <c r="B1236" s="1">
        <v>45682</v>
      </c>
      <c r="C1236" t="s">
        <v>15</v>
      </c>
      <c r="D1236" t="s">
        <v>43</v>
      </c>
      <c r="E1236" t="s">
        <v>99</v>
      </c>
      <c r="F1236" t="s">
        <v>100</v>
      </c>
      <c r="G1236">
        <v>5</v>
      </c>
      <c r="H1236">
        <v>3375.32</v>
      </c>
      <c r="I1236">
        <v>0.02</v>
      </c>
      <c r="J1236">
        <v>16539.07</v>
      </c>
      <c r="K1236" t="s">
        <v>33</v>
      </c>
      <c r="L1236" t="s">
        <v>34</v>
      </c>
      <c r="M1236" t="s">
        <v>30</v>
      </c>
      <c r="N1236" t="s">
        <v>22</v>
      </c>
      <c r="O1236">
        <f>Table1[[#All],[Quantity]]*Table1[[#All],[Unit Price (?)]]</f>
        <v>16876.600000000002</v>
      </c>
      <c r="P1236" t="str">
        <f>TEXT(Table1[[#All],[Order Date]],"dddd")</f>
        <v>Saturday</v>
      </c>
      <c r="Q1236" t="str">
        <f>TEXT(Table1[[#All],[Order Date]],"mmm")</f>
        <v>Jan</v>
      </c>
      <c r="R1236" t="str">
        <f>IF(Table1[[#All],[Total Price (?)]]&gt;1000,"High Value","Normal")</f>
        <v>High Value</v>
      </c>
    </row>
    <row r="1237" spans="1:18" x14ac:dyDescent="0.3">
      <c r="A1237" t="s">
        <v>1298</v>
      </c>
      <c r="B1237" s="1">
        <v>45819</v>
      </c>
      <c r="C1237" t="s">
        <v>52</v>
      </c>
      <c r="D1237" t="s">
        <v>16</v>
      </c>
      <c r="E1237" t="s">
        <v>27</v>
      </c>
      <c r="F1237" t="s">
        <v>68</v>
      </c>
      <c r="G1237">
        <v>1</v>
      </c>
      <c r="H1237">
        <v>3741.61</v>
      </c>
      <c r="I1237">
        <v>0.18</v>
      </c>
      <c r="J1237">
        <v>3068.12</v>
      </c>
      <c r="K1237" t="s">
        <v>19</v>
      </c>
      <c r="L1237" t="s">
        <v>29</v>
      </c>
      <c r="M1237" t="s">
        <v>30</v>
      </c>
      <c r="N1237" t="s">
        <v>22</v>
      </c>
      <c r="O1237">
        <f>Table1[[#All],[Quantity]]*Table1[[#All],[Unit Price (?)]]</f>
        <v>3741.61</v>
      </c>
      <c r="P1237" t="str">
        <f>TEXT(Table1[[#All],[Order Date]],"dddd")</f>
        <v>Wednesday</v>
      </c>
      <c r="Q1237" t="str">
        <f>TEXT(Table1[[#All],[Order Date]],"mmm")</f>
        <v>Jun</v>
      </c>
      <c r="R1237" t="str">
        <f>IF(Table1[[#All],[Total Price (?)]]&gt;1000,"High Value","Normal")</f>
        <v>High Value</v>
      </c>
    </row>
    <row r="1238" spans="1:18" x14ac:dyDescent="0.3">
      <c r="A1238" t="s">
        <v>1299</v>
      </c>
      <c r="B1238" s="1">
        <v>45672</v>
      </c>
      <c r="C1238" t="s">
        <v>15</v>
      </c>
      <c r="D1238" t="s">
        <v>39</v>
      </c>
      <c r="E1238" t="s">
        <v>99</v>
      </c>
      <c r="F1238" t="s">
        <v>100</v>
      </c>
      <c r="G1238">
        <v>4</v>
      </c>
      <c r="H1238">
        <v>3374.95</v>
      </c>
      <c r="I1238">
        <v>0.13</v>
      </c>
      <c r="J1238">
        <v>11744.83</v>
      </c>
      <c r="K1238" t="s">
        <v>46</v>
      </c>
      <c r="L1238" t="s">
        <v>29</v>
      </c>
      <c r="M1238" t="s">
        <v>21</v>
      </c>
      <c r="N1238" t="s">
        <v>88</v>
      </c>
      <c r="O1238">
        <f>Table1[[#All],[Quantity]]*Table1[[#All],[Unit Price (?)]]</f>
        <v>13499.8</v>
      </c>
      <c r="P1238" t="str">
        <f>TEXT(Table1[[#All],[Order Date]],"dddd")</f>
        <v>Wednesday</v>
      </c>
      <c r="Q1238" t="str">
        <f>TEXT(Table1[[#All],[Order Date]],"mmm")</f>
        <v>Jan</v>
      </c>
      <c r="R1238" t="str">
        <f>IF(Table1[[#All],[Total Price (?)]]&gt;1000,"High Value","Normal")</f>
        <v>High Value</v>
      </c>
    </row>
    <row r="1239" spans="1:18" x14ac:dyDescent="0.3">
      <c r="A1239" t="s">
        <v>1300</v>
      </c>
      <c r="B1239" s="1">
        <v>45737</v>
      </c>
      <c r="C1239" t="s">
        <v>48</v>
      </c>
      <c r="D1239" t="s">
        <v>25</v>
      </c>
      <c r="E1239" t="s">
        <v>61</v>
      </c>
      <c r="F1239" t="s">
        <v>66</v>
      </c>
      <c r="G1239">
        <v>2</v>
      </c>
      <c r="H1239">
        <v>2938.91</v>
      </c>
      <c r="I1239">
        <v>0.23</v>
      </c>
      <c r="J1239">
        <v>4525.92</v>
      </c>
      <c r="K1239" t="s">
        <v>46</v>
      </c>
      <c r="L1239" t="s">
        <v>29</v>
      </c>
      <c r="M1239" t="s">
        <v>54</v>
      </c>
      <c r="N1239" t="s">
        <v>22</v>
      </c>
      <c r="O1239">
        <f>Table1[[#All],[Quantity]]*Table1[[#All],[Unit Price (?)]]</f>
        <v>5877.82</v>
      </c>
      <c r="P1239" t="str">
        <f>TEXT(Table1[[#All],[Order Date]],"dddd")</f>
        <v>Friday</v>
      </c>
      <c r="Q1239" t="str">
        <f>TEXT(Table1[[#All],[Order Date]],"mmm")</f>
        <v>Mar</v>
      </c>
      <c r="R1239" t="str">
        <f>IF(Table1[[#All],[Total Price (?)]]&gt;1000,"High Value","Normal")</f>
        <v>High Value</v>
      </c>
    </row>
    <row r="1240" spans="1:18" x14ac:dyDescent="0.3">
      <c r="A1240" t="s">
        <v>1301</v>
      </c>
      <c r="B1240" s="1">
        <v>45755</v>
      </c>
      <c r="C1240" t="s">
        <v>24</v>
      </c>
      <c r="D1240" t="s">
        <v>39</v>
      </c>
      <c r="E1240" t="s">
        <v>61</v>
      </c>
      <c r="F1240" t="s">
        <v>75</v>
      </c>
      <c r="G1240">
        <v>1</v>
      </c>
      <c r="H1240">
        <v>4193.3599999999997</v>
      </c>
      <c r="I1240">
        <v>0.06</v>
      </c>
      <c r="J1240">
        <v>3941.76</v>
      </c>
      <c r="K1240" t="s">
        <v>19</v>
      </c>
      <c r="L1240" t="s">
        <v>29</v>
      </c>
      <c r="M1240" t="s">
        <v>30</v>
      </c>
      <c r="N1240" t="s">
        <v>22</v>
      </c>
      <c r="O1240">
        <f>Table1[[#All],[Quantity]]*Table1[[#All],[Unit Price (?)]]</f>
        <v>4193.3599999999997</v>
      </c>
      <c r="P1240" t="str">
        <f>TEXT(Table1[[#All],[Order Date]],"dddd")</f>
        <v>Tuesday</v>
      </c>
      <c r="Q1240" t="str">
        <f>TEXT(Table1[[#All],[Order Date]],"mmm")</f>
        <v>Apr</v>
      </c>
      <c r="R1240" t="str">
        <f>IF(Table1[[#All],[Total Price (?)]]&gt;1000,"High Value","Normal")</f>
        <v>High Value</v>
      </c>
    </row>
    <row r="1241" spans="1:18" x14ac:dyDescent="0.3">
      <c r="A1241" t="s">
        <v>1302</v>
      </c>
      <c r="B1241" s="1">
        <v>45674</v>
      </c>
      <c r="C1241" t="s">
        <v>15</v>
      </c>
      <c r="D1241" t="s">
        <v>39</v>
      </c>
      <c r="E1241" t="s">
        <v>49</v>
      </c>
      <c r="F1241" t="s">
        <v>50</v>
      </c>
      <c r="G1241">
        <v>5</v>
      </c>
      <c r="H1241">
        <v>2087.7199999999998</v>
      </c>
      <c r="I1241">
        <v>0.25</v>
      </c>
      <c r="J1241">
        <v>7828.95</v>
      </c>
      <c r="K1241" t="s">
        <v>19</v>
      </c>
      <c r="L1241" t="s">
        <v>29</v>
      </c>
      <c r="M1241" t="s">
        <v>30</v>
      </c>
      <c r="N1241" t="s">
        <v>22</v>
      </c>
      <c r="O1241">
        <f>Table1[[#All],[Quantity]]*Table1[[#All],[Unit Price (?)]]</f>
        <v>10438.599999999999</v>
      </c>
      <c r="P1241" t="str">
        <f>TEXT(Table1[[#All],[Order Date]],"dddd")</f>
        <v>Friday</v>
      </c>
      <c r="Q1241" t="str">
        <f>TEXT(Table1[[#All],[Order Date]],"mmm")</f>
        <v>Jan</v>
      </c>
      <c r="R1241" t="str">
        <f>IF(Table1[[#All],[Total Price (?)]]&gt;1000,"High Value","Normal")</f>
        <v>High Value</v>
      </c>
    </row>
    <row r="1242" spans="1:18" x14ac:dyDescent="0.3">
      <c r="A1242" t="s">
        <v>1303</v>
      </c>
      <c r="B1242" s="1">
        <v>45772</v>
      </c>
      <c r="C1242" t="s">
        <v>36</v>
      </c>
      <c r="D1242" t="s">
        <v>25</v>
      </c>
      <c r="E1242" t="s">
        <v>17</v>
      </c>
      <c r="F1242" t="s">
        <v>32</v>
      </c>
      <c r="G1242">
        <v>2</v>
      </c>
      <c r="H1242">
        <v>1350.89</v>
      </c>
      <c r="I1242">
        <v>0.2</v>
      </c>
      <c r="J1242">
        <v>2161.42</v>
      </c>
      <c r="K1242" t="s">
        <v>46</v>
      </c>
      <c r="L1242" t="s">
        <v>34</v>
      </c>
      <c r="M1242" t="s">
        <v>30</v>
      </c>
      <c r="N1242" t="s">
        <v>22</v>
      </c>
      <c r="O1242">
        <f>Table1[[#All],[Quantity]]*Table1[[#All],[Unit Price (?)]]</f>
        <v>2701.78</v>
      </c>
      <c r="P1242" t="str">
        <f>TEXT(Table1[[#All],[Order Date]],"dddd")</f>
        <v>Friday</v>
      </c>
      <c r="Q1242" t="str">
        <f>TEXT(Table1[[#All],[Order Date]],"mmm")</f>
        <v>Apr</v>
      </c>
      <c r="R1242" t="str">
        <f>IF(Table1[[#All],[Total Price (?)]]&gt;1000,"High Value","Normal")</f>
        <v>High Value</v>
      </c>
    </row>
    <row r="1243" spans="1:18" x14ac:dyDescent="0.3">
      <c r="A1243" t="s">
        <v>1304</v>
      </c>
      <c r="B1243" s="1">
        <v>45782</v>
      </c>
      <c r="C1243" t="s">
        <v>24</v>
      </c>
      <c r="D1243" t="s">
        <v>25</v>
      </c>
      <c r="E1243" t="s">
        <v>99</v>
      </c>
      <c r="F1243" t="s">
        <v>111</v>
      </c>
      <c r="G1243">
        <v>1</v>
      </c>
      <c r="H1243">
        <v>4827.29</v>
      </c>
      <c r="I1243">
        <v>0.03</v>
      </c>
      <c r="J1243">
        <v>4682.47</v>
      </c>
      <c r="K1243" t="s">
        <v>46</v>
      </c>
      <c r="L1243" t="s">
        <v>34</v>
      </c>
      <c r="M1243" t="s">
        <v>54</v>
      </c>
      <c r="N1243" t="s">
        <v>88</v>
      </c>
      <c r="O1243">
        <f>Table1[[#All],[Quantity]]*Table1[[#All],[Unit Price (?)]]</f>
        <v>4827.29</v>
      </c>
      <c r="P1243" t="str">
        <f>TEXT(Table1[[#All],[Order Date]],"dddd")</f>
        <v>Monday</v>
      </c>
      <c r="Q1243" t="str">
        <f>TEXT(Table1[[#All],[Order Date]],"mmm")</f>
        <v>May</v>
      </c>
      <c r="R1243" t="str">
        <f>IF(Table1[[#All],[Total Price (?)]]&gt;1000,"High Value","Normal")</f>
        <v>High Value</v>
      </c>
    </row>
    <row r="1244" spans="1:18" x14ac:dyDescent="0.3">
      <c r="A1244" t="s">
        <v>1305</v>
      </c>
      <c r="B1244" s="1">
        <v>45793</v>
      </c>
      <c r="C1244" t="s">
        <v>52</v>
      </c>
      <c r="D1244" t="s">
        <v>43</v>
      </c>
      <c r="E1244" t="s">
        <v>17</v>
      </c>
      <c r="F1244" t="s">
        <v>32</v>
      </c>
      <c r="G1244">
        <v>4</v>
      </c>
      <c r="H1244">
        <v>2237.1999999999998</v>
      </c>
      <c r="I1244">
        <v>0.25</v>
      </c>
      <c r="J1244">
        <v>6711.6</v>
      </c>
      <c r="K1244" t="s">
        <v>46</v>
      </c>
      <c r="L1244" t="s">
        <v>34</v>
      </c>
      <c r="M1244" t="s">
        <v>54</v>
      </c>
      <c r="N1244" t="s">
        <v>22</v>
      </c>
      <c r="O1244">
        <f>Table1[[#All],[Quantity]]*Table1[[#All],[Unit Price (?)]]</f>
        <v>8948.7999999999993</v>
      </c>
      <c r="P1244" t="str">
        <f>TEXT(Table1[[#All],[Order Date]],"dddd")</f>
        <v>Friday</v>
      </c>
      <c r="Q1244" t="str">
        <f>TEXT(Table1[[#All],[Order Date]],"mmm")</f>
        <v>May</v>
      </c>
      <c r="R1244" t="str">
        <f>IF(Table1[[#All],[Total Price (?)]]&gt;1000,"High Value","Normal")</f>
        <v>High Value</v>
      </c>
    </row>
    <row r="1245" spans="1:18" x14ac:dyDescent="0.3">
      <c r="A1245" t="s">
        <v>1306</v>
      </c>
      <c r="B1245" s="1">
        <v>45670</v>
      </c>
      <c r="C1245" t="s">
        <v>52</v>
      </c>
      <c r="D1245" t="s">
        <v>43</v>
      </c>
      <c r="E1245" t="s">
        <v>27</v>
      </c>
      <c r="F1245" t="s">
        <v>68</v>
      </c>
      <c r="G1245">
        <v>2</v>
      </c>
      <c r="H1245">
        <v>3693.72</v>
      </c>
      <c r="I1245">
        <v>0.09</v>
      </c>
      <c r="J1245">
        <v>6722.57</v>
      </c>
      <c r="K1245" t="s">
        <v>19</v>
      </c>
      <c r="L1245" t="s">
        <v>20</v>
      </c>
      <c r="M1245" t="s">
        <v>21</v>
      </c>
      <c r="N1245" t="s">
        <v>22</v>
      </c>
      <c r="O1245">
        <f>Table1[[#All],[Quantity]]*Table1[[#All],[Unit Price (?)]]</f>
        <v>7387.44</v>
      </c>
      <c r="P1245" t="str">
        <f>TEXT(Table1[[#All],[Order Date]],"dddd")</f>
        <v>Monday</v>
      </c>
      <c r="Q1245" t="str">
        <f>TEXT(Table1[[#All],[Order Date]],"mmm")</f>
        <v>Jan</v>
      </c>
      <c r="R1245" t="str">
        <f>IF(Table1[[#All],[Total Price (?)]]&gt;1000,"High Value","Normal")</f>
        <v>High Value</v>
      </c>
    </row>
    <row r="1246" spans="1:18" x14ac:dyDescent="0.3">
      <c r="A1246" t="s">
        <v>1307</v>
      </c>
      <c r="B1246" s="1">
        <v>45689</v>
      </c>
      <c r="C1246" t="s">
        <v>36</v>
      </c>
      <c r="D1246" t="s">
        <v>39</v>
      </c>
      <c r="E1246" t="s">
        <v>27</v>
      </c>
      <c r="F1246" t="s">
        <v>79</v>
      </c>
      <c r="G1246">
        <v>2</v>
      </c>
      <c r="H1246">
        <v>3499.1</v>
      </c>
      <c r="I1246">
        <v>0.25</v>
      </c>
      <c r="J1246">
        <v>5248.65</v>
      </c>
      <c r="K1246" t="s">
        <v>46</v>
      </c>
      <c r="L1246" t="s">
        <v>29</v>
      </c>
      <c r="M1246" t="s">
        <v>54</v>
      </c>
      <c r="N1246" t="s">
        <v>22</v>
      </c>
      <c r="O1246">
        <f>Table1[[#All],[Quantity]]*Table1[[#All],[Unit Price (?)]]</f>
        <v>6998.2</v>
      </c>
      <c r="P1246" t="str">
        <f>TEXT(Table1[[#All],[Order Date]],"dddd")</f>
        <v>Saturday</v>
      </c>
      <c r="Q1246" t="str">
        <f>TEXT(Table1[[#All],[Order Date]],"mmm")</f>
        <v>Feb</v>
      </c>
      <c r="R1246" t="str">
        <f>IF(Table1[[#All],[Total Price (?)]]&gt;1000,"High Value","Normal")</f>
        <v>High Value</v>
      </c>
    </row>
    <row r="1247" spans="1:18" x14ac:dyDescent="0.3">
      <c r="A1247" t="s">
        <v>1308</v>
      </c>
      <c r="B1247" s="1">
        <v>45688</v>
      </c>
      <c r="C1247" t="s">
        <v>52</v>
      </c>
      <c r="D1247" t="s">
        <v>39</v>
      </c>
      <c r="E1247" t="s">
        <v>61</v>
      </c>
      <c r="F1247" t="s">
        <v>75</v>
      </c>
      <c r="G1247">
        <v>4</v>
      </c>
      <c r="H1247">
        <v>4305.6499999999996</v>
      </c>
      <c r="I1247">
        <v>7.0000000000000007E-2</v>
      </c>
      <c r="J1247">
        <v>16017.02</v>
      </c>
      <c r="K1247" t="s">
        <v>33</v>
      </c>
      <c r="L1247" t="s">
        <v>29</v>
      </c>
      <c r="M1247" t="s">
        <v>30</v>
      </c>
      <c r="N1247" t="s">
        <v>22</v>
      </c>
      <c r="O1247">
        <f>Table1[[#All],[Quantity]]*Table1[[#All],[Unit Price (?)]]</f>
        <v>17222.599999999999</v>
      </c>
      <c r="P1247" t="str">
        <f>TEXT(Table1[[#All],[Order Date]],"dddd")</f>
        <v>Friday</v>
      </c>
      <c r="Q1247" t="str">
        <f>TEXT(Table1[[#All],[Order Date]],"mmm")</f>
        <v>Jan</v>
      </c>
      <c r="R1247" t="str">
        <f>IF(Table1[[#All],[Total Price (?)]]&gt;1000,"High Value","Normal")</f>
        <v>High Value</v>
      </c>
    </row>
    <row r="1248" spans="1:18" x14ac:dyDescent="0.3">
      <c r="A1248" t="s">
        <v>1309</v>
      </c>
      <c r="B1248" s="1">
        <v>45817</v>
      </c>
      <c r="C1248" t="s">
        <v>48</v>
      </c>
      <c r="D1248" t="s">
        <v>39</v>
      </c>
      <c r="E1248" t="s">
        <v>27</v>
      </c>
      <c r="F1248" t="s">
        <v>87</v>
      </c>
      <c r="G1248">
        <v>2</v>
      </c>
      <c r="H1248">
        <v>3635.58</v>
      </c>
      <c r="I1248">
        <v>7.0000000000000007E-2</v>
      </c>
      <c r="J1248">
        <v>6762.18</v>
      </c>
      <c r="K1248" t="s">
        <v>41</v>
      </c>
      <c r="L1248" t="s">
        <v>34</v>
      </c>
      <c r="M1248" t="s">
        <v>54</v>
      </c>
      <c r="N1248" t="s">
        <v>22</v>
      </c>
      <c r="O1248">
        <f>Table1[[#All],[Quantity]]*Table1[[#All],[Unit Price (?)]]</f>
        <v>7271.16</v>
      </c>
      <c r="P1248" t="str">
        <f>TEXT(Table1[[#All],[Order Date]],"dddd")</f>
        <v>Monday</v>
      </c>
      <c r="Q1248" t="str">
        <f>TEXT(Table1[[#All],[Order Date]],"mmm")</f>
        <v>Jun</v>
      </c>
      <c r="R1248" t="str">
        <f>IF(Table1[[#All],[Total Price (?)]]&gt;1000,"High Value","Normal")</f>
        <v>High Value</v>
      </c>
    </row>
    <row r="1249" spans="1:18" x14ac:dyDescent="0.3">
      <c r="A1249" t="s">
        <v>1310</v>
      </c>
      <c r="B1249" s="1">
        <v>45769</v>
      </c>
      <c r="C1249" t="s">
        <v>36</v>
      </c>
      <c r="D1249" t="s">
        <v>43</v>
      </c>
      <c r="E1249" t="s">
        <v>99</v>
      </c>
      <c r="F1249" t="s">
        <v>100</v>
      </c>
      <c r="G1249">
        <v>1</v>
      </c>
      <c r="H1249">
        <v>3800.33</v>
      </c>
      <c r="I1249">
        <v>0.04</v>
      </c>
      <c r="J1249">
        <v>3648.32</v>
      </c>
      <c r="K1249" t="s">
        <v>33</v>
      </c>
      <c r="L1249" t="s">
        <v>20</v>
      </c>
      <c r="M1249" t="s">
        <v>30</v>
      </c>
      <c r="N1249" t="s">
        <v>88</v>
      </c>
      <c r="O1249">
        <f>Table1[[#All],[Quantity]]*Table1[[#All],[Unit Price (?)]]</f>
        <v>3800.33</v>
      </c>
      <c r="P1249" t="str">
        <f>TEXT(Table1[[#All],[Order Date]],"dddd")</f>
        <v>Tuesday</v>
      </c>
      <c r="Q1249" t="str">
        <f>TEXT(Table1[[#All],[Order Date]],"mmm")</f>
        <v>Apr</v>
      </c>
      <c r="R1249" t="str">
        <f>IF(Table1[[#All],[Total Price (?)]]&gt;1000,"High Value","Normal")</f>
        <v>High Value</v>
      </c>
    </row>
    <row r="1250" spans="1:18" x14ac:dyDescent="0.3">
      <c r="A1250" t="s">
        <v>1311</v>
      </c>
      <c r="B1250" s="1">
        <v>45718</v>
      </c>
      <c r="C1250" t="s">
        <v>52</v>
      </c>
      <c r="D1250" t="s">
        <v>43</v>
      </c>
      <c r="E1250" t="s">
        <v>61</v>
      </c>
      <c r="F1250" t="s">
        <v>92</v>
      </c>
      <c r="G1250">
        <v>5</v>
      </c>
      <c r="H1250">
        <v>1047.52</v>
      </c>
      <c r="I1250">
        <v>0.21</v>
      </c>
      <c r="J1250">
        <v>4137.7</v>
      </c>
      <c r="K1250" t="s">
        <v>41</v>
      </c>
      <c r="L1250" t="s">
        <v>34</v>
      </c>
      <c r="M1250" t="s">
        <v>54</v>
      </c>
      <c r="N1250" t="s">
        <v>59</v>
      </c>
      <c r="O1250">
        <f>Table1[[#All],[Quantity]]*Table1[[#All],[Unit Price (?)]]</f>
        <v>5237.6000000000004</v>
      </c>
      <c r="P1250" t="str">
        <f>TEXT(Table1[[#All],[Order Date]],"dddd")</f>
        <v>Sunday</v>
      </c>
      <c r="Q1250" t="str">
        <f>TEXT(Table1[[#All],[Order Date]],"mmm")</f>
        <v>Mar</v>
      </c>
      <c r="R1250" t="str">
        <f>IF(Table1[[#All],[Total Price (?)]]&gt;1000,"High Value","Normal")</f>
        <v>High Value</v>
      </c>
    </row>
    <row r="1251" spans="1:18" x14ac:dyDescent="0.3">
      <c r="A1251" t="s">
        <v>1312</v>
      </c>
      <c r="B1251" s="1">
        <v>45676</v>
      </c>
      <c r="C1251" t="s">
        <v>48</v>
      </c>
      <c r="D1251" t="s">
        <v>43</v>
      </c>
      <c r="E1251" t="s">
        <v>99</v>
      </c>
      <c r="F1251" t="s">
        <v>100</v>
      </c>
      <c r="G1251">
        <v>5</v>
      </c>
      <c r="H1251">
        <v>4727.2700000000004</v>
      </c>
      <c r="I1251">
        <v>0.04</v>
      </c>
      <c r="J1251">
        <v>22690.9</v>
      </c>
      <c r="K1251" t="s">
        <v>58</v>
      </c>
      <c r="L1251" t="s">
        <v>29</v>
      </c>
      <c r="M1251" t="s">
        <v>30</v>
      </c>
      <c r="N1251" t="s">
        <v>22</v>
      </c>
      <c r="O1251">
        <f>Table1[[#All],[Quantity]]*Table1[[#All],[Unit Price (?)]]</f>
        <v>23636.350000000002</v>
      </c>
      <c r="P1251" t="str">
        <f>TEXT(Table1[[#All],[Order Date]],"dddd")</f>
        <v>Sunday</v>
      </c>
      <c r="Q1251" t="str">
        <f>TEXT(Table1[[#All],[Order Date]],"mmm")</f>
        <v>Jan</v>
      </c>
      <c r="R1251" t="str">
        <f>IF(Table1[[#All],[Total Price (?)]]&gt;1000,"High Value","Normal")</f>
        <v>High Value</v>
      </c>
    </row>
    <row r="1252" spans="1:18" x14ac:dyDescent="0.3">
      <c r="A1252" t="s">
        <v>1313</v>
      </c>
      <c r="B1252" s="1">
        <v>45708</v>
      </c>
      <c r="C1252" t="s">
        <v>24</v>
      </c>
      <c r="D1252" t="s">
        <v>43</v>
      </c>
      <c r="E1252" t="s">
        <v>99</v>
      </c>
      <c r="F1252" t="s">
        <v>120</v>
      </c>
      <c r="G1252">
        <v>5</v>
      </c>
      <c r="H1252">
        <v>602.79999999999995</v>
      </c>
      <c r="I1252">
        <v>0.16</v>
      </c>
      <c r="J1252">
        <v>2531.7600000000002</v>
      </c>
      <c r="K1252" t="s">
        <v>33</v>
      </c>
      <c r="L1252" t="s">
        <v>34</v>
      </c>
      <c r="M1252" t="s">
        <v>30</v>
      </c>
      <c r="N1252" t="s">
        <v>22</v>
      </c>
      <c r="O1252">
        <f>Table1[[#All],[Quantity]]*Table1[[#All],[Unit Price (?)]]</f>
        <v>3014</v>
      </c>
      <c r="P1252" t="str">
        <f>TEXT(Table1[[#All],[Order Date]],"dddd")</f>
        <v>Thursday</v>
      </c>
      <c r="Q1252" t="str">
        <f>TEXT(Table1[[#All],[Order Date]],"mmm")</f>
        <v>Feb</v>
      </c>
      <c r="R1252" t="str">
        <f>IF(Table1[[#All],[Total Price (?)]]&gt;1000,"High Value","Normal")</f>
        <v>High Value</v>
      </c>
    </row>
    <row r="1253" spans="1:18" x14ac:dyDescent="0.3">
      <c r="A1253" t="s">
        <v>1314</v>
      </c>
      <c r="B1253" s="1">
        <v>45683</v>
      </c>
      <c r="C1253" t="s">
        <v>36</v>
      </c>
      <c r="D1253" t="s">
        <v>39</v>
      </c>
      <c r="E1253" t="s">
        <v>99</v>
      </c>
      <c r="F1253" t="s">
        <v>120</v>
      </c>
      <c r="G1253">
        <v>2</v>
      </c>
      <c r="H1253">
        <v>444.97</v>
      </c>
      <c r="I1253">
        <v>0.24</v>
      </c>
      <c r="J1253">
        <v>676.35</v>
      </c>
      <c r="K1253" t="s">
        <v>33</v>
      </c>
      <c r="L1253" t="s">
        <v>34</v>
      </c>
      <c r="M1253" t="s">
        <v>21</v>
      </c>
      <c r="N1253" t="s">
        <v>37</v>
      </c>
      <c r="O1253">
        <f>Table1[[#All],[Quantity]]*Table1[[#All],[Unit Price (?)]]</f>
        <v>889.94</v>
      </c>
      <c r="P1253" t="str">
        <f>TEXT(Table1[[#All],[Order Date]],"dddd")</f>
        <v>Sunday</v>
      </c>
      <c r="Q1253" t="str">
        <f>TEXT(Table1[[#All],[Order Date]],"mmm")</f>
        <v>Jan</v>
      </c>
      <c r="R1253" t="str">
        <f>IF(Table1[[#All],[Total Price (?)]]&gt;1000,"High Value","Normal")</f>
        <v>Normal</v>
      </c>
    </row>
    <row r="1254" spans="1:18" x14ac:dyDescent="0.3">
      <c r="A1254" t="s">
        <v>1315</v>
      </c>
      <c r="B1254" s="1">
        <v>45768</v>
      </c>
      <c r="C1254" t="s">
        <v>15</v>
      </c>
      <c r="D1254" t="s">
        <v>25</v>
      </c>
      <c r="E1254" t="s">
        <v>17</v>
      </c>
      <c r="F1254" t="s">
        <v>40</v>
      </c>
      <c r="G1254">
        <v>4</v>
      </c>
      <c r="H1254">
        <v>2186.96</v>
      </c>
      <c r="I1254">
        <v>0.04</v>
      </c>
      <c r="J1254">
        <v>8397.93</v>
      </c>
      <c r="K1254" t="s">
        <v>58</v>
      </c>
      <c r="L1254" t="s">
        <v>29</v>
      </c>
      <c r="M1254" t="s">
        <v>21</v>
      </c>
      <c r="N1254" t="s">
        <v>88</v>
      </c>
      <c r="O1254">
        <f>Table1[[#All],[Quantity]]*Table1[[#All],[Unit Price (?)]]</f>
        <v>8747.84</v>
      </c>
      <c r="P1254" t="str">
        <f>TEXT(Table1[[#All],[Order Date]],"dddd")</f>
        <v>Monday</v>
      </c>
      <c r="Q1254" t="str">
        <f>TEXT(Table1[[#All],[Order Date]],"mmm")</f>
        <v>Apr</v>
      </c>
      <c r="R1254" t="str">
        <f>IF(Table1[[#All],[Total Price (?)]]&gt;1000,"High Value","Normal")</f>
        <v>High Value</v>
      </c>
    </row>
    <row r="1255" spans="1:18" x14ac:dyDescent="0.3">
      <c r="A1255" t="s">
        <v>1316</v>
      </c>
      <c r="B1255" s="1">
        <v>45808</v>
      </c>
      <c r="C1255" t="s">
        <v>24</v>
      </c>
      <c r="D1255" t="s">
        <v>25</v>
      </c>
      <c r="E1255" t="s">
        <v>61</v>
      </c>
      <c r="F1255" t="s">
        <v>62</v>
      </c>
      <c r="G1255">
        <v>3</v>
      </c>
      <c r="H1255">
        <v>1282.33</v>
      </c>
      <c r="I1255">
        <v>0.21</v>
      </c>
      <c r="J1255">
        <v>3039.12</v>
      </c>
      <c r="K1255" t="s">
        <v>33</v>
      </c>
      <c r="L1255" t="s">
        <v>29</v>
      </c>
      <c r="M1255" t="s">
        <v>30</v>
      </c>
      <c r="N1255" t="s">
        <v>22</v>
      </c>
      <c r="O1255">
        <f>Table1[[#All],[Quantity]]*Table1[[#All],[Unit Price (?)]]</f>
        <v>3846.99</v>
      </c>
      <c r="P1255" t="str">
        <f>TEXT(Table1[[#All],[Order Date]],"dddd")</f>
        <v>Saturday</v>
      </c>
      <c r="Q1255" t="str">
        <f>TEXT(Table1[[#All],[Order Date]],"mmm")</f>
        <v>May</v>
      </c>
      <c r="R1255" t="str">
        <f>IF(Table1[[#All],[Total Price (?)]]&gt;1000,"High Value","Normal")</f>
        <v>High Value</v>
      </c>
    </row>
    <row r="1256" spans="1:18" x14ac:dyDescent="0.3">
      <c r="A1256" t="s">
        <v>1317</v>
      </c>
      <c r="B1256" s="1">
        <v>45740</v>
      </c>
      <c r="C1256" t="s">
        <v>15</v>
      </c>
      <c r="D1256" t="s">
        <v>39</v>
      </c>
      <c r="E1256" t="s">
        <v>17</v>
      </c>
      <c r="F1256" t="s">
        <v>32</v>
      </c>
      <c r="G1256">
        <v>5</v>
      </c>
      <c r="H1256">
        <v>1711.27</v>
      </c>
      <c r="I1256">
        <v>0.17</v>
      </c>
      <c r="J1256">
        <v>7101.77</v>
      </c>
      <c r="K1256" t="s">
        <v>46</v>
      </c>
      <c r="L1256" t="s">
        <v>29</v>
      </c>
      <c r="M1256" t="s">
        <v>30</v>
      </c>
      <c r="N1256" t="s">
        <v>22</v>
      </c>
      <c r="O1256">
        <f>Table1[[#All],[Quantity]]*Table1[[#All],[Unit Price (?)]]</f>
        <v>8556.35</v>
      </c>
      <c r="P1256" t="str">
        <f>TEXT(Table1[[#All],[Order Date]],"dddd")</f>
        <v>Monday</v>
      </c>
      <c r="Q1256" t="str">
        <f>TEXT(Table1[[#All],[Order Date]],"mmm")</f>
        <v>Mar</v>
      </c>
      <c r="R1256" t="str">
        <f>IF(Table1[[#All],[Total Price (?)]]&gt;1000,"High Value","Normal")</f>
        <v>High Value</v>
      </c>
    </row>
    <row r="1257" spans="1:18" x14ac:dyDescent="0.3">
      <c r="A1257" t="s">
        <v>1318</v>
      </c>
      <c r="B1257" s="1">
        <v>45777</v>
      </c>
      <c r="C1257" t="s">
        <v>52</v>
      </c>
      <c r="D1257" t="s">
        <v>25</v>
      </c>
      <c r="E1257" t="s">
        <v>17</v>
      </c>
      <c r="F1257" t="s">
        <v>40</v>
      </c>
      <c r="G1257">
        <v>2</v>
      </c>
      <c r="H1257">
        <v>2996.31</v>
      </c>
      <c r="I1257">
        <v>0.17</v>
      </c>
      <c r="J1257">
        <v>4973.87</v>
      </c>
      <c r="K1257" t="s">
        <v>33</v>
      </c>
      <c r="L1257" t="s">
        <v>34</v>
      </c>
      <c r="M1257" t="s">
        <v>54</v>
      </c>
      <c r="N1257" t="s">
        <v>22</v>
      </c>
      <c r="O1257">
        <f>Table1[[#All],[Quantity]]*Table1[[#All],[Unit Price (?)]]</f>
        <v>5992.62</v>
      </c>
      <c r="P1257" t="str">
        <f>TEXT(Table1[[#All],[Order Date]],"dddd")</f>
        <v>Wednesday</v>
      </c>
      <c r="Q1257" t="str">
        <f>TEXT(Table1[[#All],[Order Date]],"mmm")</f>
        <v>Apr</v>
      </c>
      <c r="R1257" t="str">
        <f>IF(Table1[[#All],[Total Price (?)]]&gt;1000,"High Value","Normal")</f>
        <v>High Value</v>
      </c>
    </row>
    <row r="1258" spans="1:18" x14ac:dyDescent="0.3">
      <c r="A1258" t="s">
        <v>1319</v>
      </c>
      <c r="B1258" s="1">
        <v>45775</v>
      </c>
      <c r="C1258" t="s">
        <v>36</v>
      </c>
      <c r="D1258" t="s">
        <v>16</v>
      </c>
      <c r="E1258" t="s">
        <v>27</v>
      </c>
      <c r="F1258" t="s">
        <v>87</v>
      </c>
      <c r="G1258">
        <v>4</v>
      </c>
      <c r="H1258">
        <v>306.3</v>
      </c>
      <c r="I1258">
        <v>0.03</v>
      </c>
      <c r="J1258">
        <v>1188.44</v>
      </c>
      <c r="K1258" t="s">
        <v>33</v>
      </c>
      <c r="L1258" t="s">
        <v>29</v>
      </c>
      <c r="M1258" t="s">
        <v>21</v>
      </c>
      <c r="N1258" t="s">
        <v>22</v>
      </c>
      <c r="O1258">
        <f>Table1[[#All],[Quantity]]*Table1[[#All],[Unit Price (?)]]</f>
        <v>1225.2</v>
      </c>
      <c r="P1258" t="str">
        <f>TEXT(Table1[[#All],[Order Date]],"dddd")</f>
        <v>Monday</v>
      </c>
      <c r="Q1258" t="str">
        <f>TEXT(Table1[[#All],[Order Date]],"mmm")</f>
        <v>Apr</v>
      </c>
      <c r="R1258" t="str">
        <f>IF(Table1[[#All],[Total Price (?)]]&gt;1000,"High Value","Normal")</f>
        <v>High Value</v>
      </c>
    </row>
    <row r="1259" spans="1:18" x14ac:dyDescent="0.3">
      <c r="A1259" t="s">
        <v>1320</v>
      </c>
      <c r="B1259" s="1">
        <v>45813</v>
      </c>
      <c r="C1259" t="s">
        <v>15</v>
      </c>
      <c r="D1259" t="s">
        <v>16</v>
      </c>
      <c r="E1259" t="s">
        <v>17</v>
      </c>
      <c r="F1259" t="s">
        <v>44</v>
      </c>
      <c r="G1259">
        <v>5</v>
      </c>
      <c r="H1259">
        <v>2166.96</v>
      </c>
      <c r="I1259">
        <v>0.1</v>
      </c>
      <c r="J1259">
        <v>9751.32</v>
      </c>
      <c r="K1259" t="s">
        <v>33</v>
      </c>
      <c r="L1259" t="s">
        <v>29</v>
      </c>
      <c r="M1259" t="s">
        <v>21</v>
      </c>
      <c r="N1259" t="s">
        <v>22</v>
      </c>
      <c r="O1259">
        <f>Table1[[#All],[Quantity]]*Table1[[#All],[Unit Price (?)]]</f>
        <v>10834.8</v>
      </c>
      <c r="P1259" t="str">
        <f>TEXT(Table1[[#All],[Order Date]],"dddd")</f>
        <v>Thursday</v>
      </c>
      <c r="Q1259" t="str">
        <f>TEXT(Table1[[#All],[Order Date]],"mmm")</f>
        <v>Jun</v>
      </c>
      <c r="R1259" t="str">
        <f>IF(Table1[[#All],[Total Price (?)]]&gt;1000,"High Value","Normal")</f>
        <v>High Value</v>
      </c>
    </row>
    <row r="1260" spans="1:18" x14ac:dyDescent="0.3">
      <c r="A1260" t="s">
        <v>1321</v>
      </c>
      <c r="B1260" s="1">
        <v>45780</v>
      </c>
      <c r="C1260" t="s">
        <v>36</v>
      </c>
      <c r="D1260" t="s">
        <v>16</v>
      </c>
      <c r="E1260" t="s">
        <v>49</v>
      </c>
      <c r="F1260" t="s">
        <v>50</v>
      </c>
      <c r="G1260">
        <v>4</v>
      </c>
      <c r="H1260">
        <v>4084.49</v>
      </c>
      <c r="I1260">
        <v>0.16</v>
      </c>
      <c r="J1260">
        <v>13723.89</v>
      </c>
      <c r="K1260" t="s">
        <v>33</v>
      </c>
      <c r="L1260" t="s">
        <v>20</v>
      </c>
      <c r="M1260" t="s">
        <v>30</v>
      </c>
      <c r="N1260" t="s">
        <v>22</v>
      </c>
      <c r="O1260">
        <f>Table1[[#All],[Quantity]]*Table1[[#All],[Unit Price (?)]]</f>
        <v>16337.96</v>
      </c>
      <c r="P1260" t="str">
        <f>TEXT(Table1[[#All],[Order Date]],"dddd")</f>
        <v>Saturday</v>
      </c>
      <c r="Q1260" t="str">
        <f>TEXT(Table1[[#All],[Order Date]],"mmm")</f>
        <v>May</v>
      </c>
      <c r="R1260" t="str">
        <f>IF(Table1[[#All],[Total Price (?)]]&gt;1000,"High Value","Normal")</f>
        <v>High Value</v>
      </c>
    </row>
    <row r="1261" spans="1:18" x14ac:dyDescent="0.3">
      <c r="A1261" t="s">
        <v>1322</v>
      </c>
      <c r="B1261" s="1">
        <v>45703</v>
      </c>
      <c r="C1261" t="s">
        <v>15</v>
      </c>
      <c r="D1261" t="s">
        <v>39</v>
      </c>
      <c r="E1261" t="s">
        <v>61</v>
      </c>
      <c r="F1261" t="s">
        <v>62</v>
      </c>
      <c r="G1261">
        <v>4</v>
      </c>
      <c r="H1261">
        <v>4029.29</v>
      </c>
      <c r="I1261">
        <v>0.18</v>
      </c>
      <c r="J1261">
        <v>13216.07</v>
      </c>
      <c r="K1261" t="s">
        <v>58</v>
      </c>
      <c r="L1261" t="s">
        <v>34</v>
      </c>
      <c r="M1261" t="s">
        <v>30</v>
      </c>
      <c r="N1261" t="s">
        <v>88</v>
      </c>
      <c r="O1261">
        <f>Table1[[#All],[Quantity]]*Table1[[#All],[Unit Price (?)]]</f>
        <v>16117.16</v>
      </c>
      <c r="P1261" t="str">
        <f>TEXT(Table1[[#All],[Order Date]],"dddd")</f>
        <v>Saturday</v>
      </c>
      <c r="Q1261" t="str">
        <f>TEXT(Table1[[#All],[Order Date]],"mmm")</f>
        <v>Feb</v>
      </c>
      <c r="R1261" t="str">
        <f>IF(Table1[[#All],[Total Price (?)]]&gt;1000,"High Value","Normal")</f>
        <v>High Value</v>
      </c>
    </row>
    <row r="1262" spans="1:18" x14ac:dyDescent="0.3">
      <c r="A1262" t="s">
        <v>1323</v>
      </c>
      <c r="B1262" s="1">
        <v>45810</v>
      </c>
      <c r="C1262" t="s">
        <v>52</v>
      </c>
      <c r="D1262" t="s">
        <v>39</v>
      </c>
      <c r="E1262" t="s">
        <v>99</v>
      </c>
      <c r="F1262" t="s">
        <v>111</v>
      </c>
      <c r="G1262">
        <v>1</v>
      </c>
      <c r="H1262">
        <v>1690.11</v>
      </c>
      <c r="I1262">
        <v>0.17</v>
      </c>
      <c r="J1262">
        <v>1402.79</v>
      </c>
      <c r="K1262" t="s">
        <v>46</v>
      </c>
      <c r="L1262" t="s">
        <v>34</v>
      </c>
      <c r="M1262" t="s">
        <v>21</v>
      </c>
      <c r="N1262" t="s">
        <v>88</v>
      </c>
      <c r="O1262">
        <f>Table1[[#All],[Quantity]]*Table1[[#All],[Unit Price (?)]]</f>
        <v>1690.11</v>
      </c>
      <c r="P1262" t="str">
        <f>TEXT(Table1[[#All],[Order Date]],"dddd")</f>
        <v>Monday</v>
      </c>
      <c r="Q1262" t="str">
        <f>TEXT(Table1[[#All],[Order Date]],"mmm")</f>
        <v>Jun</v>
      </c>
      <c r="R1262" t="str">
        <f>IF(Table1[[#All],[Total Price (?)]]&gt;1000,"High Value","Normal")</f>
        <v>High Value</v>
      </c>
    </row>
    <row r="1263" spans="1:18" x14ac:dyDescent="0.3">
      <c r="A1263" t="s">
        <v>1324</v>
      </c>
      <c r="B1263" s="1">
        <v>45761</v>
      </c>
      <c r="C1263" t="s">
        <v>36</v>
      </c>
      <c r="D1263" t="s">
        <v>25</v>
      </c>
      <c r="E1263" t="s">
        <v>61</v>
      </c>
      <c r="F1263" t="s">
        <v>75</v>
      </c>
      <c r="G1263">
        <v>3</v>
      </c>
      <c r="H1263">
        <v>3729.45</v>
      </c>
      <c r="I1263">
        <v>0.19</v>
      </c>
      <c r="J1263">
        <v>9062.56</v>
      </c>
      <c r="K1263" t="s">
        <v>33</v>
      </c>
      <c r="L1263" t="s">
        <v>29</v>
      </c>
      <c r="M1263" t="s">
        <v>54</v>
      </c>
      <c r="N1263" t="s">
        <v>37</v>
      </c>
      <c r="O1263">
        <f>Table1[[#All],[Quantity]]*Table1[[#All],[Unit Price (?)]]</f>
        <v>11188.349999999999</v>
      </c>
      <c r="P1263" t="str">
        <f>TEXT(Table1[[#All],[Order Date]],"dddd")</f>
        <v>Monday</v>
      </c>
      <c r="Q1263" t="str">
        <f>TEXT(Table1[[#All],[Order Date]],"mmm")</f>
        <v>Apr</v>
      </c>
      <c r="R1263" t="str">
        <f>IF(Table1[[#All],[Total Price (?)]]&gt;1000,"High Value","Normal")</f>
        <v>High Value</v>
      </c>
    </row>
    <row r="1264" spans="1:18" x14ac:dyDescent="0.3">
      <c r="A1264" t="s">
        <v>1325</v>
      </c>
      <c r="B1264" s="1">
        <v>45733</v>
      </c>
      <c r="C1264" t="s">
        <v>36</v>
      </c>
      <c r="D1264" t="s">
        <v>16</v>
      </c>
      <c r="E1264" t="s">
        <v>99</v>
      </c>
      <c r="F1264" t="s">
        <v>111</v>
      </c>
      <c r="G1264">
        <v>2</v>
      </c>
      <c r="H1264">
        <v>1651.02</v>
      </c>
      <c r="I1264">
        <v>0.08</v>
      </c>
      <c r="J1264">
        <v>3037.88</v>
      </c>
      <c r="K1264" t="s">
        <v>33</v>
      </c>
      <c r="L1264" t="s">
        <v>29</v>
      </c>
      <c r="M1264" t="s">
        <v>21</v>
      </c>
      <c r="N1264" t="s">
        <v>22</v>
      </c>
      <c r="O1264">
        <f>Table1[[#All],[Quantity]]*Table1[[#All],[Unit Price (?)]]</f>
        <v>3302.04</v>
      </c>
      <c r="P1264" t="str">
        <f>TEXT(Table1[[#All],[Order Date]],"dddd")</f>
        <v>Monday</v>
      </c>
      <c r="Q1264" t="str">
        <f>TEXT(Table1[[#All],[Order Date]],"mmm")</f>
        <v>Mar</v>
      </c>
      <c r="R1264" t="str">
        <f>IF(Table1[[#All],[Total Price (?)]]&gt;1000,"High Value","Normal")</f>
        <v>High Value</v>
      </c>
    </row>
    <row r="1265" spans="1:18" x14ac:dyDescent="0.3">
      <c r="A1265" t="s">
        <v>1326</v>
      </c>
      <c r="B1265" s="1">
        <v>45747</v>
      </c>
      <c r="C1265" t="s">
        <v>52</v>
      </c>
      <c r="D1265" t="s">
        <v>25</v>
      </c>
      <c r="E1265" t="s">
        <v>99</v>
      </c>
      <c r="F1265" t="s">
        <v>115</v>
      </c>
      <c r="G1265">
        <v>3</v>
      </c>
      <c r="H1265">
        <v>4294.28</v>
      </c>
      <c r="I1265">
        <v>0.12</v>
      </c>
      <c r="J1265">
        <v>11336.9</v>
      </c>
      <c r="K1265" t="s">
        <v>41</v>
      </c>
      <c r="L1265" t="s">
        <v>20</v>
      </c>
      <c r="M1265" t="s">
        <v>30</v>
      </c>
      <c r="N1265" t="s">
        <v>37</v>
      </c>
      <c r="O1265">
        <f>Table1[[#All],[Quantity]]*Table1[[#All],[Unit Price (?)]]</f>
        <v>12882.84</v>
      </c>
      <c r="P1265" t="str">
        <f>TEXT(Table1[[#All],[Order Date]],"dddd")</f>
        <v>Monday</v>
      </c>
      <c r="Q1265" t="str">
        <f>TEXT(Table1[[#All],[Order Date]],"mmm")</f>
        <v>Mar</v>
      </c>
      <c r="R1265" t="str">
        <f>IF(Table1[[#All],[Total Price (?)]]&gt;1000,"High Value","Normal")</f>
        <v>High Value</v>
      </c>
    </row>
    <row r="1266" spans="1:18" x14ac:dyDescent="0.3">
      <c r="A1266" t="s">
        <v>1327</v>
      </c>
      <c r="B1266" s="1">
        <v>45836</v>
      </c>
      <c r="C1266" t="s">
        <v>15</v>
      </c>
      <c r="D1266" t="s">
        <v>39</v>
      </c>
      <c r="E1266" t="s">
        <v>61</v>
      </c>
      <c r="F1266" t="s">
        <v>75</v>
      </c>
      <c r="G1266">
        <v>2</v>
      </c>
      <c r="H1266">
        <v>2951.05</v>
      </c>
      <c r="I1266">
        <v>0.23</v>
      </c>
      <c r="J1266">
        <v>4544.62</v>
      </c>
      <c r="K1266" t="s">
        <v>58</v>
      </c>
      <c r="L1266" t="s">
        <v>20</v>
      </c>
      <c r="M1266" t="s">
        <v>21</v>
      </c>
      <c r="N1266" t="s">
        <v>88</v>
      </c>
      <c r="O1266">
        <f>Table1[[#All],[Quantity]]*Table1[[#All],[Unit Price (?)]]</f>
        <v>5902.1</v>
      </c>
      <c r="P1266" t="str">
        <f>TEXT(Table1[[#All],[Order Date]],"dddd")</f>
        <v>Saturday</v>
      </c>
      <c r="Q1266" t="str">
        <f>TEXT(Table1[[#All],[Order Date]],"mmm")</f>
        <v>Jun</v>
      </c>
      <c r="R1266" t="str">
        <f>IF(Table1[[#All],[Total Price (?)]]&gt;1000,"High Value","Normal")</f>
        <v>High Value</v>
      </c>
    </row>
    <row r="1267" spans="1:18" x14ac:dyDescent="0.3">
      <c r="A1267" t="s">
        <v>1328</v>
      </c>
      <c r="B1267" s="1">
        <v>45745</v>
      </c>
      <c r="C1267" t="s">
        <v>48</v>
      </c>
      <c r="D1267" t="s">
        <v>25</v>
      </c>
      <c r="E1267" t="s">
        <v>27</v>
      </c>
      <c r="F1267" t="s">
        <v>68</v>
      </c>
      <c r="G1267">
        <v>1</v>
      </c>
      <c r="H1267">
        <v>1073.24</v>
      </c>
      <c r="I1267">
        <v>0.02</v>
      </c>
      <c r="J1267">
        <v>1051.78</v>
      </c>
      <c r="K1267" t="s">
        <v>33</v>
      </c>
      <c r="L1267" t="s">
        <v>29</v>
      </c>
      <c r="M1267" t="s">
        <v>21</v>
      </c>
      <c r="N1267" t="s">
        <v>37</v>
      </c>
      <c r="O1267">
        <f>Table1[[#All],[Quantity]]*Table1[[#All],[Unit Price (?)]]</f>
        <v>1073.24</v>
      </c>
      <c r="P1267" t="str">
        <f>TEXT(Table1[[#All],[Order Date]],"dddd")</f>
        <v>Saturday</v>
      </c>
      <c r="Q1267" t="str">
        <f>TEXT(Table1[[#All],[Order Date]],"mmm")</f>
        <v>Mar</v>
      </c>
      <c r="R1267" t="str">
        <f>IF(Table1[[#All],[Total Price (?)]]&gt;1000,"High Value","Normal")</f>
        <v>High Value</v>
      </c>
    </row>
    <row r="1268" spans="1:18" x14ac:dyDescent="0.3">
      <c r="A1268" t="s">
        <v>1329</v>
      </c>
      <c r="B1268" s="1">
        <v>45717</v>
      </c>
      <c r="C1268" t="s">
        <v>36</v>
      </c>
      <c r="D1268" t="s">
        <v>39</v>
      </c>
      <c r="E1268" t="s">
        <v>61</v>
      </c>
      <c r="F1268" t="s">
        <v>66</v>
      </c>
      <c r="G1268">
        <v>2</v>
      </c>
      <c r="H1268">
        <v>4614.17</v>
      </c>
      <c r="I1268">
        <v>0.03</v>
      </c>
      <c r="J1268">
        <v>8951.49</v>
      </c>
      <c r="K1268" t="s">
        <v>46</v>
      </c>
      <c r="L1268" t="s">
        <v>34</v>
      </c>
      <c r="M1268" t="s">
        <v>21</v>
      </c>
      <c r="N1268" t="s">
        <v>22</v>
      </c>
      <c r="O1268">
        <f>Table1[[#All],[Quantity]]*Table1[[#All],[Unit Price (?)]]</f>
        <v>9228.34</v>
      </c>
      <c r="P1268" t="str">
        <f>TEXT(Table1[[#All],[Order Date]],"dddd")</f>
        <v>Saturday</v>
      </c>
      <c r="Q1268" t="str">
        <f>TEXT(Table1[[#All],[Order Date]],"mmm")</f>
        <v>Mar</v>
      </c>
      <c r="R1268" t="str">
        <f>IF(Table1[[#All],[Total Price (?)]]&gt;1000,"High Value","Normal")</f>
        <v>High Value</v>
      </c>
    </row>
    <row r="1269" spans="1:18" x14ac:dyDescent="0.3">
      <c r="A1269" t="s">
        <v>1330</v>
      </c>
      <c r="B1269" s="1">
        <v>45827</v>
      </c>
      <c r="C1269" t="s">
        <v>52</v>
      </c>
      <c r="D1269" t="s">
        <v>16</v>
      </c>
      <c r="E1269" t="s">
        <v>17</v>
      </c>
      <c r="F1269" t="s">
        <v>32</v>
      </c>
      <c r="G1269">
        <v>2</v>
      </c>
      <c r="H1269">
        <v>2785.14</v>
      </c>
      <c r="I1269">
        <v>0.17</v>
      </c>
      <c r="J1269">
        <v>4623.33</v>
      </c>
      <c r="K1269" t="s">
        <v>41</v>
      </c>
      <c r="L1269" t="s">
        <v>20</v>
      </c>
      <c r="M1269" t="s">
        <v>30</v>
      </c>
      <c r="N1269" t="s">
        <v>22</v>
      </c>
      <c r="O1269">
        <f>Table1[[#All],[Quantity]]*Table1[[#All],[Unit Price (?)]]</f>
        <v>5570.28</v>
      </c>
      <c r="P1269" t="str">
        <f>TEXT(Table1[[#All],[Order Date]],"dddd")</f>
        <v>Thursday</v>
      </c>
      <c r="Q1269" t="str">
        <f>TEXT(Table1[[#All],[Order Date]],"mmm")</f>
        <v>Jun</v>
      </c>
      <c r="R1269" t="str">
        <f>IF(Table1[[#All],[Total Price (?)]]&gt;1000,"High Value","Normal")</f>
        <v>High Value</v>
      </c>
    </row>
    <row r="1270" spans="1:18" x14ac:dyDescent="0.3">
      <c r="A1270" t="s">
        <v>1331</v>
      </c>
      <c r="B1270" s="1">
        <v>45774</v>
      </c>
      <c r="C1270" t="s">
        <v>52</v>
      </c>
      <c r="D1270" t="s">
        <v>25</v>
      </c>
      <c r="E1270" t="s">
        <v>61</v>
      </c>
      <c r="F1270" t="s">
        <v>75</v>
      </c>
      <c r="G1270">
        <v>2</v>
      </c>
      <c r="H1270">
        <v>812.35</v>
      </c>
      <c r="I1270">
        <v>7.0000000000000007E-2</v>
      </c>
      <c r="J1270">
        <v>1510.97</v>
      </c>
      <c r="K1270" t="s">
        <v>41</v>
      </c>
      <c r="L1270" t="s">
        <v>29</v>
      </c>
      <c r="M1270" t="s">
        <v>54</v>
      </c>
      <c r="N1270" t="s">
        <v>88</v>
      </c>
      <c r="O1270">
        <f>Table1[[#All],[Quantity]]*Table1[[#All],[Unit Price (?)]]</f>
        <v>1624.7</v>
      </c>
      <c r="P1270" t="str">
        <f>TEXT(Table1[[#All],[Order Date]],"dddd")</f>
        <v>Sunday</v>
      </c>
      <c r="Q1270" t="str">
        <f>TEXT(Table1[[#All],[Order Date]],"mmm")</f>
        <v>Apr</v>
      </c>
      <c r="R1270" t="str">
        <f>IF(Table1[[#All],[Total Price (?)]]&gt;1000,"High Value","Normal")</f>
        <v>High Value</v>
      </c>
    </row>
    <row r="1271" spans="1:18" x14ac:dyDescent="0.3">
      <c r="A1271" t="s">
        <v>1332</v>
      </c>
      <c r="B1271" s="1">
        <v>45743</v>
      </c>
      <c r="C1271" t="s">
        <v>48</v>
      </c>
      <c r="D1271" t="s">
        <v>39</v>
      </c>
      <c r="E1271" t="s">
        <v>49</v>
      </c>
      <c r="F1271" t="s">
        <v>73</v>
      </c>
      <c r="G1271">
        <v>5</v>
      </c>
      <c r="H1271">
        <v>2058.12</v>
      </c>
      <c r="I1271">
        <v>0.14000000000000001</v>
      </c>
      <c r="J1271">
        <v>8849.92</v>
      </c>
      <c r="K1271" t="s">
        <v>19</v>
      </c>
      <c r="L1271" t="s">
        <v>29</v>
      </c>
      <c r="M1271" t="s">
        <v>30</v>
      </c>
      <c r="N1271" t="s">
        <v>22</v>
      </c>
      <c r="O1271">
        <f>Table1[[#All],[Quantity]]*Table1[[#All],[Unit Price (?)]]</f>
        <v>10290.599999999999</v>
      </c>
      <c r="P1271" t="str">
        <f>TEXT(Table1[[#All],[Order Date]],"dddd")</f>
        <v>Thursday</v>
      </c>
      <c r="Q1271" t="str">
        <f>TEXT(Table1[[#All],[Order Date]],"mmm")</f>
        <v>Mar</v>
      </c>
      <c r="R1271" t="str">
        <f>IF(Table1[[#All],[Total Price (?)]]&gt;1000,"High Value","Normal")</f>
        <v>High Value</v>
      </c>
    </row>
    <row r="1272" spans="1:18" x14ac:dyDescent="0.3">
      <c r="A1272" t="s">
        <v>1333</v>
      </c>
      <c r="B1272" s="1">
        <v>45719</v>
      </c>
      <c r="C1272" t="s">
        <v>48</v>
      </c>
      <c r="D1272" t="s">
        <v>43</v>
      </c>
      <c r="E1272" t="s">
        <v>99</v>
      </c>
      <c r="F1272" t="s">
        <v>111</v>
      </c>
      <c r="G1272">
        <v>2</v>
      </c>
      <c r="H1272">
        <v>1668.76</v>
      </c>
      <c r="I1272">
        <v>0.09</v>
      </c>
      <c r="J1272">
        <v>3037.14</v>
      </c>
      <c r="K1272" t="s">
        <v>46</v>
      </c>
      <c r="L1272" t="s">
        <v>34</v>
      </c>
      <c r="M1272" t="s">
        <v>21</v>
      </c>
      <c r="N1272" t="s">
        <v>22</v>
      </c>
      <c r="O1272">
        <f>Table1[[#All],[Quantity]]*Table1[[#All],[Unit Price (?)]]</f>
        <v>3337.52</v>
      </c>
      <c r="P1272" t="str">
        <f>TEXT(Table1[[#All],[Order Date]],"dddd")</f>
        <v>Monday</v>
      </c>
      <c r="Q1272" t="str">
        <f>TEXT(Table1[[#All],[Order Date]],"mmm")</f>
        <v>Mar</v>
      </c>
      <c r="R1272" t="str">
        <f>IF(Table1[[#All],[Total Price (?)]]&gt;1000,"High Value","Normal")</f>
        <v>High Value</v>
      </c>
    </row>
    <row r="1273" spans="1:18" x14ac:dyDescent="0.3">
      <c r="A1273" t="s">
        <v>1334</v>
      </c>
      <c r="B1273" s="1">
        <v>45770</v>
      </c>
      <c r="C1273" t="s">
        <v>24</v>
      </c>
      <c r="D1273" t="s">
        <v>43</v>
      </c>
      <c r="E1273" t="s">
        <v>61</v>
      </c>
      <c r="F1273" t="s">
        <v>75</v>
      </c>
      <c r="G1273">
        <v>4</v>
      </c>
      <c r="H1273">
        <v>2723.26</v>
      </c>
      <c r="I1273">
        <v>0.03</v>
      </c>
      <c r="J1273">
        <v>10566.25</v>
      </c>
      <c r="K1273" t="s">
        <v>33</v>
      </c>
      <c r="L1273" t="s">
        <v>29</v>
      </c>
      <c r="M1273" t="s">
        <v>21</v>
      </c>
      <c r="N1273" t="s">
        <v>22</v>
      </c>
      <c r="O1273">
        <f>Table1[[#All],[Quantity]]*Table1[[#All],[Unit Price (?)]]</f>
        <v>10893.04</v>
      </c>
      <c r="P1273" t="str">
        <f>TEXT(Table1[[#All],[Order Date]],"dddd")</f>
        <v>Wednesday</v>
      </c>
      <c r="Q1273" t="str">
        <f>TEXT(Table1[[#All],[Order Date]],"mmm")</f>
        <v>Apr</v>
      </c>
      <c r="R1273" t="str">
        <f>IF(Table1[[#All],[Total Price (?)]]&gt;1000,"High Value","Normal")</f>
        <v>High Value</v>
      </c>
    </row>
    <row r="1274" spans="1:18" x14ac:dyDescent="0.3">
      <c r="A1274" t="s">
        <v>1335</v>
      </c>
      <c r="B1274" s="1">
        <v>45780</v>
      </c>
      <c r="C1274" t="s">
        <v>48</v>
      </c>
      <c r="D1274" t="s">
        <v>25</v>
      </c>
      <c r="E1274" t="s">
        <v>27</v>
      </c>
      <c r="F1274" t="s">
        <v>68</v>
      </c>
      <c r="G1274">
        <v>1</v>
      </c>
      <c r="H1274">
        <v>2355.17</v>
      </c>
      <c r="I1274">
        <v>0.11</v>
      </c>
      <c r="J1274">
        <v>2096.1</v>
      </c>
      <c r="K1274" t="s">
        <v>46</v>
      </c>
      <c r="L1274" t="s">
        <v>29</v>
      </c>
      <c r="M1274" t="s">
        <v>21</v>
      </c>
      <c r="N1274" t="s">
        <v>22</v>
      </c>
      <c r="O1274">
        <f>Table1[[#All],[Quantity]]*Table1[[#All],[Unit Price (?)]]</f>
        <v>2355.17</v>
      </c>
      <c r="P1274" t="str">
        <f>TEXT(Table1[[#All],[Order Date]],"dddd")</f>
        <v>Saturday</v>
      </c>
      <c r="Q1274" t="str">
        <f>TEXT(Table1[[#All],[Order Date]],"mmm")</f>
        <v>May</v>
      </c>
      <c r="R1274" t="str">
        <f>IF(Table1[[#All],[Total Price (?)]]&gt;1000,"High Value","Normal")</f>
        <v>High Value</v>
      </c>
    </row>
    <row r="1275" spans="1:18" x14ac:dyDescent="0.3">
      <c r="A1275" t="s">
        <v>1336</v>
      </c>
      <c r="B1275" s="1">
        <v>45671</v>
      </c>
      <c r="C1275" t="s">
        <v>36</v>
      </c>
      <c r="D1275" t="s">
        <v>43</v>
      </c>
      <c r="E1275" t="s">
        <v>61</v>
      </c>
      <c r="F1275" t="s">
        <v>62</v>
      </c>
      <c r="G1275">
        <v>1</v>
      </c>
      <c r="H1275">
        <v>4489.62</v>
      </c>
      <c r="I1275">
        <v>0.12</v>
      </c>
      <c r="J1275">
        <v>3950.87</v>
      </c>
      <c r="K1275" t="s">
        <v>41</v>
      </c>
      <c r="L1275" t="s">
        <v>29</v>
      </c>
      <c r="M1275" t="s">
        <v>21</v>
      </c>
      <c r="N1275" t="s">
        <v>22</v>
      </c>
      <c r="O1275">
        <f>Table1[[#All],[Quantity]]*Table1[[#All],[Unit Price (?)]]</f>
        <v>4489.62</v>
      </c>
      <c r="P1275" t="str">
        <f>TEXT(Table1[[#All],[Order Date]],"dddd")</f>
        <v>Tuesday</v>
      </c>
      <c r="Q1275" t="str">
        <f>TEXT(Table1[[#All],[Order Date]],"mmm")</f>
        <v>Jan</v>
      </c>
      <c r="R1275" t="str">
        <f>IF(Table1[[#All],[Total Price (?)]]&gt;1000,"High Value","Normal")</f>
        <v>High Value</v>
      </c>
    </row>
    <row r="1276" spans="1:18" x14ac:dyDescent="0.3">
      <c r="A1276" t="s">
        <v>1337</v>
      </c>
      <c r="B1276" s="1">
        <v>45778</v>
      </c>
      <c r="C1276" t="s">
        <v>15</v>
      </c>
      <c r="D1276" t="s">
        <v>43</v>
      </c>
      <c r="E1276" t="s">
        <v>99</v>
      </c>
      <c r="F1276" t="s">
        <v>120</v>
      </c>
      <c r="G1276">
        <v>1</v>
      </c>
      <c r="H1276">
        <v>3596.7</v>
      </c>
      <c r="I1276">
        <v>0.12</v>
      </c>
      <c r="J1276">
        <v>3165.1</v>
      </c>
      <c r="K1276" t="s">
        <v>33</v>
      </c>
      <c r="L1276" t="s">
        <v>34</v>
      </c>
      <c r="M1276" t="s">
        <v>21</v>
      </c>
      <c r="N1276" t="s">
        <v>59</v>
      </c>
      <c r="O1276">
        <f>Table1[[#All],[Quantity]]*Table1[[#All],[Unit Price (?)]]</f>
        <v>3596.7</v>
      </c>
      <c r="P1276" t="str">
        <f>TEXT(Table1[[#All],[Order Date]],"dddd")</f>
        <v>Thursday</v>
      </c>
      <c r="Q1276" t="str">
        <f>TEXT(Table1[[#All],[Order Date]],"mmm")</f>
        <v>May</v>
      </c>
      <c r="R1276" t="str">
        <f>IF(Table1[[#All],[Total Price (?)]]&gt;1000,"High Value","Normal")</f>
        <v>High Value</v>
      </c>
    </row>
    <row r="1277" spans="1:18" x14ac:dyDescent="0.3">
      <c r="A1277" t="s">
        <v>1338</v>
      </c>
      <c r="B1277" s="1">
        <v>45803</v>
      </c>
      <c r="C1277" t="s">
        <v>15</v>
      </c>
      <c r="D1277" t="s">
        <v>25</v>
      </c>
      <c r="E1277" t="s">
        <v>61</v>
      </c>
      <c r="F1277" t="s">
        <v>92</v>
      </c>
      <c r="G1277">
        <v>3</v>
      </c>
      <c r="H1277">
        <v>1719.61</v>
      </c>
      <c r="I1277">
        <v>0.14000000000000001</v>
      </c>
      <c r="J1277">
        <v>4436.59</v>
      </c>
      <c r="K1277" t="s">
        <v>33</v>
      </c>
      <c r="L1277" t="s">
        <v>29</v>
      </c>
      <c r="M1277" t="s">
        <v>21</v>
      </c>
      <c r="N1277" t="s">
        <v>22</v>
      </c>
      <c r="O1277">
        <f>Table1[[#All],[Quantity]]*Table1[[#All],[Unit Price (?)]]</f>
        <v>5158.83</v>
      </c>
      <c r="P1277" t="str">
        <f>TEXT(Table1[[#All],[Order Date]],"dddd")</f>
        <v>Monday</v>
      </c>
      <c r="Q1277" t="str">
        <f>TEXT(Table1[[#All],[Order Date]],"mmm")</f>
        <v>May</v>
      </c>
      <c r="R1277" t="str">
        <f>IF(Table1[[#All],[Total Price (?)]]&gt;1000,"High Value","Normal")</f>
        <v>High Value</v>
      </c>
    </row>
    <row r="1278" spans="1:18" x14ac:dyDescent="0.3">
      <c r="A1278" t="s">
        <v>1339</v>
      </c>
      <c r="B1278" s="1">
        <v>45679</v>
      </c>
      <c r="C1278" t="s">
        <v>24</v>
      </c>
      <c r="D1278" t="s">
        <v>16</v>
      </c>
      <c r="E1278" t="s">
        <v>27</v>
      </c>
      <c r="F1278" t="s">
        <v>28</v>
      </c>
      <c r="G1278">
        <v>3</v>
      </c>
      <c r="H1278">
        <v>2978.49</v>
      </c>
      <c r="I1278">
        <v>0.19</v>
      </c>
      <c r="J1278">
        <v>7237.73</v>
      </c>
      <c r="K1278" t="s">
        <v>33</v>
      </c>
      <c r="L1278" t="s">
        <v>20</v>
      </c>
      <c r="M1278" t="s">
        <v>54</v>
      </c>
      <c r="N1278" t="s">
        <v>22</v>
      </c>
      <c r="O1278">
        <f>Table1[[#All],[Quantity]]*Table1[[#All],[Unit Price (?)]]</f>
        <v>8935.4699999999993</v>
      </c>
      <c r="P1278" t="str">
        <f>TEXT(Table1[[#All],[Order Date]],"dddd")</f>
        <v>Wednesday</v>
      </c>
      <c r="Q1278" t="str">
        <f>TEXT(Table1[[#All],[Order Date]],"mmm")</f>
        <v>Jan</v>
      </c>
      <c r="R1278" t="str">
        <f>IF(Table1[[#All],[Total Price (?)]]&gt;1000,"High Value","Normal")</f>
        <v>High Value</v>
      </c>
    </row>
    <row r="1279" spans="1:18" x14ac:dyDescent="0.3">
      <c r="A1279" t="s">
        <v>1340</v>
      </c>
      <c r="B1279" s="1">
        <v>45808</v>
      </c>
      <c r="C1279" t="s">
        <v>52</v>
      </c>
      <c r="D1279" t="s">
        <v>16</v>
      </c>
      <c r="E1279" t="s">
        <v>61</v>
      </c>
      <c r="F1279" t="s">
        <v>75</v>
      </c>
      <c r="G1279">
        <v>2</v>
      </c>
      <c r="H1279">
        <v>244.49</v>
      </c>
      <c r="I1279">
        <v>0.23</v>
      </c>
      <c r="J1279">
        <v>376.51</v>
      </c>
      <c r="K1279" t="s">
        <v>33</v>
      </c>
      <c r="L1279" t="s">
        <v>20</v>
      </c>
      <c r="M1279" t="s">
        <v>21</v>
      </c>
      <c r="N1279" t="s">
        <v>22</v>
      </c>
      <c r="O1279">
        <f>Table1[[#All],[Quantity]]*Table1[[#All],[Unit Price (?)]]</f>
        <v>488.98</v>
      </c>
      <c r="P1279" t="str">
        <f>TEXT(Table1[[#All],[Order Date]],"dddd")</f>
        <v>Saturday</v>
      </c>
      <c r="Q1279" t="str">
        <f>TEXT(Table1[[#All],[Order Date]],"mmm")</f>
        <v>May</v>
      </c>
      <c r="R1279" t="str">
        <f>IF(Table1[[#All],[Total Price (?)]]&gt;1000,"High Value","Normal")</f>
        <v>Normal</v>
      </c>
    </row>
    <row r="1280" spans="1:18" x14ac:dyDescent="0.3">
      <c r="A1280" t="s">
        <v>1341</v>
      </c>
      <c r="B1280" s="1">
        <v>45700</v>
      </c>
      <c r="C1280" t="s">
        <v>36</v>
      </c>
      <c r="D1280" t="s">
        <v>43</v>
      </c>
      <c r="E1280" t="s">
        <v>17</v>
      </c>
      <c r="F1280" t="s">
        <v>40</v>
      </c>
      <c r="G1280">
        <v>4</v>
      </c>
      <c r="H1280">
        <v>3512.43</v>
      </c>
      <c r="I1280">
        <v>0.03</v>
      </c>
      <c r="J1280">
        <v>13628.23</v>
      </c>
      <c r="K1280" t="s">
        <v>41</v>
      </c>
      <c r="L1280" t="s">
        <v>34</v>
      </c>
      <c r="M1280" t="s">
        <v>30</v>
      </c>
      <c r="N1280" t="s">
        <v>22</v>
      </c>
      <c r="O1280">
        <f>Table1[[#All],[Quantity]]*Table1[[#All],[Unit Price (?)]]</f>
        <v>14049.72</v>
      </c>
      <c r="P1280" t="str">
        <f>TEXT(Table1[[#All],[Order Date]],"dddd")</f>
        <v>Wednesday</v>
      </c>
      <c r="Q1280" t="str">
        <f>TEXT(Table1[[#All],[Order Date]],"mmm")</f>
        <v>Feb</v>
      </c>
      <c r="R1280" t="str">
        <f>IF(Table1[[#All],[Total Price (?)]]&gt;1000,"High Value","Normal")</f>
        <v>High Value</v>
      </c>
    </row>
    <row r="1281" spans="1:18" x14ac:dyDescent="0.3">
      <c r="A1281" t="s">
        <v>1342</v>
      </c>
      <c r="B1281" s="1">
        <v>45781</v>
      </c>
      <c r="C1281" t="s">
        <v>48</v>
      </c>
      <c r="D1281" t="s">
        <v>39</v>
      </c>
      <c r="E1281" t="s">
        <v>99</v>
      </c>
      <c r="F1281" t="s">
        <v>100</v>
      </c>
      <c r="G1281">
        <v>1</v>
      </c>
      <c r="H1281">
        <v>1004.38</v>
      </c>
      <c r="I1281">
        <v>0.1</v>
      </c>
      <c r="J1281">
        <v>903.94</v>
      </c>
      <c r="K1281" t="s">
        <v>46</v>
      </c>
      <c r="L1281" t="s">
        <v>34</v>
      </c>
      <c r="M1281" t="s">
        <v>54</v>
      </c>
      <c r="N1281" t="s">
        <v>59</v>
      </c>
      <c r="O1281">
        <f>Table1[[#All],[Quantity]]*Table1[[#All],[Unit Price (?)]]</f>
        <v>1004.38</v>
      </c>
      <c r="P1281" t="str">
        <f>TEXT(Table1[[#All],[Order Date]],"dddd")</f>
        <v>Sunday</v>
      </c>
      <c r="Q1281" t="str">
        <f>TEXT(Table1[[#All],[Order Date]],"mmm")</f>
        <v>May</v>
      </c>
      <c r="R1281" t="str">
        <f>IF(Table1[[#All],[Total Price (?)]]&gt;1000,"High Value","Normal")</f>
        <v>Normal</v>
      </c>
    </row>
    <row r="1282" spans="1:18" x14ac:dyDescent="0.3">
      <c r="A1282" t="s">
        <v>1343</v>
      </c>
      <c r="B1282" s="1">
        <v>45700</v>
      </c>
      <c r="C1282" t="s">
        <v>48</v>
      </c>
      <c r="D1282" t="s">
        <v>16</v>
      </c>
      <c r="E1282" t="s">
        <v>17</v>
      </c>
      <c r="F1282" t="s">
        <v>32</v>
      </c>
      <c r="G1282">
        <v>3</v>
      </c>
      <c r="H1282">
        <v>199.96</v>
      </c>
      <c r="I1282">
        <v>0.15</v>
      </c>
      <c r="J1282">
        <v>509.9</v>
      </c>
      <c r="K1282" t="s">
        <v>58</v>
      </c>
      <c r="L1282" t="s">
        <v>29</v>
      </c>
      <c r="M1282" t="s">
        <v>21</v>
      </c>
      <c r="N1282" t="s">
        <v>22</v>
      </c>
      <c r="O1282">
        <f>Table1[[#All],[Quantity]]*Table1[[#All],[Unit Price (?)]]</f>
        <v>599.88</v>
      </c>
      <c r="P1282" t="str">
        <f>TEXT(Table1[[#All],[Order Date]],"dddd")</f>
        <v>Wednesday</v>
      </c>
      <c r="Q1282" t="str">
        <f>TEXT(Table1[[#All],[Order Date]],"mmm")</f>
        <v>Feb</v>
      </c>
      <c r="R1282" t="str">
        <f>IF(Table1[[#All],[Total Price (?)]]&gt;1000,"High Value","Normal")</f>
        <v>Normal</v>
      </c>
    </row>
    <row r="1283" spans="1:18" x14ac:dyDescent="0.3">
      <c r="A1283" t="s">
        <v>1344</v>
      </c>
      <c r="B1283" s="1">
        <v>45711</v>
      </c>
      <c r="C1283" t="s">
        <v>24</v>
      </c>
      <c r="D1283" t="s">
        <v>39</v>
      </c>
      <c r="E1283" t="s">
        <v>17</v>
      </c>
      <c r="F1283" t="s">
        <v>44</v>
      </c>
      <c r="G1283">
        <v>1</v>
      </c>
      <c r="H1283">
        <v>1701.61</v>
      </c>
      <c r="I1283">
        <v>0.08</v>
      </c>
      <c r="J1283">
        <v>1565.48</v>
      </c>
      <c r="K1283" t="s">
        <v>33</v>
      </c>
      <c r="L1283" t="s">
        <v>20</v>
      </c>
      <c r="M1283" t="s">
        <v>21</v>
      </c>
      <c r="N1283" t="s">
        <v>37</v>
      </c>
      <c r="O1283">
        <f>Table1[[#All],[Quantity]]*Table1[[#All],[Unit Price (?)]]</f>
        <v>1701.61</v>
      </c>
      <c r="P1283" t="str">
        <f>TEXT(Table1[[#All],[Order Date]],"dddd")</f>
        <v>Sunday</v>
      </c>
      <c r="Q1283" t="str">
        <f>TEXT(Table1[[#All],[Order Date]],"mmm")</f>
        <v>Feb</v>
      </c>
      <c r="R1283" t="str">
        <f>IF(Table1[[#All],[Total Price (?)]]&gt;1000,"High Value","Normal")</f>
        <v>High Value</v>
      </c>
    </row>
    <row r="1284" spans="1:18" x14ac:dyDescent="0.3">
      <c r="A1284" t="s">
        <v>1345</v>
      </c>
      <c r="B1284" s="1">
        <v>45788</v>
      </c>
      <c r="C1284" t="s">
        <v>36</v>
      </c>
      <c r="D1284" t="s">
        <v>43</v>
      </c>
      <c r="E1284" t="s">
        <v>61</v>
      </c>
      <c r="F1284" t="s">
        <v>75</v>
      </c>
      <c r="G1284">
        <v>5</v>
      </c>
      <c r="H1284">
        <v>1170.03</v>
      </c>
      <c r="I1284">
        <v>0.09</v>
      </c>
      <c r="J1284">
        <v>5323.64</v>
      </c>
      <c r="K1284" t="s">
        <v>41</v>
      </c>
      <c r="L1284" t="s">
        <v>20</v>
      </c>
      <c r="M1284" t="s">
        <v>21</v>
      </c>
      <c r="N1284" t="s">
        <v>22</v>
      </c>
      <c r="O1284">
        <f>Table1[[#All],[Quantity]]*Table1[[#All],[Unit Price (?)]]</f>
        <v>5850.15</v>
      </c>
      <c r="P1284" t="str">
        <f>TEXT(Table1[[#All],[Order Date]],"dddd")</f>
        <v>Sunday</v>
      </c>
      <c r="Q1284" t="str">
        <f>TEXT(Table1[[#All],[Order Date]],"mmm")</f>
        <v>May</v>
      </c>
      <c r="R1284" t="str">
        <f>IF(Table1[[#All],[Total Price (?)]]&gt;1000,"High Value","Normal")</f>
        <v>High Value</v>
      </c>
    </row>
    <row r="1285" spans="1:18" x14ac:dyDescent="0.3">
      <c r="A1285" t="s">
        <v>1346</v>
      </c>
      <c r="B1285" s="1">
        <v>45675</v>
      </c>
      <c r="C1285" t="s">
        <v>48</v>
      </c>
      <c r="D1285" t="s">
        <v>16</v>
      </c>
      <c r="E1285" t="s">
        <v>27</v>
      </c>
      <c r="F1285" t="s">
        <v>68</v>
      </c>
      <c r="G1285">
        <v>2</v>
      </c>
      <c r="H1285">
        <v>4090.37</v>
      </c>
      <c r="I1285">
        <v>0.11</v>
      </c>
      <c r="J1285">
        <v>7280.86</v>
      </c>
      <c r="K1285" t="s">
        <v>19</v>
      </c>
      <c r="L1285" t="s">
        <v>29</v>
      </c>
      <c r="M1285" t="s">
        <v>21</v>
      </c>
      <c r="N1285" t="s">
        <v>37</v>
      </c>
      <c r="O1285">
        <f>Table1[[#All],[Quantity]]*Table1[[#All],[Unit Price (?)]]</f>
        <v>8180.74</v>
      </c>
      <c r="P1285" t="str">
        <f>TEXT(Table1[[#All],[Order Date]],"dddd")</f>
        <v>Saturday</v>
      </c>
      <c r="Q1285" t="str">
        <f>TEXT(Table1[[#All],[Order Date]],"mmm")</f>
        <v>Jan</v>
      </c>
      <c r="R1285" t="str">
        <f>IF(Table1[[#All],[Total Price (?)]]&gt;1000,"High Value","Normal")</f>
        <v>High Value</v>
      </c>
    </row>
    <row r="1286" spans="1:18" x14ac:dyDescent="0.3">
      <c r="A1286" t="s">
        <v>1347</v>
      </c>
      <c r="B1286" s="1">
        <v>45690</v>
      </c>
      <c r="C1286" t="s">
        <v>15</v>
      </c>
      <c r="D1286" t="s">
        <v>25</v>
      </c>
      <c r="E1286" t="s">
        <v>17</v>
      </c>
      <c r="F1286" t="s">
        <v>32</v>
      </c>
      <c r="G1286">
        <v>2</v>
      </c>
      <c r="H1286">
        <v>2991.52</v>
      </c>
      <c r="I1286">
        <v>0.04</v>
      </c>
      <c r="J1286">
        <v>5743.72</v>
      </c>
      <c r="K1286" t="s">
        <v>58</v>
      </c>
      <c r="L1286" t="s">
        <v>34</v>
      </c>
      <c r="M1286" t="s">
        <v>54</v>
      </c>
      <c r="N1286" t="s">
        <v>22</v>
      </c>
      <c r="O1286">
        <f>Table1[[#All],[Quantity]]*Table1[[#All],[Unit Price (?)]]</f>
        <v>5983.04</v>
      </c>
      <c r="P1286" t="str">
        <f>TEXT(Table1[[#All],[Order Date]],"dddd")</f>
        <v>Sunday</v>
      </c>
      <c r="Q1286" t="str">
        <f>TEXT(Table1[[#All],[Order Date]],"mmm")</f>
        <v>Feb</v>
      </c>
      <c r="R1286" t="str">
        <f>IF(Table1[[#All],[Total Price (?)]]&gt;1000,"High Value","Normal")</f>
        <v>High Value</v>
      </c>
    </row>
    <row r="1287" spans="1:18" x14ac:dyDescent="0.3">
      <c r="A1287" t="s">
        <v>1348</v>
      </c>
      <c r="B1287" s="1">
        <v>45706</v>
      </c>
      <c r="C1287" t="s">
        <v>48</v>
      </c>
      <c r="D1287" t="s">
        <v>39</v>
      </c>
      <c r="E1287" t="s">
        <v>61</v>
      </c>
      <c r="F1287" t="s">
        <v>66</v>
      </c>
      <c r="G1287">
        <v>4</v>
      </c>
      <c r="H1287">
        <v>4725.6499999999996</v>
      </c>
      <c r="I1287">
        <v>0.17</v>
      </c>
      <c r="J1287">
        <v>15689.16</v>
      </c>
      <c r="K1287" t="s">
        <v>33</v>
      </c>
      <c r="L1287" t="s">
        <v>34</v>
      </c>
      <c r="M1287" t="s">
        <v>54</v>
      </c>
      <c r="N1287" t="s">
        <v>22</v>
      </c>
      <c r="O1287">
        <f>Table1[[#All],[Quantity]]*Table1[[#All],[Unit Price (?)]]</f>
        <v>18902.599999999999</v>
      </c>
      <c r="P1287" t="str">
        <f>TEXT(Table1[[#All],[Order Date]],"dddd")</f>
        <v>Tuesday</v>
      </c>
      <c r="Q1287" t="str">
        <f>TEXT(Table1[[#All],[Order Date]],"mmm")</f>
        <v>Feb</v>
      </c>
      <c r="R1287" t="str">
        <f>IF(Table1[[#All],[Total Price (?)]]&gt;1000,"High Value","Normal")</f>
        <v>High Value</v>
      </c>
    </row>
    <row r="1288" spans="1:18" x14ac:dyDescent="0.3">
      <c r="A1288" t="s">
        <v>1349</v>
      </c>
      <c r="B1288" s="1">
        <v>45693</v>
      </c>
      <c r="C1288" t="s">
        <v>48</v>
      </c>
      <c r="D1288" t="s">
        <v>16</v>
      </c>
      <c r="E1288" t="s">
        <v>61</v>
      </c>
      <c r="F1288" t="s">
        <v>75</v>
      </c>
      <c r="G1288">
        <v>1</v>
      </c>
      <c r="H1288">
        <v>1855.77</v>
      </c>
      <c r="I1288">
        <v>0.23</v>
      </c>
      <c r="J1288">
        <v>1428.94</v>
      </c>
      <c r="K1288" t="s">
        <v>19</v>
      </c>
      <c r="L1288" t="s">
        <v>34</v>
      </c>
      <c r="M1288" t="s">
        <v>30</v>
      </c>
      <c r="N1288" t="s">
        <v>88</v>
      </c>
      <c r="O1288">
        <f>Table1[[#All],[Quantity]]*Table1[[#All],[Unit Price (?)]]</f>
        <v>1855.77</v>
      </c>
      <c r="P1288" t="str">
        <f>TEXT(Table1[[#All],[Order Date]],"dddd")</f>
        <v>Wednesday</v>
      </c>
      <c r="Q1288" t="str">
        <f>TEXT(Table1[[#All],[Order Date]],"mmm")</f>
        <v>Feb</v>
      </c>
      <c r="R1288" t="str">
        <f>IF(Table1[[#All],[Total Price (?)]]&gt;1000,"High Value","Normal")</f>
        <v>High Value</v>
      </c>
    </row>
    <row r="1289" spans="1:18" x14ac:dyDescent="0.3">
      <c r="A1289" t="s">
        <v>1350</v>
      </c>
      <c r="B1289" s="1">
        <v>45767</v>
      </c>
      <c r="C1289" t="s">
        <v>36</v>
      </c>
      <c r="D1289" t="s">
        <v>43</v>
      </c>
      <c r="E1289" t="s">
        <v>17</v>
      </c>
      <c r="F1289" t="s">
        <v>32</v>
      </c>
      <c r="G1289">
        <v>5</v>
      </c>
      <c r="H1289">
        <v>2656.2</v>
      </c>
      <c r="I1289">
        <v>0.19</v>
      </c>
      <c r="J1289">
        <v>10757.61</v>
      </c>
      <c r="K1289" t="s">
        <v>33</v>
      </c>
      <c r="L1289" t="s">
        <v>29</v>
      </c>
      <c r="M1289" t="s">
        <v>21</v>
      </c>
      <c r="N1289" t="s">
        <v>22</v>
      </c>
      <c r="O1289">
        <f>Table1[[#All],[Quantity]]*Table1[[#All],[Unit Price (?)]]</f>
        <v>13281</v>
      </c>
      <c r="P1289" t="str">
        <f>TEXT(Table1[[#All],[Order Date]],"dddd")</f>
        <v>Sunday</v>
      </c>
      <c r="Q1289" t="str">
        <f>TEXT(Table1[[#All],[Order Date]],"mmm")</f>
        <v>Apr</v>
      </c>
      <c r="R1289" t="str">
        <f>IF(Table1[[#All],[Total Price (?)]]&gt;1000,"High Value","Normal")</f>
        <v>High Value</v>
      </c>
    </row>
    <row r="1290" spans="1:18" x14ac:dyDescent="0.3">
      <c r="A1290" t="s">
        <v>1351</v>
      </c>
      <c r="B1290" s="1">
        <v>45674</v>
      </c>
      <c r="C1290" t="s">
        <v>52</v>
      </c>
      <c r="D1290" t="s">
        <v>16</v>
      </c>
      <c r="E1290" t="s">
        <v>61</v>
      </c>
      <c r="F1290" t="s">
        <v>92</v>
      </c>
      <c r="G1290">
        <v>4</v>
      </c>
      <c r="H1290">
        <v>2080.77</v>
      </c>
      <c r="I1290">
        <v>0.09</v>
      </c>
      <c r="J1290">
        <v>7574</v>
      </c>
      <c r="K1290" t="s">
        <v>46</v>
      </c>
      <c r="L1290" t="s">
        <v>29</v>
      </c>
      <c r="M1290" t="s">
        <v>30</v>
      </c>
      <c r="N1290" t="s">
        <v>22</v>
      </c>
      <c r="O1290">
        <f>Table1[[#All],[Quantity]]*Table1[[#All],[Unit Price (?)]]</f>
        <v>8323.08</v>
      </c>
      <c r="P1290" t="str">
        <f>TEXT(Table1[[#All],[Order Date]],"dddd")</f>
        <v>Friday</v>
      </c>
      <c r="Q1290" t="str">
        <f>TEXT(Table1[[#All],[Order Date]],"mmm")</f>
        <v>Jan</v>
      </c>
      <c r="R1290" t="str">
        <f>IF(Table1[[#All],[Total Price (?)]]&gt;1000,"High Value","Normal")</f>
        <v>High Value</v>
      </c>
    </row>
    <row r="1291" spans="1:18" x14ac:dyDescent="0.3">
      <c r="A1291" t="s">
        <v>1352</v>
      </c>
      <c r="B1291" s="1">
        <v>45690</v>
      </c>
      <c r="C1291" t="s">
        <v>36</v>
      </c>
      <c r="D1291" t="s">
        <v>16</v>
      </c>
      <c r="E1291" t="s">
        <v>99</v>
      </c>
      <c r="F1291" t="s">
        <v>115</v>
      </c>
      <c r="G1291">
        <v>4</v>
      </c>
      <c r="H1291">
        <v>4962.21</v>
      </c>
      <c r="I1291">
        <v>0.19</v>
      </c>
      <c r="J1291">
        <v>16077.56</v>
      </c>
      <c r="K1291" t="s">
        <v>41</v>
      </c>
      <c r="L1291" t="s">
        <v>34</v>
      </c>
      <c r="M1291" t="s">
        <v>21</v>
      </c>
      <c r="N1291" t="s">
        <v>22</v>
      </c>
      <c r="O1291">
        <f>Table1[[#All],[Quantity]]*Table1[[#All],[Unit Price (?)]]</f>
        <v>19848.84</v>
      </c>
      <c r="P1291" t="str">
        <f>TEXT(Table1[[#All],[Order Date]],"dddd")</f>
        <v>Sunday</v>
      </c>
      <c r="Q1291" t="str">
        <f>TEXT(Table1[[#All],[Order Date]],"mmm")</f>
        <v>Feb</v>
      </c>
      <c r="R1291" t="str">
        <f>IF(Table1[[#All],[Total Price (?)]]&gt;1000,"High Value","Normal")</f>
        <v>High Value</v>
      </c>
    </row>
    <row r="1292" spans="1:18" x14ac:dyDescent="0.3">
      <c r="A1292" t="s">
        <v>1353</v>
      </c>
      <c r="B1292" s="1">
        <v>45660</v>
      </c>
      <c r="C1292" t="s">
        <v>24</v>
      </c>
      <c r="D1292" t="s">
        <v>16</v>
      </c>
      <c r="E1292" t="s">
        <v>17</v>
      </c>
      <c r="F1292" t="s">
        <v>44</v>
      </c>
      <c r="G1292">
        <v>5</v>
      </c>
      <c r="H1292">
        <v>2759.66</v>
      </c>
      <c r="I1292">
        <v>0.16</v>
      </c>
      <c r="J1292">
        <v>11590.57</v>
      </c>
      <c r="K1292" t="s">
        <v>46</v>
      </c>
      <c r="L1292" t="s">
        <v>29</v>
      </c>
      <c r="M1292" t="s">
        <v>21</v>
      </c>
      <c r="N1292" t="s">
        <v>22</v>
      </c>
      <c r="O1292">
        <f>Table1[[#All],[Quantity]]*Table1[[#All],[Unit Price (?)]]</f>
        <v>13798.3</v>
      </c>
      <c r="P1292" t="str">
        <f>TEXT(Table1[[#All],[Order Date]],"dddd")</f>
        <v>Friday</v>
      </c>
      <c r="Q1292" t="str">
        <f>TEXT(Table1[[#All],[Order Date]],"mmm")</f>
        <v>Jan</v>
      </c>
      <c r="R1292" t="str">
        <f>IF(Table1[[#All],[Total Price (?)]]&gt;1000,"High Value","Normal")</f>
        <v>High Value</v>
      </c>
    </row>
    <row r="1293" spans="1:18" x14ac:dyDescent="0.3">
      <c r="A1293" t="s">
        <v>1354</v>
      </c>
      <c r="B1293" s="1">
        <v>45739</v>
      </c>
      <c r="C1293" t="s">
        <v>48</v>
      </c>
      <c r="D1293" t="s">
        <v>43</v>
      </c>
      <c r="E1293" t="s">
        <v>17</v>
      </c>
      <c r="F1293" t="s">
        <v>32</v>
      </c>
      <c r="G1293">
        <v>5</v>
      </c>
      <c r="H1293">
        <v>356.93</v>
      </c>
      <c r="I1293">
        <v>0.21</v>
      </c>
      <c r="J1293">
        <v>1409.87</v>
      </c>
      <c r="K1293" t="s">
        <v>19</v>
      </c>
      <c r="L1293" t="s">
        <v>34</v>
      </c>
      <c r="M1293" t="s">
        <v>30</v>
      </c>
      <c r="N1293" t="s">
        <v>22</v>
      </c>
      <c r="O1293">
        <f>Table1[[#All],[Quantity]]*Table1[[#All],[Unit Price (?)]]</f>
        <v>1784.65</v>
      </c>
      <c r="P1293" t="str">
        <f>TEXT(Table1[[#All],[Order Date]],"dddd")</f>
        <v>Sunday</v>
      </c>
      <c r="Q1293" t="str">
        <f>TEXT(Table1[[#All],[Order Date]],"mmm")</f>
        <v>Mar</v>
      </c>
      <c r="R1293" t="str">
        <f>IF(Table1[[#All],[Total Price (?)]]&gt;1000,"High Value","Normal")</f>
        <v>High Value</v>
      </c>
    </row>
    <row r="1294" spans="1:18" x14ac:dyDescent="0.3">
      <c r="A1294" t="s">
        <v>1355</v>
      </c>
      <c r="B1294" s="1">
        <v>45747</v>
      </c>
      <c r="C1294" t="s">
        <v>24</v>
      </c>
      <c r="D1294" t="s">
        <v>25</v>
      </c>
      <c r="E1294" t="s">
        <v>17</v>
      </c>
      <c r="F1294" t="s">
        <v>44</v>
      </c>
      <c r="G1294">
        <v>2</v>
      </c>
      <c r="H1294">
        <v>3590.81</v>
      </c>
      <c r="I1294">
        <v>0.02</v>
      </c>
      <c r="J1294">
        <v>7037.99</v>
      </c>
      <c r="K1294" t="s">
        <v>41</v>
      </c>
      <c r="L1294" t="s">
        <v>20</v>
      </c>
      <c r="M1294" t="s">
        <v>54</v>
      </c>
      <c r="N1294" t="s">
        <v>22</v>
      </c>
      <c r="O1294">
        <f>Table1[[#All],[Quantity]]*Table1[[#All],[Unit Price (?)]]</f>
        <v>7181.62</v>
      </c>
      <c r="P1294" t="str">
        <f>TEXT(Table1[[#All],[Order Date]],"dddd")</f>
        <v>Monday</v>
      </c>
      <c r="Q1294" t="str">
        <f>TEXT(Table1[[#All],[Order Date]],"mmm")</f>
        <v>Mar</v>
      </c>
      <c r="R1294" t="str">
        <f>IF(Table1[[#All],[Total Price (?)]]&gt;1000,"High Value","Normal")</f>
        <v>High Value</v>
      </c>
    </row>
    <row r="1295" spans="1:18" x14ac:dyDescent="0.3">
      <c r="A1295" t="s">
        <v>1356</v>
      </c>
      <c r="B1295" s="1">
        <v>45793</v>
      </c>
      <c r="C1295" t="s">
        <v>24</v>
      </c>
      <c r="D1295" t="s">
        <v>39</v>
      </c>
      <c r="E1295" t="s">
        <v>27</v>
      </c>
      <c r="F1295" t="s">
        <v>79</v>
      </c>
      <c r="G1295">
        <v>1</v>
      </c>
      <c r="H1295">
        <v>4629.13</v>
      </c>
      <c r="I1295">
        <v>0</v>
      </c>
      <c r="J1295">
        <v>4629.13</v>
      </c>
      <c r="K1295" t="s">
        <v>41</v>
      </c>
      <c r="L1295" t="s">
        <v>20</v>
      </c>
      <c r="M1295" t="s">
        <v>54</v>
      </c>
      <c r="N1295" t="s">
        <v>59</v>
      </c>
      <c r="O1295">
        <f>Table1[[#All],[Quantity]]*Table1[[#All],[Unit Price (?)]]</f>
        <v>4629.13</v>
      </c>
      <c r="P1295" t="str">
        <f>TEXT(Table1[[#All],[Order Date]],"dddd")</f>
        <v>Friday</v>
      </c>
      <c r="Q1295" t="str">
        <f>TEXT(Table1[[#All],[Order Date]],"mmm")</f>
        <v>May</v>
      </c>
      <c r="R1295" t="str">
        <f>IF(Table1[[#All],[Total Price (?)]]&gt;1000,"High Value","Normal")</f>
        <v>High Value</v>
      </c>
    </row>
    <row r="1296" spans="1:18" x14ac:dyDescent="0.3">
      <c r="A1296" t="s">
        <v>1357</v>
      </c>
      <c r="B1296" s="1">
        <v>45775</v>
      </c>
      <c r="C1296" t="s">
        <v>15</v>
      </c>
      <c r="D1296" t="s">
        <v>39</v>
      </c>
      <c r="E1296" t="s">
        <v>49</v>
      </c>
      <c r="F1296" t="s">
        <v>73</v>
      </c>
      <c r="G1296">
        <v>2</v>
      </c>
      <c r="H1296">
        <v>794.18</v>
      </c>
      <c r="I1296">
        <v>0.06</v>
      </c>
      <c r="J1296">
        <v>1493.06</v>
      </c>
      <c r="K1296" t="s">
        <v>41</v>
      </c>
      <c r="L1296" t="s">
        <v>20</v>
      </c>
      <c r="M1296" t="s">
        <v>21</v>
      </c>
      <c r="N1296" t="s">
        <v>37</v>
      </c>
      <c r="O1296">
        <f>Table1[[#All],[Quantity]]*Table1[[#All],[Unit Price (?)]]</f>
        <v>1588.36</v>
      </c>
      <c r="P1296" t="str">
        <f>TEXT(Table1[[#All],[Order Date]],"dddd")</f>
        <v>Monday</v>
      </c>
      <c r="Q1296" t="str">
        <f>TEXT(Table1[[#All],[Order Date]],"mmm")</f>
        <v>Apr</v>
      </c>
      <c r="R1296" t="str">
        <f>IF(Table1[[#All],[Total Price (?)]]&gt;1000,"High Value","Normal")</f>
        <v>High Value</v>
      </c>
    </row>
    <row r="1297" spans="1:18" x14ac:dyDescent="0.3">
      <c r="A1297" t="s">
        <v>1358</v>
      </c>
      <c r="B1297" s="1">
        <v>45751</v>
      </c>
      <c r="C1297" t="s">
        <v>52</v>
      </c>
      <c r="D1297" t="s">
        <v>43</v>
      </c>
      <c r="E1297" t="s">
        <v>49</v>
      </c>
      <c r="F1297" t="s">
        <v>53</v>
      </c>
      <c r="G1297">
        <v>1</v>
      </c>
      <c r="H1297">
        <v>2137.85</v>
      </c>
      <c r="I1297">
        <v>0.1</v>
      </c>
      <c r="J1297">
        <v>1924.07</v>
      </c>
      <c r="K1297" t="s">
        <v>46</v>
      </c>
      <c r="L1297" t="s">
        <v>34</v>
      </c>
      <c r="M1297" t="s">
        <v>30</v>
      </c>
      <c r="N1297" t="s">
        <v>88</v>
      </c>
      <c r="O1297">
        <f>Table1[[#All],[Quantity]]*Table1[[#All],[Unit Price (?)]]</f>
        <v>2137.85</v>
      </c>
      <c r="P1297" t="str">
        <f>TEXT(Table1[[#All],[Order Date]],"dddd")</f>
        <v>Friday</v>
      </c>
      <c r="Q1297" t="str">
        <f>TEXT(Table1[[#All],[Order Date]],"mmm")</f>
        <v>Apr</v>
      </c>
      <c r="R1297" t="str">
        <f>IF(Table1[[#All],[Total Price (?)]]&gt;1000,"High Value","Normal")</f>
        <v>High Value</v>
      </c>
    </row>
    <row r="1298" spans="1:18" x14ac:dyDescent="0.3">
      <c r="A1298" t="s">
        <v>1359</v>
      </c>
      <c r="B1298" s="1">
        <v>45716</v>
      </c>
      <c r="C1298" t="s">
        <v>36</v>
      </c>
      <c r="D1298" t="s">
        <v>43</v>
      </c>
      <c r="E1298" t="s">
        <v>49</v>
      </c>
      <c r="F1298" t="s">
        <v>53</v>
      </c>
      <c r="G1298">
        <v>4</v>
      </c>
      <c r="H1298">
        <v>304.82</v>
      </c>
      <c r="I1298">
        <v>0.19</v>
      </c>
      <c r="J1298">
        <v>987.62</v>
      </c>
      <c r="K1298" t="s">
        <v>58</v>
      </c>
      <c r="L1298" t="s">
        <v>29</v>
      </c>
      <c r="M1298" t="s">
        <v>54</v>
      </c>
      <c r="N1298" t="s">
        <v>22</v>
      </c>
      <c r="O1298">
        <f>Table1[[#All],[Quantity]]*Table1[[#All],[Unit Price (?)]]</f>
        <v>1219.28</v>
      </c>
      <c r="P1298" t="str">
        <f>TEXT(Table1[[#All],[Order Date]],"dddd")</f>
        <v>Friday</v>
      </c>
      <c r="Q1298" t="str">
        <f>TEXT(Table1[[#All],[Order Date]],"mmm")</f>
        <v>Feb</v>
      </c>
      <c r="R1298" t="str">
        <f>IF(Table1[[#All],[Total Price (?)]]&gt;1000,"High Value","Normal")</f>
        <v>Normal</v>
      </c>
    </row>
    <row r="1299" spans="1:18" x14ac:dyDescent="0.3">
      <c r="A1299" t="s">
        <v>1360</v>
      </c>
      <c r="B1299" s="1">
        <v>45666</v>
      </c>
      <c r="C1299" t="s">
        <v>52</v>
      </c>
      <c r="D1299" t="s">
        <v>39</v>
      </c>
      <c r="E1299" t="s">
        <v>17</v>
      </c>
      <c r="F1299" t="s">
        <v>18</v>
      </c>
      <c r="G1299">
        <v>2</v>
      </c>
      <c r="H1299">
        <v>2731</v>
      </c>
      <c r="I1299">
        <v>0.04</v>
      </c>
      <c r="J1299">
        <v>5243.52</v>
      </c>
      <c r="K1299" t="s">
        <v>41</v>
      </c>
      <c r="L1299" t="s">
        <v>20</v>
      </c>
      <c r="M1299" t="s">
        <v>21</v>
      </c>
      <c r="N1299" t="s">
        <v>59</v>
      </c>
      <c r="O1299">
        <f>Table1[[#All],[Quantity]]*Table1[[#All],[Unit Price (?)]]</f>
        <v>5462</v>
      </c>
      <c r="P1299" t="str">
        <f>TEXT(Table1[[#All],[Order Date]],"dddd")</f>
        <v>Thursday</v>
      </c>
      <c r="Q1299" t="str">
        <f>TEXT(Table1[[#All],[Order Date]],"mmm")</f>
        <v>Jan</v>
      </c>
      <c r="R1299" t="str">
        <f>IF(Table1[[#All],[Total Price (?)]]&gt;1000,"High Value","Normal")</f>
        <v>High Value</v>
      </c>
    </row>
    <row r="1300" spans="1:18" x14ac:dyDescent="0.3">
      <c r="A1300" t="s">
        <v>1361</v>
      </c>
      <c r="B1300" s="1">
        <v>45704</v>
      </c>
      <c r="C1300" t="s">
        <v>36</v>
      </c>
      <c r="D1300" t="s">
        <v>43</v>
      </c>
      <c r="E1300" t="s">
        <v>49</v>
      </c>
      <c r="F1300" t="s">
        <v>53</v>
      </c>
      <c r="G1300">
        <v>5</v>
      </c>
      <c r="H1300">
        <v>1381.35</v>
      </c>
      <c r="I1300">
        <v>0.19</v>
      </c>
      <c r="J1300">
        <v>5594.47</v>
      </c>
      <c r="K1300" t="s">
        <v>46</v>
      </c>
      <c r="L1300" t="s">
        <v>34</v>
      </c>
      <c r="M1300" t="s">
        <v>30</v>
      </c>
      <c r="N1300" t="s">
        <v>59</v>
      </c>
      <c r="O1300">
        <f>Table1[[#All],[Quantity]]*Table1[[#All],[Unit Price (?)]]</f>
        <v>6906.75</v>
      </c>
      <c r="P1300" t="str">
        <f>TEXT(Table1[[#All],[Order Date]],"dddd")</f>
        <v>Sunday</v>
      </c>
      <c r="Q1300" t="str">
        <f>TEXT(Table1[[#All],[Order Date]],"mmm")</f>
        <v>Feb</v>
      </c>
      <c r="R1300" t="str">
        <f>IF(Table1[[#All],[Total Price (?)]]&gt;1000,"High Value","Normal")</f>
        <v>High Value</v>
      </c>
    </row>
    <row r="1301" spans="1:18" x14ac:dyDescent="0.3">
      <c r="A1301" t="s">
        <v>1362</v>
      </c>
      <c r="B1301" s="1">
        <v>45715</v>
      </c>
      <c r="C1301" t="s">
        <v>52</v>
      </c>
      <c r="D1301" t="s">
        <v>16</v>
      </c>
      <c r="E1301" t="s">
        <v>27</v>
      </c>
      <c r="F1301" t="s">
        <v>87</v>
      </c>
      <c r="G1301">
        <v>1</v>
      </c>
      <c r="H1301">
        <v>2397.89</v>
      </c>
      <c r="I1301">
        <v>0.03</v>
      </c>
      <c r="J1301">
        <v>2325.9499999999998</v>
      </c>
      <c r="K1301" t="s">
        <v>19</v>
      </c>
      <c r="L1301" t="s">
        <v>29</v>
      </c>
      <c r="M1301" t="s">
        <v>54</v>
      </c>
      <c r="N1301" t="s">
        <v>88</v>
      </c>
      <c r="O1301">
        <f>Table1[[#All],[Quantity]]*Table1[[#All],[Unit Price (?)]]</f>
        <v>2397.89</v>
      </c>
      <c r="P1301" t="str">
        <f>TEXT(Table1[[#All],[Order Date]],"dddd")</f>
        <v>Thursday</v>
      </c>
      <c r="Q1301" t="str">
        <f>TEXT(Table1[[#All],[Order Date]],"mmm")</f>
        <v>Feb</v>
      </c>
      <c r="R1301" t="str">
        <f>IF(Table1[[#All],[Total Price (?)]]&gt;1000,"High Value","Normal")</f>
        <v>High Value</v>
      </c>
    </row>
    <row r="1302" spans="1:18" x14ac:dyDescent="0.3">
      <c r="A1302" t="s">
        <v>1363</v>
      </c>
      <c r="B1302" s="1">
        <v>45797</v>
      </c>
      <c r="C1302" t="s">
        <v>24</v>
      </c>
      <c r="D1302" t="s">
        <v>16</v>
      </c>
      <c r="E1302" t="s">
        <v>61</v>
      </c>
      <c r="F1302" t="s">
        <v>62</v>
      </c>
      <c r="G1302">
        <v>5</v>
      </c>
      <c r="H1302">
        <v>1917.42</v>
      </c>
      <c r="I1302">
        <v>0.18</v>
      </c>
      <c r="J1302">
        <v>7861.42</v>
      </c>
      <c r="K1302" t="s">
        <v>19</v>
      </c>
      <c r="L1302" t="s">
        <v>34</v>
      </c>
      <c r="M1302" t="s">
        <v>30</v>
      </c>
      <c r="N1302" t="s">
        <v>22</v>
      </c>
      <c r="O1302">
        <f>Table1[[#All],[Quantity]]*Table1[[#All],[Unit Price (?)]]</f>
        <v>9587.1</v>
      </c>
      <c r="P1302" t="str">
        <f>TEXT(Table1[[#All],[Order Date]],"dddd")</f>
        <v>Tuesday</v>
      </c>
      <c r="Q1302" t="str">
        <f>TEXT(Table1[[#All],[Order Date]],"mmm")</f>
        <v>May</v>
      </c>
      <c r="R1302" t="str">
        <f>IF(Table1[[#All],[Total Price (?)]]&gt;1000,"High Value","Normal")</f>
        <v>High Value</v>
      </c>
    </row>
    <row r="1303" spans="1:18" x14ac:dyDescent="0.3">
      <c r="A1303" t="s">
        <v>1364</v>
      </c>
      <c r="B1303" s="1">
        <v>45714</v>
      </c>
      <c r="C1303" t="s">
        <v>52</v>
      </c>
      <c r="D1303" t="s">
        <v>43</v>
      </c>
      <c r="E1303" t="s">
        <v>27</v>
      </c>
      <c r="F1303" t="s">
        <v>68</v>
      </c>
      <c r="G1303">
        <v>5</v>
      </c>
      <c r="H1303">
        <v>169.63</v>
      </c>
      <c r="I1303">
        <v>0.04</v>
      </c>
      <c r="J1303">
        <v>814.22</v>
      </c>
      <c r="K1303" t="s">
        <v>46</v>
      </c>
      <c r="L1303" t="s">
        <v>20</v>
      </c>
      <c r="M1303" t="s">
        <v>30</v>
      </c>
      <c r="N1303" t="s">
        <v>22</v>
      </c>
      <c r="O1303">
        <f>Table1[[#All],[Quantity]]*Table1[[#All],[Unit Price (?)]]</f>
        <v>848.15</v>
      </c>
      <c r="P1303" t="str">
        <f>TEXT(Table1[[#All],[Order Date]],"dddd")</f>
        <v>Wednesday</v>
      </c>
      <c r="Q1303" t="str">
        <f>TEXT(Table1[[#All],[Order Date]],"mmm")</f>
        <v>Feb</v>
      </c>
      <c r="R1303" t="str">
        <f>IF(Table1[[#All],[Total Price (?)]]&gt;1000,"High Value","Normal")</f>
        <v>Normal</v>
      </c>
    </row>
    <row r="1304" spans="1:18" x14ac:dyDescent="0.3">
      <c r="A1304" t="s">
        <v>1365</v>
      </c>
      <c r="B1304" s="1">
        <v>45796</v>
      </c>
      <c r="C1304" t="s">
        <v>48</v>
      </c>
      <c r="D1304" t="s">
        <v>43</v>
      </c>
      <c r="E1304" t="s">
        <v>61</v>
      </c>
      <c r="F1304" t="s">
        <v>62</v>
      </c>
      <c r="G1304">
        <v>3</v>
      </c>
      <c r="H1304">
        <v>2577.41</v>
      </c>
      <c r="I1304">
        <v>0.06</v>
      </c>
      <c r="J1304">
        <v>7268.3</v>
      </c>
      <c r="K1304" t="s">
        <v>41</v>
      </c>
      <c r="L1304" t="s">
        <v>20</v>
      </c>
      <c r="M1304" t="s">
        <v>21</v>
      </c>
      <c r="N1304" t="s">
        <v>22</v>
      </c>
      <c r="O1304">
        <f>Table1[[#All],[Quantity]]*Table1[[#All],[Unit Price (?)]]</f>
        <v>7732.23</v>
      </c>
      <c r="P1304" t="str">
        <f>TEXT(Table1[[#All],[Order Date]],"dddd")</f>
        <v>Monday</v>
      </c>
      <c r="Q1304" t="str">
        <f>TEXT(Table1[[#All],[Order Date]],"mmm")</f>
        <v>May</v>
      </c>
      <c r="R1304" t="str">
        <f>IF(Table1[[#All],[Total Price (?)]]&gt;1000,"High Value","Normal")</f>
        <v>High Value</v>
      </c>
    </row>
    <row r="1305" spans="1:18" x14ac:dyDescent="0.3">
      <c r="A1305" t="s">
        <v>1366</v>
      </c>
      <c r="B1305" s="1">
        <v>45826</v>
      </c>
      <c r="C1305" t="s">
        <v>48</v>
      </c>
      <c r="D1305" t="s">
        <v>39</v>
      </c>
      <c r="E1305" t="s">
        <v>49</v>
      </c>
      <c r="F1305" t="s">
        <v>56</v>
      </c>
      <c r="G1305">
        <v>5</v>
      </c>
      <c r="H1305">
        <v>2689.93</v>
      </c>
      <c r="I1305">
        <v>0.14000000000000001</v>
      </c>
      <c r="J1305">
        <v>11566.7</v>
      </c>
      <c r="K1305" t="s">
        <v>58</v>
      </c>
      <c r="L1305" t="s">
        <v>20</v>
      </c>
      <c r="M1305" t="s">
        <v>54</v>
      </c>
      <c r="N1305" t="s">
        <v>22</v>
      </c>
      <c r="O1305">
        <f>Table1[[#All],[Quantity]]*Table1[[#All],[Unit Price (?)]]</f>
        <v>13449.65</v>
      </c>
      <c r="P1305" t="str">
        <f>TEXT(Table1[[#All],[Order Date]],"dddd")</f>
        <v>Wednesday</v>
      </c>
      <c r="Q1305" t="str">
        <f>TEXT(Table1[[#All],[Order Date]],"mmm")</f>
        <v>Jun</v>
      </c>
      <c r="R1305" t="str">
        <f>IF(Table1[[#All],[Total Price (?)]]&gt;1000,"High Value","Normal")</f>
        <v>High Value</v>
      </c>
    </row>
    <row r="1306" spans="1:18" x14ac:dyDescent="0.3">
      <c r="A1306" t="s">
        <v>1367</v>
      </c>
      <c r="B1306" s="1">
        <v>45748</v>
      </c>
      <c r="C1306" t="s">
        <v>36</v>
      </c>
      <c r="D1306" t="s">
        <v>39</v>
      </c>
      <c r="E1306" t="s">
        <v>17</v>
      </c>
      <c r="F1306" t="s">
        <v>40</v>
      </c>
      <c r="G1306">
        <v>5</v>
      </c>
      <c r="H1306">
        <v>3630.36</v>
      </c>
      <c r="I1306">
        <v>0.18</v>
      </c>
      <c r="J1306">
        <v>14884.48</v>
      </c>
      <c r="K1306" t="s">
        <v>33</v>
      </c>
      <c r="L1306" t="s">
        <v>20</v>
      </c>
      <c r="M1306" t="s">
        <v>30</v>
      </c>
      <c r="N1306" t="s">
        <v>22</v>
      </c>
      <c r="O1306">
        <f>Table1[[#All],[Quantity]]*Table1[[#All],[Unit Price (?)]]</f>
        <v>18151.8</v>
      </c>
      <c r="P1306" t="str">
        <f>TEXT(Table1[[#All],[Order Date]],"dddd")</f>
        <v>Tuesday</v>
      </c>
      <c r="Q1306" t="str">
        <f>TEXT(Table1[[#All],[Order Date]],"mmm")</f>
        <v>Apr</v>
      </c>
      <c r="R1306" t="str">
        <f>IF(Table1[[#All],[Total Price (?)]]&gt;1000,"High Value","Normal")</f>
        <v>High Value</v>
      </c>
    </row>
    <row r="1307" spans="1:18" x14ac:dyDescent="0.3">
      <c r="A1307" t="s">
        <v>1368</v>
      </c>
      <c r="B1307" s="1">
        <v>45673</v>
      </c>
      <c r="C1307" t="s">
        <v>24</v>
      </c>
      <c r="D1307" t="s">
        <v>16</v>
      </c>
      <c r="E1307" t="s">
        <v>17</v>
      </c>
      <c r="F1307" t="s">
        <v>44</v>
      </c>
      <c r="G1307">
        <v>5</v>
      </c>
      <c r="H1307">
        <v>386.25</v>
      </c>
      <c r="I1307">
        <v>0.1</v>
      </c>
      <c r="J1307">
        <v>1738.12</v>
      </c>
      <c r="K1307" t="s">
        <v>41</v>
      </c>
      <c r="L1307" t="s">
        <v>20</v>
      </c>
      <c r="M1307" t="s">
        <v>21</v>
      </c>
      <c r="N1307" t="s">
        <v>37</v>
      </c>
      <c r="O1307">
        <f>Table1[[#All],[Quantity]]*Table1[[#All],[Unit Price (?)]]</f>
        <v>1931.25</v>
      </c>
      <c r="P1307" t="str">
        <f>TEXT(Table1[[#All],[Order Date]],"dddd")</f>
        <v>Thursday</v>
      </c>
      <c r="Q1307" t="str">
        <f>TEXT(Table1[[#All],[Order Date]],"mmm")</f>
        <v>Jan</v>
      </c>
      <c r="R1307" t="str">
        <f>IF(Table1[[#All],[Total Price (?)]]&gt;1000,"High Value","Normal")</f>
        <v>High Value</v>
      </c>
    </row>
    <row r="1308" spans="1:18" x14ac:dyDescent="0.3">
      <c r="A1308" t="s">
        <v>1369</v>
      </c>
      <c r="B1308" s="1">
        <v>45793</v>
      </c>
      <c r="C1308" t="s">
        <v>24</v>
      </c>
      <c r="D1308" t="s">
        <v>43</v>
      </c>
      <c r="E1308" t="s">
        <v>17</v>
      </c>
      <c r="F1308" t="s">
        <v>18</v>
      </c>
      <c r="G1308">
        <v>4</v>
      </c>
      <c r="H1308">
        <v>1484.1</v>
      </c>
      <c r="I1308">
        <v>0.15</v>
      </c>
      <c r="J1308">
        <v>5045.9399999999996</v>
      </c>
      <c r="K1308" t="s">
        <v>41</v>
      </c>
      <c r="L1308" t="s">
        <v>29</v>
      </c>
      <c r="M1308" t="s">
        <v>30</v>
      </c>
      <c r="N1308" t="s">
        <v>22</v>
      </c>
      <c r="O1308">
        <f>Table1[[#All],[Quantity]]*Table1[[#All],[Unit Price (?)]]</f>
        <v>5936.4</v>
      </c>
      <c r="P1308" t="str">
        <f>TEXT(Table1[[#All],[Order Date]],"dddd")</f>
        <v>Friday</v>
      </c>
      <c r="Q1308" t="str">
        <f>TEXT(Table1[[#All],[Order Date]],"mmm")</f>
        <v>May</v>
      </c>
      <c r="R1308" t="str">
        <f>IF(Table1[[#All],[Total Price (?)]]&gt;1000,"High Value","Normal")</f>
        <v>High Value</v>
      </c>
    </row>
    <row r="1309" spans="1:18" x14ac:dyDescent="0.3">
      <c r="A1309" t="s">
        <v>1370</v>
      </c>
      <c r="B1309" s="1">
        <v>45705</v>
      </c>
      <c r="C1309" t="s">
        <v>15</v>
      </c>
      <c r="D1309" t="s">
        <v>43</v>
      </c>
      <c r="E1309" t="s">
        <v>27</v>
      </c>
      <c r="F1309" t="s">
        <v>28</v>
      </c>
      <c r="G1309">
        <v>2</v>
      </c>
      <c r="H1309">
        <v>2325.69</v>
      </c>
      <c r="I1309">
        <v>0.22</v>
      </c>
      <c r="J1309">
        <v>3628.08</v>
      </c>
      <c r="K1309" t="s">
        <v>41</v>
      </c>
      <c r="L1309" t="s">
        <v>34</v>
      </c>
      <c r="M1309" t="s">
        <v>54</v>
      </c>
      <c r="N1309" t="s">
        <v>22</v>
      </c>
      <c r="O1309">
        <f>Table1[[#All],[Quantity]]*Table1[[#All],[Unit Price (?)]]</f>
        <v>4651.38</v>
      </c>
      <c r="P1309" t="str">
        <f>TEXT(Table1[[#All],[Order Date]],"dddd")</f>
        <v>Monday</v>
      </c>
      <c r="Q1309" t="str">
        <f>TEXT(Table1[[#All],[Order Date]],"mmm")</f>
        <v>Feb</v>
      </c>
      <c r="R1309" t="str">
        <f>IF(Table1[[#All],[Total Price (?)]]&gt;1000,"High Value","Normal")</f>
        <v>High Value</v>
      </c>
    </row>
    <row r="1310" spans="1:18" x14ac:dyDescent="0.3">
      <c r="A1310" t="s">
        <v>1371</v>
      </c>
      <c r="B1310" s="1">
        <v>45839</v>
      </c>
      <c r="C1310" t="s">
        <v>15</v>
      </c>
      <c r="D1310" t="s">
        <v>25</v>
      </c>
      <c r="E1310" t="s">
        <v>61</v>
      </c>
      <c r="F1310" t="s">
        <v>92</v>
      </c>
      <c r="G1310">
        <v>1</v>
      </c>
      <c r="H1310">
        <v>2215.5100000000002</v>
      </c>
      <c r="I1310">
        <v>7.0000000000000007E-2</v>
      </c>
      <c r="J1310">
        <v>2060.42</v>
      </c>
      <c r="K1310" t="s">
        <v>19</v>
      </c>
      <c r="L1310" t="s">
        <v>34</v>
      </c>
      <c r="M1310" t="s">
        <v>54</v>
      </c>
      <c r="N1310" t="s">
        <v>22</v>
      </c>
      <c r="O1310">
        <f>Table1[[#All],[Quantity]]*Table1[[#All],[Unit Price (?)]]</f>
        <v>2215.5100000000002</v>
      </c>
      <c r="P1310" t="str">
        <f>TEXT(Table1[[#All],[Order Date]],"dddd")</f>
        <v>Tuesday</v>
      </c>
      <c r="Q1310" t="str">
        <f>TEXT(Table1[[#All],[Order Date]],"mmm")</f>
        <v>Jul</v>
      </c>
      <c r="R1310" t="str">
        <f>IF(Table1[[#All],[Total Price (?)]]&gt;1000,"High Value","Normal")</f>
        <v>High Value</v>
      </c>
    </row>
    <row r="1311" spans="1:18" x14ac:dyDescent="0.3">
      <c r="A1311" t="s">
        <v>1372</v>
      </c>
      <c r="B1311" s="1">
        <v>45711</v>
      </c>
      <c r="C1311" t="s">
        <v>48</v>
      </c>
      <c r="D1311" t="s">
        <v>25</v>
      </c>
      <c r="E1311" t="s">
        <v>27</v>
      </c>
      <c r="F1311" t="s">
        <v>68</v>
      </c>
      <c r="G1311">
        <v>3</v>
      </c>
      <c r="H1311">
        <v>1119.69</v>
      </c>
      <c r="I1311">
        <v>0.1</v>
      </c>
      <c r="J1311">
        <v>3023.16</v>
      </c>
      <c r="K1311" t="s">
        <v>19</v>
      </c>
      <c r="L1311" t="s">
        <v>29</v>
      </c>
      <c r="M1311" t="s">
        <v>30</v>
      </c>
      <c r="N1311" t="s">
        <v>22</v>
      </c>
      <c r="O1311">
        <f>Table1[[#All],[Quantity]]*Table1[[#All],[Unit Price (?)]]</f>
        <v>3359.07</v>
      </c>
      <c r="P1311" t="str">
        <f>TEXT(Table1[[#All],[Order Date]],"dddd")</f>
        <v>Sunday</v>
      </c>
      <c r="Q1311" t="str">
        <f>TEXT(Table1[[#All],[Order Date]],"mmm")</f>
        <v>Feb</v>
      </c>
      <c r="R1311" t="str">
        <f>IF(Table1[[#All],[Total Price (?)]]&gt;1000,"High Value","Normal")</f>
        <v>High Value</v>
      </c>
    </row>
    <row r="1312" spans="1:18" x14ac:dyDescent="0.3">
      <c r="A1312" t="s">
        <v>1373</v>
      </c>
      <c r="B1312" s="1">
        <v>45812</v>
      </c>
      <c r="C1312" t="s">
        <v>48</v>
      </c>
      <c r="D1312" t="s">
        <v>43</v>
      </c>
      <c r="E1312" t="s">
        <v>49</v>
      </c>
      <c r="F1312" t="s">
        <v>50</v>
      </c>
      <c r="G1312">
        <v>3</v>
      </c>
      <c r="H1312">
        <v>3360.33</v>
      </c>
      <c r="I1312">
        <v>0.03</v>
      </c>
      <c r="J1312">
        <v>9778.56</v>
      </c>
      <c r="K1312" t="s">
        <v>46</v>
      </c>
      <c r="L1312" t="s">
        <v>34</v>
      </c>
      <c r="M1312" t="s">
        <v>21</v>
      </c>
      <c r="N1312" t="s">
        <v>22</v>
      </c>
      <c r="O1312">
        <f>Table1[[#All],[Quantity]]*Table1[[#All],[Unit Price (?)]]</f>
        <v>10080.99</v>
      </c>
      <c r="P1312" t="str">
        <f>TEXT(Table1[[#All],[Order Date]],"dddd")</f>
        <v>Wednesday</v>
      </c>
      <c r="Q1312" t="str">
        <f>TEXT(Table1[[#All],[Order Date]],"mmm")</f>
        <v>Jun</v>
      </c>
      <c r="R1312" t="str">
        <f>IF(Table1[[#All],[Total Price (?)]]&gt;1000,"High Value","Normal")</f>
        <v>High Value</v>
      </c>
    </row>
    <row r="1313" spans="1:18" x14ac:dyDescent="0.3">
      <c r="A1313" t="s">
        <v>1374</v>
      </c>
      <c r="B1313" s="1">
        <v>45813</v>
      </c>
      <c r="C1313" t="s">
        <v>36</v>
      </c>
      <c r="D1313" t="s">
        <v>39</v>
      </c>
      <c r="E1313" t="s">
        <v>61</v>
      </c>
      <c r="F1313" t="s">
        <v>75</v>
      </c>
      <c r="G1313">
        <v>5</v>
      </c>
      <c r="H1313">
        <v>4325.95</v>
      </c>
      <c r="I1313">
        <v>0.2</v>
      </c>
      <c r="J1313">
        <v>17303.8</v>
      </c>
      <c r="K1313" t="s">
        <v>46</v>
      </c>
      <c r="L1313" t="s">
        <v>34</v>
      </c>
      <c r="M1313" t="s">
        <v>30</v>
      </c>
      <c r="N1313" t="s">
        <v>22</v>
      </c>
      <c r="O1313">
        <f>Table1[[#All],[Quantity]]*Table1[[#All],[Unit Price (?)]]</f>
        <v>21629.75</v>
      </c>
      <c r="P1313" t="str">
        <f>TEXT(Table1[[#All],[Order Date]],"dddd")</f>
        <v>Thursday</v>
      </c>
      <c r="Q1313" t="str">
        <f>TEXT(Table1[[#All],[Order Date]],"mmm")</f>
        <v>Jun</v>
      </c>
      <c r="R1313" t="str">
        <f>IF(Table1[[#All],[Total Price (?)]]&gt;1000,"High Value","Normal")</f>
        <v>High Value</v>
      </c>
    </row>
    <row r="1314" spans="1:18" x14ac:dyDescent="0.3">
      <c r="A1314" t="s">
        <v>1375</v>
      </c>
      <c r="B1314" s="1">
        <v>45781</v>
      </c>
      <c r="C1314" t="s">
        <v>24</v>
      </c>
      <c r="D1314" t="s">
        <v>25</v>
      </c>
      <c r="E1314" t="s">
        <v>61</v>
      </c>
      <c r="F1314" t="s">
        <v>92</v>
      </c>
      <c r="G1314">
        <v>4</v>
      </c>
      <c r="H1314">
        <v>1571.57</v>
      </c>
      <c r="I1314">
        <v>0.21</v>
      </c>
      <c r="J1314">
        <v>4966.16</v>
      </c>
      <c r="K1314" t="s">
        <v>33</v>
      </c>
      <c r="L1314" t="s">
        <v>29</v>
      </c>
      <c r="M1314" t="s">
        <v>21</v>
      </c>
      <c r="N1314" t="s">
        <v>22</v>
      </c>
      <c r="O1314">
        <f>Table1[[#All],[Quantity]]*Table1[[#All],[Unit Price (?)]]</f>
        <v>6286.28</v>
      </c>
      <c r="P1314" t="str">
        <f>TEXT(Table1[[#All],[Order Date]],"dddd")</f>
        <v>Sunday</v>
      </c>
      <c r="Q1314" t="str">
        <f>TEXT(Table1[[#All],[Order Date]],"mmm")</f>
        <v>May</v>
      </c>
      <c r="R1314" t="str">
        <f>IF(Table1[[#All],[Total Price (?)]]&gt;1000,"High Value","Normal")</f>
        <v>High Value</v>
      </c>
    </row>
    <row r="1315" spans="1:18" x14ac:dyDescent="0.3">
      <c r="A1315" t="s">
        <v>1376</v>
      </c>
      <c r="B1315" s="1">
        <v>45774</v>
      </c>
      <c r="C1315" t="s">
        <v>36</v>
      </c>
      <c r="D1315" t="s">
        <v>16</v>
      </c>
      <c r="E1315" t="s">
        <v>61</v>
      </c>
      <c r="F1315" t="s">
        <v>66</v>
      </c>
      <c r="G1315">
        <v>4</v>
      </c>
      <c r="H1315">
        <v>4691.8999999999996</v>
      </c>
      <c r="I1315">
        <v>0.11</v>
      </c>
      <c r="J1315">
        <v>16703.16</v>
      </c>
      <c r="K1315" t="s">
        <v>19</v>
      </c>
      <c r="L1315" t="s">
        <v>29</v>
      </c>
      <c r="M1315" t="s">
        <v>30</v>
      </c>
      <c r="N1315" t="s">
        <v>22</v>
      </c>
      <c r="O1315">
        <f>Table1[[#All],[Quantity]]*Table1[[#All],[Unit Price (?)]]</f>
        <v>18767.599999999999</v>
      </c>
      <c r="P1315" t="str">
        <f>TEXT(Table1[[#All],[Order Date]],"dddd")</f>
        <v>Sunday</v>
      </c>
      <c r="Q1315" t="str">
        <f>TEXT(Table1[[#All],[Order Date]],"mmm")</f>
        <v>Apr</v>
      </c>
      <c r="R1315" t="str">
        <f>IF(Table1[[#All],[Total Price (?)]]&gt;1000,"High Value","Normal")</f>
        <v>High Value</v>
      </c>
    </row>
    <row r="1316" spans="1:18" x14ac:dyDescent="0.3">
      <c r="A1316" t="s">
        <v>1377</v>
      </c>
      <c r="B1316" s="1">
        <v>45788</v>
      </c>
      <c r="C1316" t="s">
        <v>15</v>
      </c>
      <c r="D1316" t="s">
        <v>25</v>
      </c>
      <c r="E1316" t="s">
        <v>49</v>
      </c>
      <c r="F1316" t="s">
        <v>73</v>
      </c>
      <c r="G1316">
        <v>4</v>
      </c>
      <c r="H1316">
        <v>2917.84</v>
      </c>
      <c r="I1316">
        <v>0.2</v>
      </c>
      <c r="J1316">
        <v>9337.09</v>
      </c>
      <c r="K1316" t="s">
        <v>33</v>
      </c>
      <c r="L1316" t="s">
        <v>20</v>
      </c>
      <c r="M1316" t="s">
        <v>54</v>
      </c>
      <c r="N1316" t="s">
        <v>22</v>
      </c>
      <c r="O1316">
        <f>Table1[[#All],[Quantity]]*Table1[[#All],[Unit Price (?)]]</f>
        <v>11671.36</v>
      </c>
      <c r="P1316" t="str">
        <f>TEXT(Table1[[#All],[Order Date]],"dddd")</f>
        <v>Sunday</v>
      </c>
      <c r="Q1316" t="str">
        <f>TEXT(Table1[[#All],[Order Date]],"mmm")</f>
        <v>May</v>
      </c>
      <c r="R1316" t="str">
        <f>IF(Table1[[#All],[Total Price (?)]]&gt;1000,"High Value","Normal")</f>
        <v>High Value</v>
      </c>
    </row>
    <row r="1317" spans="1:18" x14ac:dyDescent="0.3">
      <c r="A1317" t="s">
        <v>1378</v>
      </c>
      <c r="B1317" s="1">
        <v>45816</v>
      </c>
      <c r="C1317" t="s">
        <v>48</v>
      </c>
      <c r="D1317" t="s">
        <v>16</v>
      </c>
      <c r="E1317" t="s">
        <v>61</v>
      </c>
      <c r="F1317" t="s">
        <v>75</v>
      </c>
      <c r="G1317">
        <v>5</v>
      </c>
      <c r="H1317">
        <v>2699.88</v>
      </c>
      <c r="I1317">
        <v>0.16</v>
      </c>
      <c r="J1317">
        <v>11339.5</v>
      </c>
      <c r="K1317" t="s">
        <v>46</v>
      </c>
      <c r="L1317" t="s">
        <v>29</v>
      </c>
      <c r="M1317" t="s">
        <v>54</v>
      </c>
      <c r="N1317" t="s">
        <v>88</v>
      </c>
      <c r="O1317">
        <f>Table1[[#All],[Quantity]]*Table1[[#All],[Unit Price (?)]]</f>
        <v>13499.400000000001</v>
      </c>
      <c r="P1317" t="str">
        <f>TEXT(Table1[[#All],[Order Date]],"dddd")</f>
        <v>Sunday</v>
      </c>
      <c r="Q1317" t="str">
        <f>TEXT(Table1[[#All],[Order Date]],"mmm")</f>
        <v>Jun</v>
      </c>
      <c r="R1317" t="str">
        <f>IF(Table1[[#All],[Total Price (?)]]&gt;1000,"High Value","Normal")</f>
        <v>High Value</v>
      </c>
    </row>
    <row r="1318" spans="1:18" x14ac:dyDescent="0.3">
      <c r="A1318" t="s">
        <v>1379</v>
      </c>
      <c r="B1318" s="1">
        <v>45841</v>
      </c>
      <c r="C1318" t="s">
        <v>24</v>
      </c>
      <c r="D1318" t="s">
        <v>43</v>
      </c>
      <c r="E1318" t="s">
        <v>17</v>
      </c>
      <c r="F1318" t="s">
        <v>18</v>
      </c>
      <c r="G1318">
        <v>1</v>
      </c>
      <c r="H1318">
        <v>1635.14</v>
      </c>
      <c r="I1318">
        <v>0.23</v>
      </c>
      <c r="J1318">
        <v>1259.06</v>
      </c>
      <c r="K1318" t="s">
        <v>58</v>
      </c>
      <c r="L1318" t="s">
        <v>34</v>
      </c>
      <c r="M1318" t="s">
        <v>54</v>
      </c>
      <c r="N1318" t="s">
        <v>59</v>
      </c>
      <c r="O1318">
        <f>Table1[[#All],[Quantity]]*Table1[[#All],[Unit Price (?)]]</f>
        <v>1635.14</v>
      </c>
      <c r="P1318" t="str">
        <f>TEXT(Table1[[#All],[Order Date]],"dddd")</f>
        <v>Thursday</v>
      </c>
      <c r="Q1318" t="str">
        <f>TEXT(Table1[[#All],[Order Date]],"mmm")</f>
        <v>Jul</v>
      </c>
      <c r="R1318" t="str">
        <f>IF(Table1[[#All],[Total Price (?)]]&gt;1000,"High Value","Normal")</f>
        <v>High Value</v>
      </c>
    </row>
    <row r="1319" spans="1:18" x14ac:dyDescent="0.3">
      <c r="A1319" t="s">
        <v>1380</v>
      </c>
      <c r="B1319" s="1">
        <v>45698</v>
      </c>
      <c r="C1319" t="s">
        <v>15</v>
      </c>
      <c r="D1319" t="s">
        <v>43</v>
      </c>
      <c r="E1319" t="s">
        <v>99</v>
      </c>
      <c r="F1319" t="s">
        <v>120</v>
      </c>
      <c r="G1319">
        <v>5</v>
      </c>
      <c r="H1319">
        <v>4532.12</v>
      </c>
      <c r="I1319">
        <v>0.11</v>
      </c>
      <c r="J1319">
        <v>20167.93</v>
      </c>
      <c r="K1319" t="s">
        <v>33</v>
      </c>
      <c r="L1319" t="s">
        <v>34</v>
      </c>
      <c r="M1319" t="s">
        <v>30</v>
      </c>
      <c r="N1319" t="s">
        <v>22</v>
      </c>
      <c r="O1319">
        <f>Table1[[#All],[Quantity]]*Table1[[#All],[Unit Price (?)]]</f>
        <v>22660.6</v>
      </c>
      <c r="P1319" t="str">
        <f>TEXT(Table1[[#All],[Order Date]],"dddd")</f>
        <v>Monday</v>
      </c>
      <c r="Q1319" t="str">
        <f>TEXT(Table1[[#All],[Order Date]],"mmm")</f>
        <v>Feb</v>
      </c>
      <c r="R1319" t="str">
        <f>IF(Table1[[#All],[Total Price (?)]]&gt;1000,"High Value","Normal")</f>
        <v>High Value</v>
      </c>
    </row>
    <row r="1320" spans="1:18" x14ac:dyDescent="0.3">
      <c r="A1320" t="s">
        <v>1381</v>
      </c>
      <c r="B1320" s="1">
        <v>45742</v>
      </c>
      <c r="C1320" t="s">
        <v>52</v>
      </c>
      <c r="D1320" t="s">
        <v>25</v>
      </c>
      <c r="E1320" t="s">
        <v>17</v>
      </c>
      <c r="F1320" t="s">
        <v>44</v>
      </c>
      <c r="G1320">
        <v>1</v>
      </c>
      <c r="H1320">
        <v>2708.3</v>
      </c>
      <c r="I1320">
        <v>0.15</v>
      </c>
      <c r="J1320">
        <v>2302.06</v>
      </c>
      <c r="K1320" t="s">
        <v>19</v>
      </c>
      <c r="L1320" t="s">
        <v>34</v>
      </c>
      <c r="M1320" t="s">
        <v>54</v>
      </c>
      <c r="N1320" t="s">
        <v>22</v>
      </c>
      <c r="O1320">
        <f>Table1[[#All],[Quantity]]*Table1[[#All],[Unit Price (?)]]</f>
        <v>2708.3</v>
      </c>
      <c r="P1320" t="str">
        <f>TEXT(Table1[[#All],[Order Date]],"dddd")</f>
        <v>Wednesday</v>
      </c>
      <c r="Q1320" t="str">
        <f>TEXT(Table1[[#All],[Order Date]],"mmm")</f>
        <v>Mar</v>
      </c>
      <c r="R1320" t="str">
        <f>IF(Table1[[#All],[Total Price (?)]]&gt;1000,"High Value","Normal")</f>
        <v>High Value</v>
      </c>
    </row>
    <row r="1321" spans="1:18" x14ac:dyDescent="0.3">
      <c r="A1321" t="s">
        <v>1382</v>
      </c>
      <c r="B1321" s="1">
        <v>45682</v>
      </c>
      <c r="C1321" t="s">
        <v>24</v>
      </c>
      <c r="D1321" t="s">
        <v>25</v>
      </c>
      <c r="E1321" t="s">
        <v>99</v>
      </c>
      <c r="F1321" t="s">
        <v>100</v>
      </c>
      <c r="G1321">
        <v>1</v>
      </c>
      <c r="H1321">
        <v>3802.8</v>
      </c>
      <c r="I1321">
        <v>0.03</v>
      </c>
      <c r="J1321">
        <v>3688.72</v>
      </c>
      <c r="K1321" t="s">
        <v>19</v>
      </c>
      <c r="L1321" t="s">
        <v>34</v>
      </c>
      <c r="M1321" t="s">
        <v>30</v>
      </c>
      <c r="N1321" t="s">
        <v>22</v>
      </c>
      <c r="O1321">
        <f>Table1[[#All],[Quantity]]*Table1[[#All],[Unit Price (?)]]</f>
        <v>3802.8</v>
      </c>
      <c r="P1321" t="str">
        <f>TEXT(Table1[[#All],[Order Date]],"dddd")</f>
        <v>Saturday</v>
      </c>
      <c r="Q1321" t="str">
        <f>TEXT(Table1[[#All],[Order Date]],"mmm")</f>
        <v>Jan</v>
      </c>
      <c r="R1321" t="str">
        <f>IF(Table1[[#All],[Total Price (?)]]&gt;1000,"High Value","Normal")</f>
        <v>High Value</v>
      </c>
    </row>
    <row r="1322" spans="1:18" x14ac:dyDescent="0.3">
      <c r="A1322" t="s">
        <v>1383</v>
      </c>
      <c r="B1322" s="1">
        <v>45765</v>
      </c>
      <c r="C1322" t="s">
        <v>36</v>
      </c>
      <c r="D1322" t="s">
        <v>25</v>
      </c>
      <c r="E1322" t="s">
        <v>61</v>
      </c>
      <c r="F1322" t="s">
        <v>62</v>
      </c>
      <c r="G1322">
        <v>5</v>
      </c>
      <c r="H1322">
        <v>2902.36</v>
      </c>
      <c r="I1322">
        <v>0.11</v>
      </c>
      <c r="J1322">
        <v>12915.5</v>
      </c>
      <c r="K1322" t="s">
        <v>46</v>
      </c>
      <c r="L1322" t="s">
        <v>34</v>
      </c>
      <c r="M1322" t="s">
        <v>54</v>
      </c>
      <c r="N1322" t="s">
        <v>37</v>
      </c>
      <c r="O1322">
        <f>Table1[[#All],[Quantity]]*Table1[[#All],[Unit Price (?)]]</f>
        <v>14511.800000000001</v>
      </c>
      <c r="P1322" t="str">
        <f>TEXT(Table1[[#All],[Order Date]],"dddd")</f>
        <v>Friday</v>
      </c>
      <c r="Q1322" t="str">
        <f>TEXT(Table1[[#All],[Order Date]],"mmm")</f>
        <v>Apr</v>
      </c>
      <c r="R1322" t="str">
        <f>IF(Table1[[#All],[Total Price (?)]]&gt;1000,"High Value","Normal")</f>
        <v>High Value</v>
      </c>
    </row>
    <row r="1323" spans="1:18" x14ac:dyDescent="0.3">
      <c r="A1323" t="s">
        <v>1384</v>
      </c>
      <c r="B1323" s="1">
        <v>45703</v>
      </c>
      <c r="C1323" t="s">
        <v>15</v>
      </c>
      <c r="D1323" t="s">
        <v>25</v>
      </c>
      <c r="E1323" t="s">
        <v>27</v>
      </c>
      <c r="F1323" t="s">
        <v>28</v>
      </c>
      <c r="G1323">
        <v>1</v>
      </c>
      <c r="H1323">
        <v>968.45</v>
      </c>
      <c r="I1323">
        <v>0.16</v>
      </c>
      <c r="J1323">
        <v>813.5</v>
      </c>
      <c r="K1323" t="s">
        <v>58</v>
      </c>
      <c r="L1323" t="s">
        <v>34</v>
      </c>
      <c r="M1323" t="s">
        <v>21</v>
      </c>
      <c r="N1323" t="s">
        <v>37</v>
      </c>
      <c r="O1323">
        <f>Table1[[#All],[Quantity]]*Table1[[#All],[Unit Price (?)]]</f>
        <v>968.45</v>
      </c>
      <c r="P1323" t="str">
        <f>TEXT(Table1[[#All],[Order Date]],"dddd")</f>
        <v>Saturday</v>
      </c>
      <c r="Q1323" t="str">
        <f>TEXT(Table1[[#All],[Order Date]],"mmm")</f>
        <v>Feb</v>
      </c>
      <c r="R1323" t="str">
        <f>IF(Table1[[#All],[Total Price (?)]]&gt;1000,"High Value","Normal")</f>
        <v>Normal</v>
      </c>
    </row>
    <row r="1324" spans="1:18" x14ac:dyDescent="0.3">
      <c r="A1324" t="s">
        <v>1385</v>
      </c>
      <c r="B1324" s="1">
        <v>45785</v>
      </c>
      <c r="C1324" t="s">
        <v>15</v>
      </c>
      <c r="D1324" t="s">
        <v>16</v>
      </c>
      <c r="E1324" t="s">
        <v>17</v>
      </c>
      <c r="F1324" t="s">
        <v>44</v>
      </c>
      <c r="G1324">
        <v>1</v>
      </c>
      <c r="H1324">
        <v>1838.09</v>
      </c>
      <c r="I1324">
        <v>0.25</v>
      </c>
      <c r="J1324">
        <v>1378.57</v>
      </c>
      <c r="K1324" t="s">
        <v>46</v>
      </c>
      <c r="L1324" t="s">
        <v>29</v>
      </c>
      <c r="M1324" t="s">
        <v>30</v>
      </c>
      <c r="N1324" t="s">
        <v>22</v>
      </c>
      <c r="O1324">
        <f>Table1[[#All],[Quantity]]*Table1[[#All],[Unit Price (?)]]</f>
        <v>1838.09</v>
      </c>
      <c r="P1324" t="str">
        <f>TEXT(Table1[[#All],[Order Date]],"dddd")</f>
        <v>Thursday</v>
      </c>
      <c r="Q1324" t="str">
        <f>TEXT(Table1[[#All],[Order Date]],"mmm")</f>
        <v>May</v>
      </c>
      <c r="R1324" t="str">
        <f>IF(Table1[[#All],[Total Price (?)]]&gt;1000,"High Value","Normal")</f>
        <v>High Value</v>
      </c>
    </row>
    <row r="1325" spans="1:18" x14ac:dyDescent="0.3">
      <c r="A1325" t="s">
        <v>1386</v>
      </c>
      <c r="B1325" s="1">
        <v>45688</v>
      </c>
      <c r="C1325" t="s">
        <v>52</v>
      </c>
      <c r="D1325" t="s">
        <v>25</v>
      </c>
      <c r="E1325" t="s">
        <v>27</v>
      </c>
      <c r="F1325" t="s">
        <v>87</v>
      </c>
      <c r="G1325">
        <v>2</v>
      </c>
      <c r="H1325">
        <v>2615.77</v>
      </c>
      <c r="I1325">
        <v>0.25</v>
      </c>
      <c r="J1325">
        <v>3923.65</v>
      </c>
      <c r="K1325" t="s">
        <v>46</v>
      </c>
      <c r="L1325" t="s">
        <v>34</v>
      </c>
      <c r="M1325" t="s">
        <v>54</v>
      </c>
      <c r="N1325" t="s">
        <v>22</v>
      </c>
      <c r="O1325">
        <f>Table1[[#All],[Quantity]]*Table1[[#All],[Unit Price (?)]]</f>
        <v>5231.54</v>
      </c>
      <c r="P1325" t="str">
        <f>TEXT(Table1[[#All],[Order Date]],"dddd")</f>
        <v>Friday</v>
      </c>
      <c r="Q1325" t="str">
        <f>TEXT(Table1[[#All],[Order Date]],"mmm")</f>
        <v>Jan</v>
      </c>
      <c r="R1325" t="str">
        <f>IF(Table1[[#All],[Total Price (?)]]&gt;1000,"High Value","Normal")</f>
        <v>High Value</v>
      </c>
    </row>
    <row r="1326" spans="1:18" x14ac:dyDescent="0.3">
      <c r="A1326" t="s">
        <v>1387</v>
      </c>
      <c r="B1326" s="1">
        <v>45836</v>
      </c>
      <c r="C1326" t="s">
        <v>52</v>
      </c>
      <c r="D1326" t="s">
        <v>25</v>
      </c>
      <c r="E1326" t="s">
        <v>61</v>
      </c>
      <c r="F1326" t="s">
        <v>62</v>
      </c>
      <c r="G1326">
        <v>4</v>
      </c>
      <c r="H1326">
        <v>4981.1499999999996</v>
      </c>
      <c r="I1326">
        <v>0.08</v>
      </c>
      <c r="J1326">
        <v>18330.63</v>
      </c>
      <c r="K1326" t="s">
        <v>46</v>
      </c>
      <c r="L1326" t="s">
        <v>34</v>
      </c>
      <c r="M1326" t="s">
        <v>30</v>
      </c>
      <c r="N1326" t="s">
        <v>22</v>
      </c>
      <c r="O1326">
        <f>Table1[[#All],[Quantity]]*Table1[[#All],[Unit Price (?)]]</f>
        <v>19924.599999999999</v>
      </c>
      <c r="P1326" t="str">
        <f>TEXT(Table1[[#All],[Order Date]],"dddd")</f>
        <v>Saturday</v>
      </c>
      <c r="Q1326" t="str">
        <f>TEXT(Table1[[#All],[Order Date]],"mmm")</f>
        <v>Jun</v>
      </c>
      <c r="R1326" t="str">
        <f>IF(Table1[[#All],[Total Price (?)]]&gt;1000,"High Value","Normal")</f>
        <v>High Value</v>
      </c>
    </row>
    <row r="1327" spans="1:18" x14ac:dyDescent="0.3">
      <c r="A1327" t="s">
        <v>1388</v>
      </c>
      <c r="B1327" s="1">
        <v>45711</v>
      </c>
      <c r="C1327" t="s">
        <v>52</v>
      </c>
      <c r="D1327" t="s">
        <v>25</v>
      </c>
      <c r="E1327" t="s">
        <v>99</v>
      </c>
      <c r="F1327" t="s">
        <v>120</v>
      </c>
      <c r="G1327">
        <v>5</v>
      </c>
      <c r="H1327">
        <v>194.14</v>
      </c>
      <c r="I1327">
        <v>0.1</v>
      </c>
      <c r="J1327">
        <v>873.63</v>
      </c>
      <c r="K1327" t="s">
        <v>33</v>
      </c>
      <c r="L1327" t="s">
        <v>20</v>
      </c>
      <c r="M1327" t="s">
        <v>30</v>
      </c>
      <c r="N1327" t="s">
        <v>22</v>
      </c>
      <c r="O1327">
        <f>Table1[[#All],[Quantity]]*Table1[[#All],[Unit Price (?)]]</f>
        <v>970.69999999999993</v>
      </c>
      <c r="P1327" t="str">
        <f>TEXT(Table1[[#All],[Order Date]],"dddd")</f>
        <v>Sunday</v>
      </c>
      <c r="Q1327" t="str">
        <f>TEXT(Table1[[#All],[Order Date]],"mmm")</f>
        <v>Feb</v>
      </c>
      <c r="R1327" t="str">
        <f>IF(Table1[[#All],[Total Price (?)]]&gt;1000,"High Value","Normal")</f>
        <v>Normal</v>
      </c>
    </row>
    <row r="1328" spans="1:18" x14ac:dyDescent="0.3">
      <c r="A1328" t="s">
        <v>1389</v>
      </c>
      <c r="B1328" s="1">
        <v>45820</v>
      </c>
      <c r="C1328" t="s">
        <v>15</v>
      </c>
      <c r="D1328" t="s">
        <v>39</v>
      </c>
      <c r="E1328" t="s">
        <v>99</v>
      </c>
      <c r="F1328" t="s">
        <v>115</v>
      </c>
      <c r="G1328">
        <v>4</v>
      </c>
      <c r="H1328">
        <v>2095.2600000000002</v>
      </c>
      <c r="I1328">
        <v>0.09</v>
      </c>
      <c r="J1328">
        <v>7626.75</v>
      </c>
      <c r="K1328" t="s">
        <v>46</v>
      </c>
      <c r="L1328" t="s">
        <v>29</v>
      </c>
      <c r="M1328" t="s">
        <v>30</v>
      </c>
      <c r="N1328" t="s">
        <v>22</v>
      </c>
      <c r="O1328">
        <f>Table1[[#All],[Quantity]]*Table1[[#All],[Unit Price (?)]]</f>
        <v>8381.0400000000009</v>
      </c>
      <c r="P1328" t="str">
        <f>TEXT(Table1[[#All],[Order Date]],"dddd")</f>
        <v>Thursday</v>
      </c>
      <c r="Q1328" t="str">
        <f>TEXT(Table1[[#All],[Order Date]],"mmm")</f>
        <v>Jun</v>
      </c>
      <c r="R1328" t="str">
        <f>IF(Table1[[#All],[Total Price (?)]]&gt;1000,"High Value","Normal")</f>
        <v>High Value</v>
      </c>
    </row>
    <row r="1329" spans="1:18" x14ac:dyDescent="0.3">
      <c r="A1329" t="s">
        <v>1390</v>
      </c>
      <c r="B1329" s="1">
        <v>45687</v>
      </c>
      <c r="C1329" t="s">
        <v>15</v>
      </c>
      <c r="D1329" t="s">
        <v>16</v>
      </c>
      <c r="E1329" t="s">
        <v>49</v>
      </c>
      <c r="F1329" t="s">
        <v>53</v>
      </c>
      <c r="G1329">
        <v>1</v>
      </c>
      <c r="H1329">
        <v>4046.83</v>
      </c>
      <c r="I1329">
        <v>0.23</v>
      </c>
      <c r="J1329">
        <v>3116.06</v>
      </c>
      <c r="K1329" t="s">
        <v>58</v>
      </c>
      <c r="L1329" t="s">
        <v>34</v>
      </c>
      <c r="M1329" t="s">
        <v>21</v>
      </c>
      <c r="N1329" t="s">
        <v>22</v>
      </c>
      <c r="O1329">
        <f>Table1[[#All],[Quantity]]*Table1[[#All],[Unit Price (?)]]</f>
        <v>4046.83</v>
      </c>
      <c r="P1329" t="str">
        <f>TEXT(Table1[[#All],[Order Date]],"dddd")</f>
        <v>Thursday</v>
      </c>
      <c r="Q1329" t="str">
        <f>TEXT(Table1[[#All],[Order Date]],"mmm")</f>
        <v>Jan</v>
      </c>
      <c r="R1329" t="str">
        <f>IF(Table1[[#All],[Total Price (?)]]&gt;1000,"High Value","Normal")</f>
        <v>High Value</v>
      </c>
    </row>
    <row r="1330" spans="1:18" x14ac:dyDescent="0.3">
      <c r="A1330" t="s">
        <v>1391</v>
      </c>
      <c r="B1330" s="1">
        <v>45673</v>
      </c>
      <c r="C1330" t="s">
        <v>52</v>
      </c>
      <c r="D1330" t="s">
        <v>16</v>
      </c>
      <c r="E1330" t="s">
        <v>61</v>
      </c>
      <c r="F1330" t="s">
        <v>62</v>
      </c>
      <c r="G1330">
        <v>3</v>
      </c>
      <c r="H1330">
        <v>418.3</v>
      </c>
      <c r="I1330">
        <v>0.14000000000000001</v>
      </c>
      <c r="J1330">
        <v>1079.21</v>
      </c>
      <c r="K1330" t="s">
        <v>58</v>
      </c>
      <c r="L1330" t="s">
        <v>20</v>
      </c>
      <c r="M1330" t="s">
        <v>54</v>
      </c>
      <c r="N1330" t="s">
        <v>37</v>
      </c>
      <c r="O1330">
        <f>Table1[[#All],[Quantity]]*Table1[[#All],[Unit Price (?)]]</f>
        <v>1254.9000000000001</v>
      </c>
      <c r="P1330" t="str">
        <f>TEXT(Table1[[#All],[Order Date]],"dddd")</f>
        <v>Thursday</v>
      </c>
      <c r="Q1330" t="str">
        <f>TEXT(Table1[[#All],[Order Date]],"mmm")</f>
        <v>Jan</v>
      </c>
      <c r="R1330" t="str">
        <f>IF(Table1[[#All],[Total Price (?)]]&gt;1000,"High Value","Normal")</f>
        <v>High Value</v>
      </c>
    </row>
    <row r="1331" spans="1:18" x14ac:dyDescent="0.3">
      <c r="A1331" t="s">
        <v>1392</v>
      </c>
      <c r="B1331" s="1">
        <v>45671</v>
      </c>
      <c r="C1331" t="s">
        <v>15</v>
      </c>
      <c r="D1331" t="s">
        <v>39</v>
      </c>
      <c r="E1331" t="s">
        <v>17</v>
      </c>
      <c r="F1331" t="s">
        <v>18</v>
      </c>
      <c r="G1331">
        <v>2</v>
      </c>
      <c r="H1331">
        <v>2955.5</v>
      </c>
      <c r="I1331">
        <v>0.24</v>
      </c>
      <c r="J1331">
        <v>4492.3599999999997</v>
      </c>
      <c r="K1331" t="s">
        <v>33</v>
      </c>
      <c r="L1331" t="s">
        <v>20</v>
      </c>
      <c r="M1331" t="s">
        <v>30</v>
      </c>
      <c r="N1331" t="s">
        <v>88</v>
      </c>
      <c r="O1331">
        <f>Table1[[#All],[Quantity]]*Table1[[#All],[Unit Price (?)]]</f>
        <v>5911</v>
      </c>
      <c r="P1331" t="str">
        <f>TEXT(Table1[[#All],[Order Date]],"dddd")</f>
        <v>Tuesday</v>
      </c>
      <c r="Q1331" t="str">
        <f>TEXT(Table1[[#All],[Order Date]],"mmm")</f>
        <v>Jan</v>
      </c>
      <c r="R1331" t="str">
        <f>IF(Table1[[#All],[Total Price (?)]]&gt;1000,"High Value","Normal")</f>
        <v>High Value</v>
      </c>
    </row>
    <row r="1332" spans="1:18" x14ac:dyDescent="0.3">
      <c r="A1332" t="s">
        <v>1393</v>
      </c>
      <c r="B1332" s="1">
        <v>45692</v>
      </c>
      <c r="C1332" t="s">
        <v>24</v>
      </c>
      <c r="D1332" t="s">
        <v>16</v>
      </c>
      <c r="E1332" t="s">
        <v>17</v>
      </c>
      <c r="F1332" t="s">
        <v>18</v>
      </c>
      <c r="G1332">
        <v>1</v>
      </c>
      <c r="H1332">
        <v>1009.32</v>
      </c>
      <c r="I1332">
        <v>0.18</v>
      </c>
      <c r="J1332">
        <v>827.64</v>
      </c>
      <c r="K1332" t="s">
        <v>19</v>
      </c>
      <c r="L1332" t="s">
        <v>20</v>
      </c>
      <c r="M1332" t="s">
        <v>54</v>
      </c>
      <c r="N1332" t="s">
        <v>22</v>
      </c>
      <c r="O1332">
        <f>Table1[[#All],[Quantity]]*Table1[[#All],[Unit Price (?)]]</f>
        <v>1009.32</v>
      </c>
      <c r="P1332" t="str">
        <f>TEXT(Table1[[#All],[Order Date]],"dddd")</f>
        <v>Tuesday</v>
      </c>
      <c r="Q1332" t="str">
        <f>TEXT(Table1[[#All],[Order Date]],"mmm")</f>
        <v>Feb</v>
      </c>
      <c r="R1332" t="str">
        <f>IF(Table1[[#All],[Total Price (?)]]&gt;1000,"High Value","Normal")</f>
        <v>Normal</v>
      </c>
    </row>
    <row r="1333" spans="1:18" x14ac:dyDescent="0.3">
      <c r="A1333" t="s">
        <v>1394</v>
      </c>
      <c r="B1333" s="1">
        <v>45813</v>
      </c>
      <c r="C1333" t="s">
        <v>24</v>
      </c>
      <c r="D1333" t="s">
        <v>25</v>
      </c>
      <c r="E1333" t="s">
        <v>61</v>
      </c>
      <c r="F1333" t="s">
        <v>75</v>
      </c>
      <c r="G1333">
        <v>3</v>
      </c>
      <c r="H1333">
        <v>3164.71</v>
      </c>
      <c r="I1333">
        <v>0.05</v>
      </c>
      <c r="J1333">
        <v>9019.42</v>
      </c>
      <c r="K1333" t="s">
        <v>58</v>
      </c>
      <c r="L1333" t="s">
        <v>34</v>
      </c>
      <c r="M1333" t="s">
        <v>54</v>
      </c>
      <c r="N1333" t="s">
        <v>22</v>
      </c>
      <c r="O1333">
        <f>Table1[[#All],[Quantity]]*Table1[[#All],[Unit Price (?)]]</f>
        <v>9494.130000000001</v>
      </c>
      <c r="P1333" t="str">
        <f>TEXT(Table1[[#All],[Order Date]],"dddd")</f>
        <v>Thursday</v>
      </c>
      <c r="Q1333" t="str">
        <f>TEXT(Table1[[#All],[Order Date]],"mmm")</f>
        <v>Jun</v>
      </c>
      <c r="R1333" t="str">
        <f>IF(Table1[[#All],[Total Price (?)]]&gt;1000,"High Value","Normal")</f>
        <v>High Value</v>
      </c>
    </row>
    <row r="1334" spans="1:18" x14ac:dyDescent="0.3">
      <c r="A1334" t="s">
        <v>1395</v>
      </c>
      <c r="B1334" s="1">
        <v>45719</v>
      </c>
      <c r="C1334" t="s">
        <v>15</v>
      </c>
      <c r="D1334" t="s">
        <v>43</v>
      </c>
      <c r="E1334" t="s">
        <v>61</v>
      </c>
      <c r="F1334" t="s">
        <v>92</v>
      </c>
      <c r="G1334">
        <v>4</v>
      </c>
      <c r="H1334">
        <v>1006.15</v>
      </c>
      <c r="I1334">
        <v>0</v>
      </c>
      <c r="J1334">
        <v>4024.6</v>
      </c>
      <c r="K1334" t="s">
        <v>33</v>
      </c>
      <c r="L1334" t="s">
        <v>20</v>
      </c>
      <c r="M1334" t="s">
        <v>54</v>
      </c>
      <c r="N1334" t="s">
        <v>22</v>
      </c>
      <c r="O1334">
        <f>Table1[[#All],[Quantity]]*Table1[[#All],[Unit Price (?)]]</f>
        <v>4024.6</v>
      </c>
      <c r="P1334" t="str">
        <f>TEXT(Table1[[#All],[Order Date]],"dddd")</f>
        <v>Monday</v>
      </c>
      <c r="Q1334" t="str">
        <f>TEXT(Table1[[#All],[Order Date]],"mmm")</f>
        <v>Mar</v>
      </c>
      <c r="R1334" t="str">
        <f>IF(Table1[[#All],[Total Price (?)]]&gt;1000,"High Value","Normal")</f>
        <v>High Value</v>
      </c>
    </row>
    <row r="1335" spans="1:18" x14ac:dyDescent="0.3">
      <c r="A1335" t="s">
        <v>1396</v>
      </c>
      <c r="B1335" s="1">
        <v>45775</v>
      </c>
      <c r="C1335" t="s">
        <v>24</v>
      </c>
      <c r="D1335" t="s">
        <v>43</v>
      </c>
      <c r="E1335" t="s">
        <v>27</v>
      </c>
      <c r="F1335" t="s">
        <v>68</v>
      </c>
      <c r="G1335">
        <v>2</v>
      </c>
      <c r="H1335">
        <v>4258.22</v>
      </c>
      <c r="I1335">
        <v>0.19</v>
      </c>
      <c r="J1335">
        <v>6898.32</v>
      </c>
      <c r="K1335" t="s">
        <v>58</v>
      </c>
      <c r="L1335" t="s">
        <v>20</v>
      </c>
      <c r="M1335" t="s">
        <v>54</v>
      </c>
      <c r="N1335" t="s">
        <v>22</v>
      </c>
      <c r="O1335">
        <f>Table1[[#All],[Quantity]]*Table1[[#All],[Unit Price (?)]]</f>
        <v>8516.44</v>
      </c>
      <c r="P1335" t="str">
        <f>TEXT(Table1[[#All],[Order Date]],"dddd")</f>
        <v>Monday</v>
      </c>
      <c r="Q1335" t="str">
        <f>TEXT(Table1[[#All],[Order Date]],"mmm")</f>
        <v>Apr</v>
      </c>
      <c r="R1335" t="str">
        <f>IF(Table1[[#All],[Total Price (?)]]&gt;1000,"High Value","Normal")</f>
        <v>High Value</v>
      </c>
    </row>
    <row r="1336" spans="1:18" x14ac:dyDescent="0.3">
      <c r="A1336" t="s">
        <v>1397</v>
      </c>
      <c r="B1336" s="1">
        <v>45805</v>
      </c>
      <c r="C1336" t="s">
        <v>36</v>
      </c>
      <c r="D1336" t="s">
        <v>43</v>
      </c>
      <c r="E1336" t="s">
        <v>27</v>
      </c>
      <c r="F1336" t="s">
        <v>28</v>
      </c>
      <c r="G1336">
        <v>3</v>
      </c>
      <c r="H1336">
        <v>1169.47</v>
      </c>
      <c r="I1336">
        <v>0.06</v>
      </c>
      <c r="J1336">
        <v>3297.91</v>
      </c>
      <c r="K1336" t="s">
        <v>41</v>
      </c>
      <c r="L1336" t="s">
        <v>29</v>
      </c>
      <c r="M1336" t="s">
        <v>30</v>
      </c>
      <c r="N1336" t="s">
        <v>22</v>
      </c>
      <c r="O1336">
        <f>Table1[[#All],[Quantity]]*Table1[[#All],[Unit Price (?)]]</f>
        <v>3508.41</v>
      </c>
      <c r="P1336" t="str">
        <f>TEXT(Table1[[#All],[Order Date]],"dddd")</f>
        <v>Wednesday</v>
      </c>
      <c r="Q1336" t="str">
        <f>TEXT(Table1[[#All],[Order Date]],"mmm")</f>
        <v>May</v>
      </c>
      <c r="R1336" t="str">
        <f>IF(Table1[[#All],[Total Price (?)]]&gt;1000,"High Value","Normal")</f>
        <v>High Value</v>
      </c>
    </row>
    <row r="1337" spans="1:18" x14ac:dyDescent="0.3">
      <c r="A1337" t="s">
        <v>1398</v>
      </c>
      <c r="B1337" s="1">
        <v>45820</v>
      </c>
      <c r="C1337" t="s">
        <v>52</v>
      </c>
      <c r="D1337" t="s">
        <v>25</v>
      </c>
      <c r="E1337" t="s">
        <v>99</v>
      </c>
      <c r="F1337" t="s">
        <v>111</v>
      </c>
      <c r="G1337">
        <v>1</v>
      </c>
      <c r="H1337">
        <v>2520.2199999999998</v>
      </c>
      <c r="I1337">
        <v>0.23</v>
      </c>
      <c r="J1337">
        <v>1940.57</v>
      </c>
      <c r="K1337" t="s">
        <v>58</v>
      </c>
      <c r="L1337" t="s">
        <v>20</v>
      </c>
      <c r="M1337" t="s">
        <v>54</v>
      </c>
      <c r="N1337" t="s">
        <v>22</v>
      </c>
      <c r="O1337">
        <f>Table1[[#All],[Quantity]]*Table1[[#All],[Unit Price (?)]]</f>
        <v>2520.2199999999998</v>
      </c>
      <c r="P1337" t="str">
        <f>TEXT(Table1[[#All],[Order Date]],"dddd")</f>
        <v>Thursday</v>
      </c>
      <c r="Q1337" t="str">
        <f>TEXT(Table1[[#All],[Order Date]],"mmm")</f>
        <v>Jun</v>
      </c>
      <c r="R1337" t="str">
        <f>IF(Table1[[#All],[Total Price (?)]]&gt;1000,"High Value","Normal")</f>
        <v>High Value</v>
      </c>
    </row>
    <row r="1338" spans="1:18" x14ac:dyDescent="0.3">
      <c r="A1338" t="s">
        <v>1399</v>
      </c>
      <c r="B1338" s="1">
        <v>45770</v>
      </c>
      <c r="C1338" t="s">
        <v>24</v>
      </c>
      <c r="D1338" t="s">
        <v>39</v>
      </c>
      <c r="E1338" t="s">
        <v>49</v>
      </c>
      <c r="F1338" t="s">
        <v>56</v>
      </c>
      <c r="G1338">
        <v>3</v>
      </c>
      <c r="H1338">
        <v>3520.57</v>
      </c>
      <c r="I1338">
        <v>0.15</v>
      </c>
      <c r="J1338">
        <v>8977.4500000000007</v>
      </c>
      <c r="K1338" t="s">
        <v>46</v>
      </c>
      <c r="L1338" t="s">
        <v>29</v>
      </c>
      <c r="M1338" t="s">
        <v>54</v>
      </c>
      <c r="N1338" t="s">
        <v>22</v>
      </c>
      <c r="O1338">
        <f>Table1[[#All],[Quantity]]*Table1[[#All],[Unit Price (?)]]</f>
        <v>10561.710000000001</v>
      </c>
      <c r="P1338" t="str">
        <f>TEXT(Table1[[#All],[Order Date]],"dddd")</f>
        <v>Wednesday</v>
      </c>
      <c r="Q1338" t="str">
        <f>TEXT(Table1[[#All],[Order Date]],"mmm")</f>
        <v>Apr</v>
      </c>
      <c r="R1338" t="str">
        <f>IF(Table1[[#All],[Total Price (?)]]&gt;1000,"High Value","Normal")</f>
        <v>High Value</v>
      </c>
    </row>
    <row r="1339" spans="1:18" x14ac:dyDescent="0.3">
      <c r="A1339" t="s">
        <v>1400</v>
      </c>
      <c r="B1339" s="1">
        <v>45838</v>
      </c>
      <c r="C1339" t="s">
        <v>15</v>
      </c>
      <c r="D1339" t="s">
        <v>43</v>
      </c>
      <c r="E1339" t="s">
        <v>99</v>
      </c>
      <c r="F1339" t="s">
        <v>115</v>
      </c>
      <c r="G1339">
        <v>4</v>
      </c>
      <c r="H1339">
        <v>1571.21</v>
      </c>
      <c r="I1339">
        <v>0.12</v>
      </c>
      <c r="J1339">
        <v>5530.66</v>
      </c>
      <c r="K1339" t="s">
        <v>41</v>
      </c>
      <c r="L1339" t="s">
        <v>34</v>
      </c>
      <c r="M1339" t="s">
        <v>21</v>
      </c>
      <c r="N1339" t="s">
        <v>22</v>
      </c>
      <c r="O1339">
        <f>Table1[[#All],[Quantity]]*Table1[[#All],[Unit Price (?)]]</f>
        <v>6284.84</v>
      </c>
      <c r="P1339" t="str">
        <f>TEXT(Table1[[#All],[Order Date]],"dddd")</f>
        <v>Monday</v>
      </c>
      <c r="Q1339" t="str">
        <f>TEXT(Table1[[#All],[Order Date]],"mmm")</f>
        <v>Jun</v>
      </c>
      <c r="R1339" t="str">
        <f>IF(Table1[[#All],[Total Price (?)]]&gt;1000,"High Value","Normal")</f>
        <v>High Value</v>
      </c>
    </row>
    <row r="1340" spans="1:18" x14ac:dyDescent="0.3">
      <c r="A1340" t="s">
        <v>1401</v>
      </c>
      <c r="B1340" s="1">
        <v>45716</v>
      </c>
      <c r="C1340" t="s">
        <v>15</v>
      </c>
      <c r="D1340" t="s">
        <v>25</v>
      </c>
      <c r="E1340" t="s">
        <v>61</v>
      </c>
      <c r="F1340" t="s">
        <v>62</v>
      </c>
      <c r="G1340">
        <v>4</v>
      </c>
      <c r="H1340">
        <v>1689.4</v>
      </c>
      <c r="I1340">
        <v>0.2</v>
      </c>
      <c r="J1340">
        <v>5406.08</v>
      </c>
      <c r="K1340" t="s">
        <v>41</v>
      </c>
      <c r="L1340" t="s">
        <v>34</v>
      </c>
      <c r="M1340" t="s">
        <v>30</v>
      </c>
      <c r="N1340" t="s">
        <v>37</v>
      </c>
      <c r="O1340">
        <f>Table1[[#All],[Quantity]]*Table1[[#All],[Unit Price (?)]]</f>
        <v>6757.6</v>
      </c>
      <c r="P1340" t="str">
        <f>TEXT(Table1[[#All],[Order Date]],"dddd")</f>
        <v>Friday</v>
      </c>
      <c r="Q1340" t="str">
        <f>TEXT(Table1[[#All],[Order Date]],"mmm")</f>
        <v>Feb</v>
      </c>
      <c r="R1340" t="str">
        <f>IF(Table1[[#All],[Total Price (?)]]&gt;1000,"High Value","Normal")</f>
        <v>High Value</v>
      </c>
    </row>
    <row r="1341" spans="1:18" x14ac:dyDescent="0.3">
      <c r="A1341" t="s">
        <v>1402</v>
      </c>
      <c r="B1341" s="1">
        <v>45745</v>
      </c>
      <c r="C1341" t="s">
        <v>52</v>
      </c>
      <c r="D1341" t="s">
        <v>39</v>
      </c>
      <c r="E1341" t="s">
        <v>49</v>
      </c>
      <c r="F1341" t="s">
        <v>50</v>
      </c>
      <c r="G1341">
        <v>4</v>
      </c>
      <c r="H1341">
        <v>2156.0300000000002</v>
      </c>
      <c r="I1341">
        <v>0.01</v>
      </c>
      <c r="J1341">
        <v>8537.8799999999992</v>
      </c>
      <c r="K1341" t="s">
        <v>19</v>
      </c>
      <c r="L1341" t="s">
        <v>29</v>
      </c>
      <c r="M1341" t="s">
        <v>54</v>
      </c>
      <c r="N1341" t="s">
        <v>22</v>
      </c>
      <c r="O1341">
        <f>Table1[[#All],[Quantity]]*Table1[[#All],[Unit Price (?)]]</f>
        <v>8624.1200000000008</v>
      </c>
      <c r="P1341" t="str">
        <f>TEXT(Table1[[#All],[Order Date]],"dddd")</f>
        <v>Saturday</v>
      </c>
      <c r="Q1341" t="str">
        <f>TEXT(Table1[[#All],[Order Date]],"mmm")</f>
        <v>Mar</v>
      </c>
      <c r="R1341" t="str">
        <f>IF(Table1[[#All],[Total Price (?)]]&gt;1000,"High Value","Normal")</f>
        <v>High Value</v>
      </c>
    </row>
    <row r="1342" spans="1:18" x14ac:dyDescent="0.3">
      <c r="A1342" t="s">
        <v>1403</v>
      </c>
      <c r="B1342" s="1">
        <v>45684</v>
      </c>
      <c r="C1342" t="s">
        <v>15</v>
      </c>
      <c r="D1342" t="s">
        <v>16</v>
      </c>
      <c r="E1342" t="s">
        <v>61</v>
      </c>
      <c r="F1342" t="s">
        <v>92</v>
      </c>
      <c r="G1342">
        <v>2</v>
      </c>
      <c r="H1342">
        <v>840.09</v>
      </c>
      <c r="I1342">
        <v>0.24</v>
      </c>
      <c r="J1342">
        <v>1276.94</v>
      </c>
      <c r="K1342" t="s">
        <v>58</v>
      </c>
      <c r="L1342" t="s">
        <v>34</v>
      </c>
      <c r="M1342" t="s">
        <v>54</v>
      </c>
      <c r="N1342" t="s">
        <v>22</v>
      </c>
      <c r="O1342">
        <f>Table1[[#All],[Quantity]]*Table1[[#All],[Unit Price (?)]]</f>
        <v>1680.18</v>
      </c>
      <c r="P1342" t="str">
        <f>TEXT(Table1[[#All],[Order Date]],"dddd")</f>
        <v>Monday</v>
      </c>
      <c r="Q1342" t="str">
        <f>TEXT(Table1[[#All],[Order Date]],"mmm")</f>
        <v>Jan</v>
      </c>
      <c r="R1342" t="str">
        <f>IF(Table1[[#All],[Total Price (?)]]&gt;1000,"High Value","Normal")</f>
        <v>High Value</v>
      </c>
    </row>
    <row r="1343" spans="1:18" x14ac:dyDescent="0.3">
      <c r="A1343" t="s">
        <v>1404</v>
      </c>
      <c r="B1343" s="1">
        <v>45751</v>
      </c>
      <c r="C1343" t="s">
        <v>15</v>
      </c>
      <c r="D1343" t="s">
        <v>39</v>
      </c>
      <c r="E1343" t="s">
        <v>49</v>
      </c>
      <c r="F1343" t="s">
        <v>73</v>
      </c>
      <c r="G1343">
        <v>1</v>
      </c>
      <c r="H1343">
        <v>2536.88</v>
      </c>
      <c r="I1343">
        <v>0.04</v>
      </c>
      <c r="J1343">
        <v>2435.4</v>
      </c>
      <c r="K1343" t="s">
        <v>46</v>
      </c>
      <c r="L1343" t="s">
        <v>20</v>
      </c>
      <c r="M1343" t="s">
        <v>21</v>
      </c>
      <c r="N1343" t="s">
        <v>22</v>
      </c>
      <c r="O1343">
        <f>Table1[[#All],[Quantity]]*Table1[[#All],[Unit Price (?)]]</f>
        <v>2536.88</v>
      </c>
      <c r="P1343" t="str">
        <f>TEXT(Table1[[#All],[Order Date]],"dddd")</f>
        <v>Friday</v>
      </c>
      <c r="Q1343" t="str">
        <f>TEXT(Table1[[#All],[Order Date]],"mmm")</f>
        <v>Apr</v>
      </c>
      <c r="R1343" t="str">
        <f>IF(Table1[[#All],[Total Price (?)]]&gt;1000,"High Value","Normal")</f>
        <v>High Value</v>
      </c>
    </row>
    <row r="1344" spans="1:18" x14ac:dyDescent="0.3">
      <c r="A1344" t="s">
        <v>1405</v>
      </c>
      <c r="B1344" s="1">
        <v>45793</v>
      </c>
      <c r="C1344" t="s">
        <v>48</v>
      </c>
      <c r="D1344" t="s">
        <v>16</v>
      </c>
      <c r="E1344" t="s">
        <v>49</v>
      </c>
      <c r="F1344" t="s">
        <v>50</v>
      </c>
      <c r="G1344">
        <v>4</v>
      </c>
      <c r="H1344">
        <v>4848.59</v>
      </c>
      <c r="I1344">
        <v>0.01</v>
      </c>
      <c r="J1344">
        <v>19200.419999999998</v>
      </c>
      <c r="K1344" t="s">
        <v>41</v>
      </c>
      <c r="L1344" t="s">
        <v>20</v>
      </c>
      <c r="M1344" t="s">
        <v>54</v>
      </c>
      <c r="N1344" t="s">
        <v>59</v>
      </c>
      <c r="O1344">
        <f>Table1[[#All],[Quantity]]*Table1[[#All],[Unit Price (?)]]</f>
        <v>19394.36</v>
      </c>
      <c r="P1344" t="str">
        <f>TEXT(Table1[[#All],[Order Date]],"dddd")</f>
        <v>Friday</v>
      </c>
      <c r="Q1344" t="str">
        <f>TEXT(Table1[[#All],[Order Date]],"mmm")</f>
        <v>May</v>
      </c>
      <c r="R1344" t="str">
        <f>IF(Table1[[#All],[Total Price (?)]]&gt;1000,"High Value","Normal")</f>
        <v>High Value</v>
      </c>
    </row>
    <row r="1345" spans="1:18" x14ac:dyDescent="0.3">
      <c r="A1345" t="s">
        <v>1406</v>
      </c>
      <c r="B1345" s="1">
        <v>45719</v>
      </c>
      <c r="C1345" t="s">
        <v>52</v>
      </c>
      <c r="D1345" t="s">
        <v>39</v>
      </c>
      <c r="E1345" t="s">
        <v>49</v>
      </c>
      <c r="F1345" t="s">
        <v>53</v>
      </c>
      <c r="G1345">
        <v>4</v>
      </c>
      <c r="H1345">
        <v>4037.75</v>
      </c>
      <c r="I1345">
        <v>0.1</v>
      </c>
      <c r="J1345">
        <v>14535.9</v>
      </c>
      <c r="K1345" t="s">
        <v>19</v>
      </c>
      <c r="L1345" t="s">
        <v>29</v>
      </c>
      <c r="M1345" t="s">
        <v>54</v>
      </c>
      <c r="N1345" t="s">
        <v>22</v>
      </c>
      <c r="O1345">
        <f>Table1[[#All],[Quantity]]*Table1[[#All],[Unit Price (?)]]</f>
        <v>16151</v>
      </c>
      <c r="P1345" t="str">
        <f>TEXT(Table1[[#All],[Order Date]],"dddd")</f>
        <v>Monday</v>
      </c>
      <c r="Q1345" t="str">
        <f>TEXT(Table1[[#All],[Order Date]],"mmm")</f>
        <v>Mar</v>
      </c>
      <c r="R1345" t="str">
        <f>IF(Table1[[#All],[Total Price (?)]]&gt;1000,"High Value","Normal")</f>
        <v>High Value</v>
      </c>
    </row>
    <row r="1346" spans="1:18" x14ac:dyDescent="0.3">
      <c r="A1346" t="s">
        <v>1407</v>
      </c>
      <c r="B1346" s="1">
        <v>45795</v>
      </c>
      <c r="C1346" t="s">
        <v>36</v>
      </c>
      <c r="D1346" t="s">
        <v>39</v>
      </c>
      <c r="E1346" t="s">
        <v>99</v>
      </c>
      <c r="F1346" t="s">
        <v>111</v>
      </c>
      <c r="G1346">
        <v>1</v>
      </c>
      <c r="H1346">
        <v>3035.67</v>
      </c>
      <c r="I1346">
        <v>0.13</v>
      </c>
      <c r="J1346">
        <v>2641.03</v>
      </c>
      <c r="K1346" t="s">
        <v>41</v>
      </c>
      <c r="L1346" t="s">
        <v>29</v>
      </c>
      <c r="M1346" t="s">
        <v>30</v>
      </c>
      <c r="N1346" t="s">
        <v>88</v>
      </c>
      <c r="O1346">
        <f>Table1[[#All],[Quantity]]*Table1[[#All],[Unit Price (?)]]</f>
        <v>3035.67</v>
      </c>
      <c r="P1346" t="str">
        <f>TEXT(Table1[[#All],[Order Date]],"dddd")</f>
        <v>Sunday</v>
      </c>
      <c r="Q1346" t="str">
        <f>TEXT(Table1[[#All],[Order Date]],"mmm")</f>
        <v>May</v>
      </c>
      <c r="R1346" t="str">
        <f>IF(Table1[[#All],[Total Price (?)]]&gt;1000,"High Value","Normal")</f>
        <v>High Value</v>
      </c>
    </row>
    <row r="1347" spans="1:18" x14ac:dyDescent="0.3">
      <c r="A1347" t="s">
        <v>1408</v>
      </c>
      <c r="B1347" s="1">
        <v>45738</v>
      </c>
      <c r="C1347" t="s">
        <v>36</v>
      </c>
      <c r="D1347" t="s">
        <v>39</v>
      </c>
      <c r="E1347" t="s">
        <v>61</v>
      </c>
      <c r="F1347" t="s">
        <v>66</v>
      </c>
      <c r="G1347">
        <v>1</v>
      </c>
      <c r="H1347">
        <v>2290.6799999999998</v>
      </c>
      <c r="I1347">
        <v>0.1</v>
      </c>
      <c r="J1347">
        <v>2061.61</v>
      </c>
      <c r="K1347" t="s">
        <v>41</v>
      </c>
      <c r="L1347" t="s">
        <v>20</v>
      </c>
      <c r="M1347" t="s">
        <v>54</v>
      </c>
      <c r="N1347" t="s">
        <v>22</v>
      </c>
      <c r="O1347">
        <f>Table1[[#All],[Quantity]]*Table1[[#All],[Unit Price (?)]]</f>
        <v>2290.6799999999998</v>
      </c>
      <c r="P1347" t="str">
        <f>TEXT(Table1[[#All],[Order Date]],"dddd")</f>
        <v>Saturday</v>
      </c>
      <c r="Q1347" t="str">
        <f>TEXT(Table1[[#All],[Order Date]],"mmm")</f>
        <v>Mar</v>
      </c>
      <c r="R1347" t="str">
        <f>IF(Table1[[#All],[Total Price (?)]]&gt;1000,"High Value","Normal")</f>
        <v>High Value</v>
      </c>
    </row>
    <row r="1348" spans="1:18" x14ac:dyDescent="0.3">
      <c r="A1348" t="s">
        <v>1409</v>
      </c>
      <c r="B1348" s="1">
        <v>45712</v>
      </c>
      <c r="C1348" t="s">
        <v>15</v>
      </c>
      <c r="D1348" t="s">
        <v>39</v>
      </c>
      <c r="E1348" t="s">
        <v>99</v>
      </c>
      <c r="F1348" t="s">
        <v>115</v>
      </c>
      <c r="G1348">
        <v>5</v>
      </c>
      <c r="H1348">
        <v>3989.71</v>
      </c>
      <c r="I1348">
        <v>0.17</v>
      </c>
      <c r="J1348">
        <v>16557.3</v>
      </c>
      <c r="K1348" t="s">
        <v>33</v>
      </c>
      <c r="L1348" t="s">
        <v>34</v>
      </c>
      <c r="M1348" t="s">
        <v>54</v>
      </c>
      <c r="N1348" t="s">
        <v>88</v>
      </c>
      <c r="O1348">
        <f>Table1[[#All],[Quantity]]*Table1[[#All],[Unit Price (?)]]</f>
        <v>19948.55</v>
      </c>
      <c r="P1348" t="str">
        <f>TEXT(Table1[[#All],[Order Date]],"dddd")</f>
        <v>Monday</v>
      </c>
      <c r="Q1348" t="str">
        <f>TEXT(Table1[[#All],[Order Date]],"mmm")</f>
        <v>Feb</v>
      </c>
      <c r="R1348" t="str">
        <f>IF(Table1[[#All],[Total Price (?)]]&gt;1000,"High Value","Normal")</f>
        <v>High Value</v>
      </c>
    </row>
    <row r="1349" spans="1:18" x14ac:dyDescent="0.3">
      <c r="A1349" t="s">
        <v>1410</v>
      </c>
      <c r="B1349" s="1">
        <v>45757</v>
      </c>
      <c r="C1349" t="s">
        <v>36</v>
      </c>
      <c r="D1349" t="s">
        <v>39</v>
      </c>
      <c r="E1349" t="s">
        <v>27</v>
      </c>
      <c r="F1349" t="s">
        <v>68</v>
      </c>
      <c r="G1349">
        <v>2</v>
      </c>
      <c r="H1349">
        <v>2494.08</v>
      </c>
      <c r="I1349">
        <v>0.12</v>
      </c>
      <c r="J1349">
        <v>4389.58</v>
      </c>
      <c r="K1349" t="s">
        <v>33</v>
      </c>
      <c r="L1349" t="s">
        <v>20</v>
      </c>
      <c r="M1349" t="s">
        <v>54</v>
      </c>
      <c r="N1349" t="s">
        <v>22</v>
      </c>
      <c r="O1349">
        <f>Table1[[#All],[Quantity]]*Table1[[#All],[Unit Price (?)]]</f>
        <v>4988.16</v>
      </c>
      <c r="P1349" t="str">
        <f>TEXT(Table1[[#All],[Order Date]],"dddd")</f>
        <v>Thursday</v>
      </c>
      <c r="Q1349" t="str">
        <f>TEXT(Table1[[#All],[Order Date]],"mmm")</f>
        <v>Apr</v>
      </c>
      <c r="R1349" t="str">
        <f>IF(Table1[[#All],[Total Price (?)]]&gt;1000,"High Value","Normal")</f>
        <v>High Value</v>
      </c>
    </row>
    <row r="1350" spans="1:18" x14ac:dyDescent="0.3">
      <c r="A1350" t="s">
        <v>1411</v>
      </c>
      <c r="B1350" s="1">
        <v>45764</v>
      </c>
      <c r="C1350" t="s">
        <v>52</v>
      </c>
      <c r="D1350" t="s">
        <v>39</v>
      </c>
      <c r="E1350" t="s">
        <v>17</v>
      </c>
      <c r="F1350" t="s">
        <v>40</v>
      </c>
      <c r="G1350">
        <v>1</v>
      </c>
      <c r="H1350">
        <v>2693.25</v>
      </c>
      <c r="I1350">
        <v>0.12</v>
      </c>
      <c r="J1350">
        <v>2370.06</v>
      </c>
      <c r="K1350" t="s">
        <v>33</v>
      </c>
      <c r="L1350" t="s">
        <v>34</v>
      </c>
      <c r="M1350" t="s">
        <v>21</v>
      </c>
      <c r="N1350" t="s">
        <v>22</v>
      </c>
      <c r="O1350">
        <f>Table1[[#All],[Quantity]]*Table1[[#All],[Unit Price (?)]]</f>
        <v>2693.25</v>
      </c>
      <c r="P1350" t="str">
        <f>TEXT(Table1[[#All],[Order Date]],"dddd")</f>
        <v>Thursday</v>
      </c>
      <c r="Q1350" t="str">
        <f>TEXT(Table1[[#All],[Order Date]],"mmm")</f>
        <v>Apr</v>
      </c>
      <c r="R1350" t="str">
        <f>IF(Table1[[#All],[Total Price (?)]]&gt;1000,"High Value","Normal")</f>
        <v>High Value</v>
      </c>
    </row>
    <row r="1351" spans="1:18" x14ac:dyDescent="0.3">
      <c r="A1351" t="s">
        <v>1412</v>
      </c>
      <c r="B1351" s="1">
        <v>45755</v>
      </c>
      <c r="C1351" t="s">
        <v>15</v>
      </c>
      <c r="D1351" t="s">
        <v>39</v>
      </c>
      <c r="E1351" t="s">
        <v>49</v>
      </c>
      <c r="F1351" t="s">
        <v>73</v>
      </c>
      <c r="G1351">
        <v>1</v>
      </c>
      <c r="H1351">
        <v>2421.36</v>
      </c>
      <c r="I1351">
        <v>0.06</v>
      </c>
      <c r="J1351">
        <v>2276.08</v>
      </c>
      <c r="K1351" t="s">
        <v>19</v>
      </c>
      <c r="L1351" t="s">
        <v>34</v>
      </c>
      <c r="M1351" t="s">
        <v>54</v>
      </c>
      <c r="N1351" t="s">
        <v>22</v>
      </c>
      <c r="O1351">
        <f>Table1[[#All],[Quantity]]*Table1[[#All],[Unit Price (?)]]</f>
        <v>2421.36</v>
      </c>
      <c r="P1351" t="str">
        <f>TEXT(Table1[[#All],[Order Date]],"dddd")</f>
        <v>Tuesday</v>
      </c>
      <c r="Q1351" t="str">
        <f>TEXT(Table1[[#All],[Order Date]],"mmm")</f>
        <v>Apr</v>
      </c>
      <c r="R1351" t="str">
        <f>IF(Table1[[#All],[Total Price (?)]]&gt;1000,"High Value","Normal")</f>
        <v>High Value</v>
      </c>
    </row>
    <row r="1352" spans="1:18" x14ac:dyDescent="0.3">
      <c r="A1352" t="s">
        <v>1413</v>
      </c>
      <c r="B1352" s="1">
        <v>45745</v>
      </c>
      <c r="C1352" t="s">
        <v>36</v>
      </c>
      <c r="D1352" t="s">
        <v>43</v>
      </c>
      <c r="E1352" t="s">
        <v>27</v>
      </c>
      <c r="F1352" t="s">
        <v>87</v>
      </c>
      <c r="G1352">
        <v>3</v>
      </c>
      <c r="H1352">
        <v>2475.02</v>
      </c>
      <c r="I1352">
        <v>0.08</v>
      </c>
      <c r="J1352">
        <v>6831.06</v>
      </c>
      <c r="K1352" t="s">
        <v>19</v>
      </c>
      <c r="L1352" t="s">
        <v>34</v>
      </c>
      <c r="M1352" t="s">
        <v>21</v>
      </c>
      <c r="N1352" t="s">
        <v>88</v>
      </c>
      <c r="O1352">
        <f>Table1[[#All],[Quantity]]*Table1[[#All],[Unit Price (?)]]</f>
        <v>7425.0599999999995</v>
      </c>
      <c r="P1352" t="str">
        <f>TEXT(Table1[[#All],[Order Date]],"dddd")</f>
        <v>Saturday</v>
      </c>
      <c r="Q1352" t="str">
        <f>TEXT(Table1[[#All],[Order Date]],"mmm")</f>
        <v>Mar</v>
      </c>
      <c r="R1352" t="str">
        <f>IF(Table1[[#All],[Total Price (?)]]&gt;1000,"High Value","Normal")</f>
        <v>High Value</v>
      </c>
    </row>
    <row r="1353" spans="1:18" x14ac:dyDescent="0.3">
      <c r="A1353" t="s">
        <v>1414</v>
      </c>
      <c r="B1353" s="1">
        <v>45675</v>
      </c>
      <c r="C1353" t="s">
        <v>15</v>
      </c>
      <c r="D1353" t="s">
        <v>25</v>
      </c>
      <c r="E1353" t="s">
        <v>61</v>
      </c>
      <c r="F1353" t="s">
        <v>62</v>
      </c>
      <c r="G1353">
        <v>2</v>
      </c>
      <c r="H1353">
        <v>2665.16</v>
      </c>
      <c r="I1353">
        <v>0.13</v>
      </c>
      <c r="J1353">
        <v>4637.38</v>
      </c>
      <c r="K1353" t="s">
        <v>58</v>
      </c>
      <c r="L1353" t="s">
        <v>29</v>
      </c>
      <c r="M1353" t="s">
        <v>54</v>
      </c>
      <c r="N1353" t="s">
        <v>22</v>
      </c>
      <c r="O1353">
        <f>Table1[[#All],[Quantity]]*Table1[[#All],[Unit Price (?)]]</f>
        <v>5330.32</v>
      </c>
      <c r="P1353" t="str">
        <f>TEXT(Table1[[#All],[Order Date]],"dddd")</f>
        <v>Saturday</v>
      </c>
      <c r="Q1353" t="str">
        <f>TEXT(Table1[[#All],[Order Date]],"mmm")</f>
        <v>Jan</v>
      </c>
      <c r="R1353" t="str">
        <f>IF(Table1[[#All],[Total Price (?)]]&gt;1000,"High Value","Normal")</f>
        <v>High Value</v>
      </c>
    </row>
    <row r="1354" spans="1:18" x14ac:dyDescent="0.3">
      <c r="A1354" t="s">
        <v>1415</v>
      </c>
      <c r="B1354" s="1">
        <v>45776</v>
      </c>
      <c r="C1354" t="s">
        <v>15</v>
      </c>
      <c r="D1354" t="s">
        <v>16</v>
      </c>
      <c r="E1354" t="s">
        <v>17</v>
      </c>
      <c r="F1354" t="s">
        <v>32</v>
      </c>
      <c r="G1354">
        <v>3</v>
      </c>
      <c r="H1354">
        <v>223.89</v>
      </c>
      <c r="I1354">
        <v>0.16</v>
      </c>
      <c r="J1354">
        <v>564.20000000000005</v>
      </c>
      <c r="K1354" t="s">
        <v>19</v>
      </c>
      <c r="L1354" t="s">
        <v>20</v>
      </c>
      <c r="M1354" t="s">
        <v>30</v>
      </c>
      <c r="N1354" t="s">
        <v>22</v>
      </c>
      <c r="O1354">
        <f>Table1[[#All],[Quantity]]*Table1[[#All],[Unit Price (?)]]</f>
        <v>671.67</v>
      </c>
      <c r="P1354" t="str">
        <f>TEXT(Table1[[#All],[Order Date]],"dddd")</f>
        <v>Tuesday</v>
      </c>
      <c r="Q1354" t="str">
        <f>TEXT(Table1[[#All],[Order Date]],"mmm")</f>
        <v>Apr</v>
      </c>
      <c r="R1354" t="str">
        <f>IF(Table1[[#All],[Total Price (?)]]&gt;1000,"High Value","Normal")</f>
        <v>Normal</v>
      </c>
    </row>
    <row r="1355" spans="1:18" x14ac:dyDescent="0.3">
      <c r="A1355" t="s">
        <v>1416</v>
      </c>
      <c r="B1355" s="1">
        <v>45667</v>
      </c>
      <c r="C1355" t="s">
        <v>48</v>
      </c>
      <c r="D1355" t="s">
        <v>25</v>
      </c>
      <c r="E1355" t="s">
        <v>61</v>
      </c>
      <c r="F1355" t="s">
        <v>92</v>
      </c>
      <c r="G1355">
        <v>5</v>
      </c>
      <c r="H1355">
        <v>2276.2800000000002</v>
      </c>
      <c r="I1355">
        <v>0.08</v>
      </c>
      <c r="J1355">
        <v>10470.89</v>
      </c>
      <c r="K1355" t="s">
        <v>33</v>
      </c>
      <c r="L1355" t="s">
        <v>20</v>
      </c>
      <c r="M1355" t="s">
        <v>30</v>
      </c>
      <c r="N1355" t="s">
        <v>22</v>
      </c>
      <c r="O1355">
        <f>Table1[[#All],[Quantity]]*Table1[[#All],[Unit Price (?)]]</f>
        <v>11381.400000000001</v>
      </c>
      <c r="P1355" t="str">
        <f>TEXT(Table1[[#All],[Order Date]],"dddd")</f>
        <v>Friday</v>
      </c>
      <c r="Q1355" t="str">
        <f>TEXT(Table1[[#All],[Order Date]],"mmm")</f>
        <v>Jan</v>
      </c>
      <c r="R1355" t="str">
        <f>IF(Table1[[#All],[Total Price (?)]]&gt;1000,"High Value","Normal")</f>
        <v>High Value</v>
      </c>
    </row>
    <row r="1356" spans="1:18" x14ac:dyDescent="0.3">
      <c r="A1356" t="s">
        <v>1417</v>
      </c>
      <c r="B1356" s="1">
        <v>45832</v>
      </c>
      <c r="C1356" t="s">
        <v>15</v>
      </c>
      <c r="D1356" t="s">
        <v>39</v>
      </c>
      <c r="E1356" t="s">
        <v>27</v>
      </c>
      <c r="F1356" t="s">
        <v>87</v>
      </c>
      <c r="G1356">
        <v>2</v>
      </c>
      <c r="H1356">
        <v>1681.74</v>
      </c>
      <c r="I1356">
        <v>0</v>
      </c>
      <c r="J1356">
        <v>3363.48</v>
      </c>
      <c r="K1356" t="s">
        <v>19</v>
      </c>
      <c r="L1356" t="s">
        <v>29</v>
      </c>
      <c r="M1356" t="s">
        <v>54</v>
      </c>
      <c r="N1356" t="s">
        <v>22</v>
      </c>
      <c r="O1356">
        <f>Table1[[#All],[Quantity]]*Table1[[#All],[Unit Price (?)]]</f>
        <v>3363.48</v>
      </c>
      <c r="P1356" t="str">
        <f>TEXT(Table1[[#All],[Order Date]],"dddd")</f>
        <v>Tuesday</v>
      </c>
      <c r="Q1356" t="str">
        <f>TEXT(Table1[[#All],[Order Date]],"mmm")</f>
        <v>Jun</v>
      </c>
      <c r="R1356" t="str">
        <f>IF(Table1[[#All],[Total Price (?)]]&gt;1000,"High Value","Normal")</f>
        <v>High Value</v>
      </c>
    </row>
    <row r="1357" spans="1:18" x14ac:dyDescent="0.3">
      <c r="A1357" t="s">
        <v>1418</v>
      </c>
      <c r="B1357" s="1">
        <v>45743</v>
      </c>
      <c r="C1357" t="s">
        <v>15</v>
      </c>
      <c r="D1357" t="s">
        <v>43</v>
      </c>
      <c r="E1357" t="s">
        <v>99</v>
      </c>
      <c r="F1357" t="s">
        <v>100</v>
      </c>
      <c r="G1357">
        <v>1</v>
      </c>
      <c r="H1357">
        <v>3181.56</v>
      </c>
      <c r="I1357">
        <v>0.16</v>
      </c>
      <c r="J1357">
        <v>2672.51</v>
      </c>
      <c r="K1357" t="s">
        <v>41</v>
      </c>
      <c r="L1357" t="s">
        <v>29</v>
      </c>
      <c r="M1357" t="s">
        <v>30</v>
      </c>
      <c r="N1357" t="s">
        <v>22</v>
      </c>
      <c r="O1357">
        <f>Table1[[#All],[Quantity]]*Table1[[#All],[Unit Price (?)]]</f>
        <v>3181.56</v>
      </c>
      <c r="P1357" t="str">
        <f>TEXT(Table1[[#All],[Order Date]],"dddd")</f>
        <v>Thursday</v>
      </c>
      <c r="Q1357" t="str">
        <f>TEXT(Table1[[#All],[Order Date]],"mmm")</f>
        <v>Mar</v>
      </c>
      <c r="R1357" t="str">
        <f>IF(Table1[[#All],[Total Price (?)]]&gt;1000,"High Value","Normal")</f>
        <v>High Value</v>
      </c>
    </row>
    <row r="1358" spans="1:18" x14ac:dyDescent="0.3">
      <c r="A1358" t="s">
        <v>1419</v>
      </c>
      <c r="B1358" s="1">
        <v>45802</v>
      </c>
      <c r="C1358" t="s">
        <v>15</v>
      </c>
      <c r="D1358" t="s">
        <v>43</v>
      </c>
      <c r="E1358" t="s">
        <v>17</v>
      </c>
      <c r="F1358" t="s">
        <v>32</v>
      </c>
      <c r="G1358">
        <v>1</v>
      </c>
      <c r="H1358">
        <v>4427.97</v>
      </c>
      <c r="I1358">
        <v>0.01</v>
      </c>
      <c r="J1358">
        <v>4383.6899999999996</v>
      </c>
      <c r="K1358" t="s">
        <v>33</v>
      </c>
      <c r="L1358" t="s">
        <v>29</v>
      </c>
      <c r="M1358" t="s">
        <v>21</v>
      </c>
      <c r="N1358" t="s">
        <v>22</v>
      </c>
      <c r="O1358">
        <f>Table1[[#All],[Quantity]]*Table1[[#All],[Unit Price (?)]]</f>
        <v>4427.97</v>
      </c>
      <c r="P1358" t="str">
        <f>TEXT(Table1[[#All],[Order Date]],"dddd")</f>
        <v>Sunday</v>
      </c>
      <c r="Q1358" t="str">
        <f>TEXT(Table1[[#All],[Order Date]],"mmm")</f>
        <v>May</v>
      </c>
      <c r="R1358" t="str">
        <f>IF(Table1[[#All],[Total Price (?)]]&gt;1000,"High Value","Normal")</f>
        <v>High Value</v>
      </c>
    </row>
    <row r="1359" spans="1:18" x14ac:dyDescent="0.3">
      <c r="A1359" t="s">
        <v>1420</v>
      </c>
      <c r="B1359" s="1">
        <v>45722</v>
      </c>
      <c r="C1359" t="s">
        <v>52</v>
      </c>
      <c r="D1359" t="s">
        <v>39</v>
      </c>
      <c r="E1359" t="s">
        <v>17</v>
      </c>
      <c r="F1359" t="s">
        <v>44</v>
      </c>
      <c r="G1359">
        <v>2</v>
      </c>
      <c r="H1359">
        <v>4706.6000000000004</v>
      </c>
      <c r="I1359">
        <v>0.06</v>
      </c>
      <c r="J1359">
        <v>8848.41</v>
      </c>
      <c r="K1359" t="s">
        <v>58</v>
      </c>
      <c r="L1359" t="s">
        <v>29</v>
      </c>
      <c r="M1359" t="s">
        <v>30</v>
      </c>
      <c r="N1359" t="s">
        <v>22</v>
      </c>
      <c r="O1359">
        <f>Table1[[#All],[Quantity]]*Table1[[#All],[Unit Price (?)]]</f>
        <v>9413.2000000000007</v>
      </c>
      <c r="P1359" t="str">
        <f>TEXT(Table1[[#All],[Order Date]],"dddd")</f>
        <v>Thursday</v>
      </c>
      <c r="Q1359" t="str">
        <f>TEXT(Table1[[#All],[Order Date]],"mmm")</f>
        <v>Mar</v>
      </c>
      <c r="R1359" t="str">
        <f>IF(Table1[[#All],[Total Price (?)]]&gt;1000,"High Value","Normal")</f>
        <v>High Value</v>
      </c>
    </row>
    <row r="1360" spans="1:18" x14ac:dyDescent="0.3">
      <c r="A1360" t="s">
        <v>1421</v>
      </c>
      <c r="B1360" s="1">
        <v>45777</v>
      </c>
      <c r="C1360" t="s">
        <v>24</v>
      </c>
      <c r="D1360" t="s">
        <v>43</v>
      </c>
      <c r="E1360" t="s">
        <v>49</v>
      </c>
      <c r="F1360" t="s">
        <v>53</v>
      </c>
      <c r="G1360">
        <v>5</v>
      </c>
      <c r="H1360">
        <v>404.54</v>
      </c>
      <c r="I1360">
        <v>0.1</v>
      </c>
      <c r="J1360">
        <v>1820.43</v>
      </c>
      <c r="K1360" t="s">
        <v>41</v>
      </c>
      <c r="L1360" t="s">
        <v>34</v>
      </c>
      <c r="M1360" t="s">
        <v>30</v>
      </c>
      <c r="N1360" t="s">
        <v>22</v>
      </c>
      <c r="O1360">
        <f>Table1[[#All],[Quantity]]*Table1[[#All],[Unit Price (?)]]</f>
        <v>2022.7</v>
      </c>
      <c r="P1360" t="str">
        <f>TEXT(Table1[[#All],[Order Date]],"dddd")</f>
        <v>Wednesday</v>
      </c>
      <c r="Q1360" t="str">
        <f>TEXT(Table1[[#All],[Order Date]],"mmm")</f>
        <v>Apr</v>
      </c>
      <c r="R1360" t="str">
        <f>IF(Table1[[#All],[Total Price (?)]]&gt;1000,"High Value","Normal")</f>
        <v>High Value</v>
      </c>
    </row>
    <row r="1361" spans="1:18" x14ac:dyDescent="0.3">
      <c r="A1361" t="s">
        <v>1422</v>
      </c>
      <c r="B1361" s="1">
        <v>45708</v>
      </c>
      <c r="C1361" t="s">
        <v>48</v>
      </c>
      <c r="D1361" t="s">
        <v>16</v>
      </c>
      <c r="E1361" t="s">
        <v>17</v>
      </c>
      <c r="F1361" t="s">
        <v>44</v>
      </c>
      <c r="G1361">
        <v>3</v>
      </c>
      <c r="H1361">
        <v>1214.24</v>
      </c>
      <c r="I1361">
        <v>0.01</v>
      </c>
      <c r="J1361">
        <v>3606.29</v>
      </c>
      <c r="K1361" t="s">
        <v>19</v>
      </c>
      <c r="L1361" t="s">
        <v>20</v>
      </c>
      <c r="M1361" t="s">
        <v>21</v>
      </c>
      <c r="N1361" t="s">
        <v>22</v>
      </c>
      <c r="O1361">
        <f>Table1[[#All],[Quantity]]*Table1[[#All],[Unit Price (?)]]</f>
        <v>3642.7200000000003</v>
      </c>
      <c r="P1361" t="str">
        <f>TEXT(Table1[[#All],[Order Date]],"dddd")</f>
        <v>Thursday</v>
      </c>
      <c r="Q1361" t="str">
        <f>TEXT(Table1[[#All],[Order Date]],"mmm")</f>
        <v>Feb</v>
      </c>
      <c r="R1361" t="str">
        <f>IF(Table1[[#All],[Total Price (?)]]&gt;1000,"High Value","Normal")</f>
        <v>High Value</v>
      </c>
    </row>
    <row r="1362" spans="1:18" x14ac:dyDescent="0.3">
      <c r="A1362" t="s">
        <v>1423</v>
      </c>
      <c r="B1362" s="1">
        <v>45665</v>
      </c>
      <c r="C1362" t="s">
        <v>24</v>
      </c>
      <c r="D1362" t="s">
        <v>39</v>
      </c>
      <c r="E1362" t="s">
        <v>61</v>
      </c>
      <c r="F1362" t="s">
        <v>92</v>
      </c>
      <c r="G1362">
        <v>2</v>
      </c>
      <c r="H1362">
        <v>4754.83</v>
      </c>
      <c r="I1362">
        <v>0.24</v>
      </c>
      <c r="J1362">
        <v>7227.34</v>
      </c>
      <c r="K1362" t="s">
        <v>58</v>
      </c>
      <c r="L1362" t="s">
        <v>20</v>
      </c>
      <c r="M1362" t="s">
        <v>54</v>
      </c>
      <c r="N1362" t="s">
        <v>22</v>
      </c>
      <c r="O1362">
        <f>Table1[[#All],[Quantity]]*Table1[[#All],[Unit Price (?)]]</f>
        <v>9509.66</v>
      </c>
      <c r="P1362" t="str">
        <f>TEXT(Table1[[#All],[Order Date]],"dddd")</f>
        <v>Wednesday</v>
      </c>
      <c r="Q1362" t="str">
        <f>TEXT(Table1[[#All],[Order Date]],"mmm")</f>
        <v>Jan</v>
      </c>
      <c r="R1362" t="str">
        <f>IF(Table1[[#All],[Total Price (?)]]&gt;1000,"High Value","Normal")</f>
        <v>High Value</v>
      </c>
    </row>
    <row r="1363" spans="1:18" x14ac:dyDescent="0.3">
      <c r="A1363" t="s">
        <v>1424</v>
      </c>
      <c r="B1363" s="1">
        <v>45677</v>
      </c>
      <c r="C1363" t="s">
        <v>36</v>
      </c>
      <c r="D1363" t="s">
        <v>16</v>
      </c>
      <c r="E1363" t="s">
        <v>49</v>
      </c>
      <c r="F1363" t="s">
        <v>56</v>
      </c>
      <c r="G1363">
        <v>1</v>
      </c>
      <c r="H1363">
        <v>3381.25</v>
      </c>
      <c r="I1363">
        <v>0.17</v>
      </c>
      <c r="J1363">
        <v>2806.44</v>
      </c>
      <c r="K1363" t="s">
        <v>46</v>
      </c>
      <c r="L1363" t="s">
        <v>34</v>
      </c>
      <c r="M1363" t="s">
        <v>21</v>
      </c>
      <c r="N1363" t="s">
        <v>22</v>
      </c>
      <c r="O1363">
        <f>Table1[[#All],[Quantity]]*Table1[[#All],[Unit Price (?)]]</f>
        <v>3381.25</v>
      </c>
      <c r="P1363" t="str">
        <f>TEXT(Table1[[#All],[Order Date]],"dddd")</f>
        <v>Monday</v>
      </c>
      <c r="Q1363" t="str">
        <f>TEXT(Table1[[#All],[Order Date]],"mmm")</f>
        <v>Jan</v>
      </c>
      <c r="R1363" t="str">
        <f>IF(Table1[[#All],[Total Price (?)]]&gt;1000,"High Value","Normal")</f>
        <v>High Value</v>
      </c>
    </row>
    <row r="1364" spans="1:18" x14ac:dyDescent="0.3">
      <c r="A1364" t="s">
        <v>1425</v>
      </c>
      <c r="B1364" s="1">
        <v>45704</v>
      </c>
      <c r="C1364" t="s">
        <v>52</v>
      </c>
      <c r="D1364" t="s">
        <v>39</v>
      </c>
      <c r="E1364" t="s">
        <v>27</v>
      </c>
      <c r="F1364" t="s">
        <v>79</v>
      </c>
      <c r="G1364">
        <v>4</v>
      </c>
      <c r="H1364">
        <v>135.05000000000001</v>
      </c>
      <c r="I1364">
        <v>0.18</v>
      </c>
      <c r="J1364">
        <v>442.96</v>
      </c>
      <c r="K1364" t="s">
        <v>19</v>
      </c>
      <c r="L1364" t="s">
        <v>29</v>
      </c>
      <c r="M1364" t="s">
        <v>21</v>
      </c>
      <c r="N1364" t="s">
        <v>22</v>
      </c>
      <c r="O1364">
        <f>Table1[[#All],[Quantity]]*Table1[[#All],[Unit Price (?)]]</f>
        <v>540.20000000000005</v>
      </c>
      <c r="P1364" t="str">
        <f>TEXT(Table1[[#All],[Order Date]],"dddd")</f>
        <v>Sunday</v>
      </c>
      <c r="Q1364" t="str">
        <f>TEXT(Table1[[#All],[Order Date]],"mmm")</f>
        <v>Feb</v>
      </c>
      <c r="R1364" t="str">
        <f>IF(Table1[[#All],[Total Price (?)]]&gt;1000,"High Value","Normal")</f>
        <v>Normal</v>
      </c>
    </row>
    <row r="1365" spans="1:18" x14ac:dyDescent="0.3">
      <c r="A1365" t="s">
        <v>1426</v>
      </c>
      <c r="B1365" s="1">
        <v>45790</v>
      </c>
      <c r="C1365" t="s">
        <v>52</v>
      </c>
      <c r="D1365" t="s">
        <v>39</v>
      </c>
      <c r="E1365" t="s">
        <v>61</v>
      </c>
      <c r="F1365" t="s">
        <v>92</v>
      </c>
      <c r="G1365">
        <v>1</v>
      </c>
      <c r="H1365">
        <v>4584.4799999999996</v>
      </c>
      <c r="I1365">
        <v>0.19</v>
      </c>
      <c r="J1365">
        <v>3713.43</v>
      </c>
      <c r="K1365" t="s">
        <v>19</v>
      </c>
      <c r="L1365" t="s">
        <v>29</v>
      </c>
      <c r="M1365" t="s">
        <v>30</v>
      </c>
      <c r="N1365" t="s">
        <v>22</v>
      </c>
      <c r="O1365">
        <f>Table1[[#All],[Quantity]]*Table1[[#All],[Unit Price (?)]]</f>
        <v>4584.4799999999996</v>
      </c>
      <c r="P1365" t="str">
        <f>TEXT(Table1[[#All],[Order Date]],"dddd")</f>
        <v>Tuesday</v>
      </c>
      <c r="Q1365" t="str">
        <f>TEXT(Table1[[#All],[Order Date]],"mmm")</f>
        <v>May</v>
      </c>
      <c r="R1365" t="str">
        <f>IF(Table1[[#All],[Total Price (?)]]&gt;1000,"High Value","Normal")</f>
        <v>High Value</v>
      </c>
    </row>
    <row r="1366" spans="1:18" x14ac:dyDescent="0.3">
      <c r="A1366" t="s">
        <v>1427</v>
      </c>
      <c r="B1366" s="1">
        <v>45822</v>
      </c>
      <c r="C1366" t="s">
        <v>52</v>
      </c>
      <c r="D1366" t="s">
        <v>25</v>
      </c>
      <c r="E1366" t="s">
        <v>27</v>
      </c>
      <c r="F1366" t="s">
        <v>87</v>
      </c>
      <c r="G1366">
        <v>3</v>
      </c>
      <c r="H1366">
        <v>1738.98</v>
      </c>
      <c r="I1366">
        <v>0.08</v>
      </c>
      <c r="J1366">
        <v>4799.58</v>
      </c>
      <c r="K1366" t="s">
        <v>19</v>
      </c>
      <c r="L1366" t="s">
        <v>29</v>
      </c>
      <c r="M1366" t="s">
        <v>30</v>
      </c>
      <c r="N1366" t="s">
        <v>22</v>
      </c>
      <c r="O1366">
        <f>Table1[[#All],[Quantity]]*Table1[[#All],[Unit Price (?)]]</f>
        <v>5216.9400000000005</v>
      </c>
      <c r="P1366" t="str">
        <f>TEXT(Table1[[#All],[Order Date]],"dddd")</f>
        <v>Saturday</v>
      </c>
      <c r="Q1366" t="str">
        <f>TEXT(Table1[[#All],[Order Date]],"mmm")</f>
        <v>Jun</v>
      </c>
      <c r="R1366" t="str">
        <f>IF(Table1[[#All],[Total Price (?)]]&gt;1000,"High Value","Normal")</f>
        <v>High Value</v>
      </c>
    </row>
    <row r="1367" spans="1:18" x14ac:dyDescent="0.3">
      <c r="A1367" t="s">
        <v>1428</v>
      </c>
      <c r="B1367" s="1">
        <v>45827</v>
      </c>
      <c r="C1367" t="s">
        <v>24</v>
      </c>
      <c r="D1367" t="s">
        <v>16</v>
      </c>
      <c r="E1367" t="s">
        <v>99</v>
      </c>
      <c r="F1367" t="s">
        <v>115</v>
      </c>
      <c r="G1367">
        <v>5</v>
      </c>
      <c r="H1367">
        <v>3873.08</v>
      </c>
      <c r="I1367">
        <v>0.05</v>
      </c>
      <c r="J1367">
        <v>18397.13</v>
      </c>
      <c r="K1367" t="s">
        <v>41</v>
      </c>
      <c r="L1367" t="s">
        <v>29</v>
      </c>
      <c r="M1367" t="s">
        <v>54</v>
      </c>
      <c r="N1367" t="s">
        <v>22</v>
      </c>
      <c r="O1367">
        <f>Table1[[#All],[Quantity]]*Table1[[#All],[Unit Price (?)]]</f>
        <v>19365.400000000001</v>
      </c>
      <c r="P1367" t="str">
        <f>TEXT(Table1[[#All],[Order Date]],"dddd")</f>
        <v>Thursday</v>
      </c>
      <c r="Q1367" t="str">
        <f>TEXT(Table1[[#All],[Order Date]],"mmm")</f>
        <v>Jun</v>
      </c>
      <c r="R1367" t="str">
        <f>IF(Table1[[#All],[Total Price (?)]]&gt;1000,"High Value","Normal")</f>
        <v>High Value</v>
      </c>
    </row>
    <row r="1368" spans="1:18" x14ac:dyDescent="0.3">
      <c r="A1368" t="s">
        <v>1429</v>
      </c>
      <c r="B1368" s="1">
        <v>45771</v>
      </c>
      <c r="C1368" t="s">
        <v>52</v>
      </c>
      <c r="D1368" t="s">
        <v>39</v>
      </c>
      <c r="E1368" t="s">
        <v>17</v>
      </c>
      <c r="F1368" t="s">
        <v>44</v>
      </c>
      <c r="G1368">
        <v>3</v>
      </c>
      <c r="H1368">
        <v>4181.3599999999997</v>
      </c>
      <c r="I1368">
        <v>0.17</v>
      </c>
      <c r="J1368">
        <v>10411.59</v>
      </c>
      <c r="K1368" t="s">
        <v>33</v>
      </c>
      <c r="L1368" t="s">
        <v>29</v>
      </c>
      <c r="M1368" t="s">
        <v>21</v>
      </c>
      <c r="N1368" t="s">
        <v>22</v>
      </c>
      <c r="O1368">
        <f>Table1[[#All],[Quantity]]*Table1[[#All],[Unit Price (?)]]</f>
        <v>12544.079999999998</v>
      </c>
      <c r="P1368" t="str">
        <f>TEXT(Table1[[#All],[Order Date]],"dddd")</f>
        <v>Thursday</v>
      </c>
      <c r="Q1368" t="str">
        <f>TEXT(Table1[[#All],[Order Date]],"mmm")</f>
        <v>Apr</v>
      </c>
      <c r="R1368" t="str">
        <f>IF(Table1[[#All],[Total Price (?)]]&gt;1000,"High Value","Normal")</f>
        <v>High Value</v>
      </c>
    </row>
    <row r="1369" spans="1:18" x14ac:dyDescent="0.3">
      <c r="A1369" t="s">
        <v>1430</v>
      </c>
      <c r="B1369" s="1">
        <v>45774</v>
      </c>
      <c r="C1369" t="s">
        <v>36</v>
      </c>
      <c r="D1369" t="s">
        <v>39</v>
      </c>
      <c r="E1369" t="s">
        <v>17</v>
      </c>
      <c r="F1369" t="s">
        <v>44</v>
      </c>
      <c r="G1369">
        <v>5</v>
      </c>
      <c r="H1369">
        <v>216.68</v>
      </c>
      <c r="I1369">
        <v>0</v>
      </c>
      <c r="J1369">
        <v>1083.4000000000001</v>
      </c>
      <c r="K1369" t="s">
        <v>46</v>
      </c>
      <c r="L1369" t="s">
        <v>20</v>
      </c>
      <c r="M1369" t="s">
        <v>54</v>
      </c>
      <c r="N1369" t="s">
        <v>22</v>
      </c>
      <c r="O1369">
        <f>Table1[[#All],[Quantity]]*Table1[[#All],[Unit Price (?)]]</f>
        <v>1083.4000000000001</v>
      </c>
      <c r="P1369" t="str">
        <f>TEXT(Table1[[#All],[Order Date]],"dddd")</f>
        <v>Sunday</v>
      </c>
      <c r="Q1369" t="str">
        <f>TEXT(Table1[[#All],[Order Date]],"mmm")</f>
        <v>Apr</v>
      </c>
      <c r="R1369" t="str">
        <f>IF(Table1[[#All],[Total Price (?)]]&gt;1000,"High Value","Normal")</f>
        <v>High Value</v>
      </c>
    </row>
    <row r="1370" spans="1:18" x14ac:dyDescent="0.3">
      <c r="A1370" t="s">
        <v>1431</v>
      </c>
      <c r="B1370" s="1">
        <v>45664</v>
      </c>
      <c r="C1370" t="s">
        <v>48</v>
      </c>
      <c r="D1370" t="s">
        <v>39</v>
      </c>
      <c r="E1370" t="s">
        <v>49</v>
      </c>
      <c r="F1370" t="s">
        <v>53</v>
      </c>
      <c r="G1370">
        <v>2</v>
      </c>
      <c r="H1370">
        <v>4612.01</v>
      </c>
      <c r="I1370">
        <v>0.12</v>
      </c>
      <c r="J1370">
        <v>8117.14</v>
      </c>
      <c r="K1370" t="s">
        <v>41</v>
      </c>
      <c r="L1370" t="s">
        <v>29</v>
      </c>
      <c r="M1370" t="s">
        <v>21</v>
      </c>
      <c r="N1370" t="s">
        <v>88</v>
      </c>
      <c r="O1370">
        <f>Table1[[#All],[Quantity]]*Table1[[#All],[Unit Price (?)]]</f>
        <v>9224.02</v>
      </c>
      <c r="P1370" t="str">
        <f>TEXT(Table1[[#All],[Order Date]],"dddd")</f>
        <v>Tuesday</v>
      </c>
      <c r="Q1370" t="str">
        <f>TEXT(Table1[[#All],[Order Date]],"mmm")</f>
        <v>Jan</v>
      </c>
      <c r="R1370" t="str">
        <f>IF(Table1[[#All],[Total Price (?)]]&gt;1000,"High Value","Normal")</f>
        <v>High Value</v>
      </c>
    </row>
    <row r="1371" spans="1:18" x14ac:dyDescent="0.3">
      <c r="A1371" t="s">
        <v>1432</v>
      </c>
      <c r="B1371" s="1">
        <v>45808</v>
      </c>
      <c r="C1371" t="s">
        <v>36</v>
      </c>
      <c r="D1371" t="s">
        <v>16</v>
      </c>
      <c r="E1371" t="s">
        <v>61</v>
      </c>
      <c r="F1371" t="s">
        <v>62</v>
      </c>
      <c r="G1371">
        <v>1</v>
      </c>
      <c r="H1371">
        <v>3134.46</v>
      </c>
      <c r="I1371">
        <v>0.21</v>
      </c>
      <c r="J1371">
        <v>2476.2199999999998</v>
      </c>
      <c r="K1371" t="s">
        <v>58</v>
      </c>
      <c r="L1371" t="s">
        <v>20</v>
      </c>
      <c r="M1371" t="s">
        <v>30</v>
      </c>
      <c r="N1371" t="s">
        <v>22</v>
      </c>
      <c r="O1371">
        <f>Table1[[#All],[Quantity]]*Table1[[#All],[Unit Price (?)]]</f>
        <v>3134.46</v>
      </c>
      <c r="P1371" t="str">
        <f>TEXT(Table1[[#All],[Order Date]],"dddd")</f>
        <v>Saturday</v>
      </c>
      <c r="Q1371" t="str">
        <f>TEXT(Table1[[#All],[Order Date]],"mmm")</f>
        <v>May</v>
      </c>
      <c r="R1371" t="str">
        <f>IF(Table1[[#All],[Total Price (?)]]&gt;1000,"High Value","Normal")</f>
        <v>High Value</v>
      </c>
    </row>
    <row r="1372" spans="1:18" x14ac:dyDescent="0.3">
      <c r="A1372" t="s">
        <v>1433</v>
      </c>
      <c r="B1372" s="1">
        <v>45790</v>
      </c>
      <c r="C1372" t="s">
        <v>24</v>
      </c>
      <c r="D1372" t="s">
        <v>39</v>
      </c>
      <c r="E1372" t="s">
        <v>49</v>
      </c>
      <c r="F1372" t="s">
        <v>73</v>
      </c>
      <c r="G1372">
        <v>2</v>
      </c>
      <c r="H1372">
        <v>3264.28</v>
      </c>
      <c r="I1372">
        <v>0.24</v>
      </c>
      <c r="J1372">
        <v>4961.71</v>
      </c>
      <c r="K1372" t="s">
        <v>58</v>
      </c>
      <c r="L1372" t="s">
        <v>34</v>
      </c>
      <c r="M1372" t="s">
        <v>21</v>
      </c>
      <c r="N1372" t="s">
        <v>22</v>
      </c>
      <c r="O1372">
        <f>Table1[[#All],[Quantity]]*Table1[[#All],[Unit Price (?)]]</f>
        <v>6528.56</v>
      </c>
      <c r="P1372" t="str">
        <f>TEXT(Table1[[#All],[Order Date]],"dddd")</f>
        <v>Tuesday</v>
      </c>
      <c r="Q1372" t="str">
        <f>TEXT(Table1[[#All],[Order Date]],"mmm")</f>
        <v>May</v>
      </c>
      <c r="R1372" t="str">
        <f>IF(Table1[[#All],[Total Price (?)]]&gt;1000,"High Value","Normal")</f>
        <v>High Value</v>
      </c>
    </row>
    <row r="1373" spans="1:18" x14ac:dyDescent="0.3">
      <c r="A1373" t="s">
        <v>1434</v>
      </c>
      <c r="B1373" s="1">
        <v>45819</v>
      </c>
      <c r="C1373" t="s">
        <v>15</v>
      </c>
      <c r="D1373" t="s">
        <v>16</v>
      </c>
      <c r="E1373" t="s">
        <v>49</v>
      </c>
      <c r="F1373" t="s">
        <v>56</v>
      </c>
      <c r="G1373">
        <v>3</v>
      </c>
      <c r="H1373">
        <v>795.01</v>
      </c>
      <c r="I1373">
        <v>0.11</v>
      </c>
      <c r="J1373">
        <v>2122.6799999999998</v>
      </c>
      <c r="K1373" t="s">
        <v>58</v>
      </c>
      <c r="L1373" t="s">
        <v>20</v>
      </c>
      <c r="M1373" t="s">
        <v>54</v>
      </c>
      <c r="N1373" t="s">
        <v>37</v>
      </c>
      <c r="O1373">
        <f>Table1[[#All],[Quantity]]*Table1[[#All],[Unit Price (?)]]</f>
        <v>2385.0299999999997</v>
      </c>
      <c r="P1373" t="str">
        <f>TEXT(Table1[[#All],[Order Date]],"dddd")</f>
        <v>Wednesday</v>
      </c>
      <c r="Q1373" t="str">
        <f>TEXT(Table1[[#All],[Order Date]],"mmm")</f>
        <v>Jun</v>
      </c>
      <c r="R1373" t="str">
        <f>IF(Table1[[#All],[Total Price (?)]]&gt;1000,"High Value","Normal")</f>
        <v>High Value</v>
      </c>
    </row>
    <row r="1374" spans="1:18" x14ac:dyDescent="0.3">
      <c r="A1374" t="s">
        <v>1435</v>
      </c>
      <c r="B1374" s="1">
        <v>45712</v>
      </c>
      <c r="C1374" t="s">
        <v>52</v>
      </c>
      <c r="D1374" t="s">
        <v>39</v>
      </c>
      <c r="E1374" t="s">
        <v>17</v>
      </c>
      <c r="F1374" t="s">
        <v>40</v>
      </c>
      <c r="G1374">
        <v>1</v>
      </c>
      <c r="H1374">
        <v>3651.56</v>
      </c>
      <c r="I1374">
        <v>0.11</v>
      </c>
      <c r="J1374">
        <v>3249.89</v>
      </c>
      <c r="K1374" t="s">
        <v>58</v>
      </c>
      <c r="L1374" t="s">
        <v>20</v>
      </c>
      <c r="M1374" t="s">
        <v>21</v>
      </c>
      <c r="N1374" t="s">
        <v>22</v>
      </c>
      <c r="O1374">
        <f>Table1[[#All],[Quantity]]*Table1[[#All],[Unit Price (?)]]</f>
        <v>3651.56</v>
      </c>
      <c r="P1374" t="str">
        <f>TEXT(Table1[[#All],[Order Date]],"dddd")</f>
        <v>Monday</v>
      </c>
      <c r="Q1374" t="str">
        <f>TEXT(Table1[[#All],[Order Date]],"mmm")</f>
        <v>Feb</v>
      </c>
      <c r="R1374" t="str">
        <f>IF(Table1[[#All],[Total Price (?)]]&gt;1000,"High Value","Normal")</f>
        <v>High Value</v>
      </c>
    </row>
    <row r="1375" spans="1:18" x14ac:dyDescent="0.3">
      <c r="A1375" t="s">
        <v>1436</v>
      </c>
      <c r="B1375" s="1">
        <v>45771</v>
      </c>
      <c r="C1375" t="s">
        <v>24</v>
      </c>
      <c r="D1375" t="s">
        <v>25</v>
      </c>
      <c r="E1375" t="s">
        <v>27</v>
      </c>
      <c r="F1375" t="s">
        <v>87</v>
      </c>
      <c r="G1375">
        <v>1</v>
      </c>
      <c r="H1375">
        <v>2047.94</v>
      </c>
      <c r="I1375">
        <v>0.09</v>
      </c>
      <c r="J1375">
        <v>1863.63</v>
      </c>
      <c r="K1375" t="s">
        <v>19</v>
      </c>
      <c r="L1375" t="s">
        <v>20</v>
      </c>
      <c r="M1375" t="s">
        <v>54</v>
      </c>
      <c r="N1375" t="s">
        <v>22</v>
      </c>
      <c r="O1375">
        <f>Table1[[#All],[Quantity]]*Table1[[#All],[Unit Price (?)]]</f>
        <v>2047.94</v>
      </c>
      <c r="P1375" t="str">
        <f>TEXT(Table1[[#All],[Order Date]],"dddd")</f>
        <v>Thursday</v>
      </c>
      <c r="Q1375" t="str">
        <f>TEXT(Table1[[#All],[Order Date]],"mmm")</f>
        <v>Apr</v>
      </c>
      <c r="R1375" t="str">
        <f>IF(Table1[[#All],[Total Price (?)]]&gt;1000,"High Value","Normal")</f>
        <v>High Value</v>
      </c>
    </row>
    <row r="1376" spans="1:18" x14ac:dyDescent="0.3">
      <c r="A1376" t="s">
        <v>1437</v>
      </c>
      <c r="B1376" s="1">
        <v>45667</v>
      </c>
      <c r="C1376" t="s">
        <v>52</v>
      </c>
      <c r="D1376" t="s">
        <v>39</v>
      </c>
      <c r="E1376" t="s">
        <v>49</v>
      </c>
      <c r="F1376" t="s">
        <v>50</v>
      </c>
      <c r="G1376">
        <v>1</v>
      </c>
      <c r="H1376">
        <v>3317.39</v>
      </c>
      <c r="I1376">
        <v>0.24</v>
      </c>
      <c r="J1376">
        <v>2521.2199999999998</v>
      </c>
      <c r="K1376" t="s">
        <v>58</v>
      </c>
      <c r="L1376" t="s">
        <v>29</v>
      </c>
      <c r="M1376" t="s">
        <v>30</v>
      </c>
      <c r="N1376" t="s">
        <v>22</v>
      </c>
      <c r="O1376">
        <f>Table1[[#All],[Quantity]]*Table1[[#All],[Unit Price (?)]]</f>
        <v>3317.39</v>
      </c>
      <c r="P1376" t="str">
        <f>TEXT(Table1[[#All],[Order Date]],"dddd")</f>
        <v>Friday</v>
      </c>
      <c r="Q1376" t="str">
        <f>TEXT(Table1[[#All],[Order Date]],"mmm")</f>
        <v>Jan</v>
      </c>
      <c r="R1376" t="str">
        <f>IF(Table1[[#All],[Total Price (?)]]&gt;1000,"High Value","Normal")</f>
        <v>High Value</v>
      </c>
    </row>
    <row r="1377" spans="1:18" x14ac:dyDescent="0.3">
      <c r="A1377" t="s">
        <v>1438</v>
      </c>
      <c r="B1377" s="1">
        <v>45808</v>
      </c>
      <c r="C1377" t="s">
        <v>24</v>
      </c>
      <c r="D1377" t="s">
        <v>16</v>
      </c>
      <c r="E1377" t="s">
        <v>61</v>
      </c>
      <c r="F1377" t="s">
        <v>66</v>
      </c>
      <c r="G1377">
        <v>2</v>
      </c>
      <c r="H1377">
        <v>3479.41</v>
      </c>
      <c r="I1377">
        <v>0.2</v>
      </c>
      <c r="J1377">
        <v>5567.06</v>
      </c>
      <c r="K1377" t="s">
        <v>46</v>
      </c>
      <c r="L1377" t="s">
        <v>20</v>
      </c>
      <c r="M1377" t="s">
        <v>21</v>
      </c>
      <c r="N1377" t="s">
        <v>37</v>
      </c>
      <c r="O1377">
        <f>Table1[[#All],[Quantity]]*Table1[[#All],[Unit Price (?)]]</f>
        <v>6958.82</v>
      </c>
      <c r="P1377" t="str">
        <f>TEXT(Table1[[#All],[Order Date]],"dddd")</f>
        <v>Saturday</v>
      </c>
      <c r="Q1377" t="str">
        <f>TEXT(Table1[[#All],[Order Date]],"mmm")</f>
        <v>May</v>
      </c>
      <c r="R1377" t="str">
        <f>IF(Table1[[#All],[Total Price (?)]]&gt;1000,"High Value","Normal")</f>
        <v>High Value</v>
      </c>
    </row>
    <row r="1378" spans="1:18" x14ac:dyDescent="0.3">
      <c r="A1378" t="s">
        <v>1439</v>
      </c>
      <c r="B1378" s="1">
        <v>45806</v>
      </c>
      <c r="C1378" t="s">
        <v>52</v>
      </c>
      <c r="D1378" t="s">
        <v>43</v>
      </c>
      <c r="E1378" t="s">
        <v>49</v>
      </c>
      <c r="F1378" t="s">
        <v>50</v>
      </c>
      <c r="G1378">
        <v>3</v>
      </c>
      <c r="H1378">
        <v>533.24</v>
      </c>
      <c r="I1378">
        <v>0.09</v>
      </c>
      <c r="J1378">
        <v>1455.75</v>
      </c>
      <c r="K1378" t="s">
        <v>58</v>
      </c>
      <c r="L1378" t="s">
        <v>34</v>
      </c>
      <c r="M1378" t="s">
        <v>30</v>
      </c>
      <c r="N1378" t="s">
        <v>22</v>
      </c>
      <c r="O1378">
        <f>Table1[[#All],[Quantity]]*Table1[[#All],[Unit Price (?)]]</f>
        <v>1599.72</v>
      </c>
      <c r="P1378" t="str">
        <f>TEXT(Table1[[#All],[Order Date]],"dddd")</f>
        <v>Thursday</v>
      </c>
      <c r="Q1378" t="str">
        <f>TEXT(Table1[[#All],[Order Date]],"mmm")</f>
        <v>May</v>
      </c>
      <c r="R1378" t="str">
        <f>IF(Table1[[#All],[Total Price (?)]]&gt;1000,"High Value","Normal")</f>
        <v>High Value</v>
      </c>
    </row>
    <row r="1379" spans="1:18" x14ac:dyDescent="0.3">
      <c r="A1379" t="s">
        <v>1440</v>
      </c>
      <c r="B1379" s="1">
        <v>45694</v>
      </c>
      <c r="C1379" t="s">
        <v>15</v>
      </c>
      <c r="D1379" t="s">
        <v>39</v>
      </c>
      <c r="E1379" t="s">
        <v>99</v>
      </c>
      <c r="F1379" t="s">
        <v>100</v>
      </c>
      <c r="G1379">
        <v>2</v>
      </c>
      <c r="H1379">
        <v>2943.04</v>
      </c>
      <c r="I1379">
        <v>0.09</v>
      </c>
      <c r="J1379">
        <v>5356.33</v>
      </c>
      <c r="K1379" t="s">
        <v>46</v>
      </c>
      <c r="L1379" t="s">
        <v>34</v>
      </c>
      <c r="M1379" t="s">
        <v>30</v>
      </c>
      <c r="N1379" t="s">
        <v>22</v>
      </c>
      <c r="O1379">
        <f>Table1[[#All],[Quantity]]*Table1[[#All],[Unit Price (?)]]</f>
        <v>5886.08</v>
      </c>
      <c r="P1379" t="str">
        <f>TEXT(Table1[[#All],[Order Date]],"dddd")</f>
        <v>Thursday</v>
      </c>
      <c r="Q1379" t="str">
        <f>TEXT(Table1[[#All],[Order Date]],"mmm")</f>
        <v>Feb</v>
      </c>
      <c r="R1379" t="str">
        <f>IF(Table1[[#All],[Total Price (?)]]&gt;1000,"High Value","Normal")</f>
        <v>High Value</v>
      </c>
    </row>
    <row r="1380" spans="1:18" x14ac:dyDescent="0.3">
      <c r="A1380" t="s">
        <v>1441</v>
      </c>
      <c r="B1380" s="1">
        <v>45751</v>
      </c>
      <c r="C1380" t="s">
        <v>15</v>
      </c>
      <c r="D1380" t="s">
        <v>25</v>
      </c>
      <c r="E1380" t="s">
        <v>49</v>
      </c>
      <c r="F1380" t="s">
        <v>50</v>
      </c>
      <c r="G1380">
        <v>5</v>
      </c>
      <c r="H1380">
        <v>1340.68</v>
      </c>
      <c r="I1380">
        <v>0.03</v>
      </c>
      <c r="J1380">
        <v>6502.3</v>
      </c>
      <c r="K1380" t="s">
        <v>41</v>
      </c>
      <c r="L1380" t="s">
        <v>20</v>
      </c>
      <c r="M1380" t="s">
        <v>30</v>
      </c>
      <c r="N1380" t="s">
        <v>22</v>
      </c>
      <c r="O1380">
        <f>Table1[[#All],[Quantity]]*Table1[[#All],[Unit Price (?)]]</f>
        <v>6703.4000000000005</v>
      </c>
      <c r="P1380" t="str">
        <f>TEXT(Table1[[#All],[Order Date]],"dddd")</f>
        <v>Friday</v>
      </c>
      <c r="Q1380" t="str">
        <f>TEXT(Table1[[#All],[Order Date]],"mmm")</f>
        <v>Apr</v>
      </c>
      <c r="R1380" t="str">
        <f>IF(Table1[[#All],[Total Price (?)]]&gt;1000,"High Value","Normal")</f>
        <v>High Value</v>
      </c>
    </row>
    <row r="1381" spans="1:18" x14ac:dyDescent="0.3">
      <c r="A1381" t="s">
        <v>1442</v>
      </c>
      <c r="B1381" s="1">
        <v>45760</v>
      </c>
      <c r="C1381" t="s">
        <v>24</v>
      </c>
      <c r="D1381" t="s">
        <v>43</v>
      </c>
      <c r="E1381" t="s">
        <v>27</v>
      </c>
      <c r="F1381" t="s">
        <v>68</v>
      </c>
      <c r="G1381">
        <v>2</v>
      </c>
      <c r="H1381">
        <v>3034.08</v>
      </c>
      <c r="I1381">
        <v>0.14000000000000001</v>
      </c>
      <c r="J1381">
        <v>5218.62</v>
      </c>
      <c r="K1381" t="s">
        <v>46</v>
      </c>
      <c r="L1381" t="s">
        <v>29</v>
      </c>
      <c r="M1381" t="s">
        <v>21</v>
      </c>
      <c r="N1381" t="s">
        <v>37</v>
      </c>
      <c r="O1381">
        <f>Table1[[#All],[Quantity]]*Table1[[#All],[Unit Price (?)]]</f>
        <v>6068.16</v>
      </c>
      <c r="P1381" t="str">
        <f>TEXT(Table1[[#All],[Order Date]],"dddd")</f>
        <v>Sunday</v>
      </c>
      <c r="Q1381" t="str">
        <f>TEXT(Table1[[#All],[Order Date]],"mmm")</f>
        <v>Apr</v>
      </c>
      <c r="R1381" t="str">
        <f>IF(Table1[[#All],[Total Price (?)]]&gt;1000,"High Value","Normal")</f>
        <v>High Value</v>
      </c>
    </row>
    <row r="1382" spans="1:18" x14ac:dyDescent="0.3">
      <c r="A1382" t="s">
        <v>1443</v>
      </c>
      <c r="B1382" s="1">
        <v>45786</v>
      </c>
      <c r="C1382" t="s">
        <v>52</v>
      </c>
      <c r="D1382" t="s">
        <v>16</v>
      </c>
      <c r="E1382" t="s">
        <v>27</v>
      </c>
      <c r="F1382" t="s">
        <v>68</v>
      </c>
      <c r="G1382">
        <v>4</v>
      </c>
      <c r="H1382">
        <v>4415.54</v>
      </c>
      <c r="I1382">
        <v>0.25</v>
      </c>
      <c r="J1382">
        <v>13246.62</v>
      </c>
      <c r="K1382" t="s">
        <v>41</v>
      </c>
      <c r="L1382" t="s">
        <v>20</v>
      </c>
      <c r="M1382" t="s">
        <v>21</v>
      </c>
      <c r="N1382" t="s">
        <v>22</v>
      </c>
      <c r="O1382">
        <f>Table1[[#All],[Quantity]]*Table1[[#All],[Unit Price (?)]]</f>
        <v>17662.16</v>
      </c>
      <c r="P1382" t="str">
        <f>TEXT(Table1[[#All],[Order Date]],"dddd")</f>
        <v>Friday</v>
      </c>
      <c r="Q1382" t="str">
        <f>TEXT(Table1[[#All],[Order Date]],"mmm")</f>
        <v>May</v>
      </c>
      <c r="R1382" t="str">
        <f>IF(Table1[[#All],[Total Price (?)]]&gt;1000,"High Value","Normal")</f>
        <v>High Value</v>
      </c>
    </row>
    <row r="1383" spans="1:18" x14ac:dyDescent="0.3">
      <c r="A1383" t="s">
        <v>1444</v>
      </c>
      <c r="B1383" s="1">
        <v>45745</v>
      </c>
      <c r="C1383" t="s">
        <v>15</v>
      </c>
      <c r="D1383" t="s">
        <v>25</v>
      </c>
      <c r="E1383" t="s">
        <v>27</v>
      </c>
      <c r="F1383" t="s">
        <v>79</v>
      </c>
      <c r="G1383">
        <v>2</v>
      </c>
      <c r="H1383">
        <v>3724.59</v>
      </c>
      <c r="I1383">
        <v>0.17</v>
      </c>
      <c r="J1383">
        <v>6182.82</v>
      </c>
      <c r="K1383" t="s">
        <v>33</v>
      </c>
      <c r="L1383" t="s">
        <v>29</v>
      </c>
      <c r="M1383" t="s">
        <v>30</v>
      </c>
      <c r="N1383" t="s">
        <v>22</v>
      </c>
      <c r="O1383">
        <f>Table1[[#All],[Quantity]]*Table1[[#All],[Unit Price (?)]]</f>
        <v>7449.18</v>
      </c>
      <c r="P1383" t="str">
        <f>TEXT(Table1[[#All],[Order Date]],"dddd")</f>
        <v>Saturday</v>
      </c>
      <c r="Q1383" t="str">
        <f>TEXT(Table1[[#All],[Order Date]],"mmm")</f>
        <v>Mar</v>
      </c>
      <c r="R1383" t="str">
        <f>IF(Table1[[#All],[Total Price (?)]]&gt;1000,"High Value","Normal")</f>
        <v>High Value</v>
      </c>
    </row>
    <row r="1384" spans="1:18" x14ac:dyDescent="0.3">
      <c r="A1384" t="s">
        <v>1445</v>
      </c>
      <c r="B1384" s="1">
        <v>45837</v>
      </c>
      <c r="C1384" t="s">
        <v>36</v>
      </c>
      <c r="D1384" t="s">
        <v>43</v>
      </c>
      <c r="E1384" t="s">
        <v>99</v>
      </c>
      <c r="F1384" t="s">
        <v>115</v>
      </c>
      <c r="G1384">
        <v>5</v>
      </c>
      <c r="H1384">
        <v>1820.56</v>
      </c>
      <c r="I1384">
        <v>0.1</v>
      </c>
      <c r="J1384">
        <v>8192.52</v>
      </c>
      <c r="K1384" t="s">
        <v>41</v>
      </c>
      <c r="L1384" t="s">
        <v>20</v>
      </c>
      <c r="M1384" t="s">
        <v>54</v>
      </c>
      <c r="N1384" t="s">
        <v>22</v>
      </c>
      <c r="O1384">
        <f>Table1[[#All],[Quantity]]*Table1[[#All],[Unit Price (?)]]</f>
        <v>9102.7999999999993</v>
      </c>
      <c r="P1384" t="str">
        <f>TEXT(Table1[[#All],[Order Date]],"dddd")</f>
        <v>Sunday</v>
      </c>
      <c r="Q1384" t="str">
        <f>TEXT(Table1[[#All],[Order Date]],"mmm")</f>
        <v>Jun</v>
      </c>
      <c r="R1384" t="str">
        <f>IF(Table1[[#All],[Total Price (?)]]&gt;1000,"High Value","Normal")</f>
        <v>High Value</v>
      </c>
    </row>
    <row r="1385" spans="1:18" x14ac:dyDescent="0.3">
      <c r="A1385" t="s">
        <v>1446</v>
      </c>
      <c r="B1385" s="1">
        <v>45714</v>
      </c>
      <c r="C1385" t="s">
        <v>52</v>
      </c>
      <c r="D1385" t="s">
        <v>39</v>
      </c>
      <c r="E1385" t="s">
        <v>49</v>
      </c>
      <c r="F1385" t="s">
        <v>73</v>
      </c>
      <c r="G1385">
        <v>1</v>
      </c>
      <c r="H1385">
        <v>2526.4899999999998</v>
      </c>
      <c r="I1385">
        <v>0.23</v>
      </c>
      <c r="J1385">
        <v>1945.4</v>
      </c>
      <c r="K1385" t="s">
        <v>58</v>
      </c>
      <c r="L1385" t="s">
        <v>29</v>
      </c>
      <c r="M1385" t="s">
        <v>21</v>
      </c>
      <c r="N1385" t="s">
        <v>22</v>
      </c>
      <c r="O1385">
        <f>Table1[[#All],[Quantity]]*Table1[[#All],[Unit Price (?)]]</f>
        <v>2526.4899999999998</v>
      </c>
      <c r="P1385" t="str">
        <f>TEXT(Table1[[#All],[Order Date]],"dddd")</f>
        <v>Wednesday</v>
      </c>
      <c r="Q1385" t="str">
        <f>TEXT(Table1[[#All],[Order Date]],"mmm")</f>
        <v>Feb</v>
      </c>
      <c r="R1385" t="str">
        <f>IF(Table1[[#All],[Total Price (?)]]&gt;1000,"High Value","Normal")</f>
        <v>High Value</v>
      </c>
    </row>
    <row r="1386" spans="1:18" x14ac:dyDescent="0.3">
      <c r="A1386" t="s">
        <v>1447</v>
      </c>
      <c r="B1386" s="1">
        <v>45695</v>
      </c>
      <c r="C1386" t="s">
        <v>52</v>
      </c>
      <c r="D1386" t="s">
        <v>16</v>
      </c>
      <c r="E1386" t="s">
        <v>49</v>
      </c>
      <c r="F1386" t="s">
        <v>53</v>
      </c>
      <c r="G1386">
        <v>1</v>
      </c>
      <c r="H1386">
        <v>4762.6000000000004</v>
      </c>
      <c r="I1386">
        <v>0.05</v>
      </c>
      <c r="J1386">
        <v>4524.47</v>
      </c>
      <c r="K1386" t="s">
        <v>33</v>
      </c>
      <c r="L1386" t="s">
        <v>29</v>
      </c>
      <c r="M1386" t="s">
        <v>54</v>
      </c>
      <c r="N1386" t="s">
        <v>22</v>
      </c>
      <c r="O1386">
        <f>Table1[[#All],[Quantity]]*Table1[[#All],[Unit Price (?)]]</f>
        <v>4762.6000000000004</v>
      </c>
      <c r="P1386" t="str">
        <f>TEXT(Table1[[#All],[Order Date]],"dddd")</f>
        <v>Friday</v>
      </c>
      <c r="Q1386" t="str">
        <f>TEXT(Table1[[#All],[Order Date]],"mmm")</f>
        <v>Feb</v>
      </c>
      <c r="R1386" t="str">
        <f>IF(Table1[[#All],[Total Price (?)]]&gt;1000,"High Value","Normal")</f>
        <v>High Value</v>
      </c>
    </row>
    <row r="1387" spans="1:18" x14ac:dyDescent="0.3">
      <c r="A1387" t="s">
        <v>1448</v>
      </c>
      <c r="B1387" s="1">
        <v>45773</v>
      </c>
      <c r="C1387" t="s">
        <v>24</v>
      </c>
      <c r="D1387" t="s">
        <v>25</v>
      </c>
      <c r="E1387" t="s">
        <v>61</v>
      </c>
      <c r="F1387" t="s">
        <v>75</v>
      </c>
      <c r="G1387">
        <v>4</v>
      </c>
      <c r="H1387">
        <v>4759.96</v>
      </c>
      <c r="I1387">
        <v>0.11</v>
      </c>
      <c r="J1387">
        <v>16945.46</v>
      </c>
      <c r="K1387" t="s">
        <v>58</v>
      </c>
      <c r="L1387" t="s">
        <v>34</v>
      </c>
      <c r="M1387" t="s">
        <v>30</v>
      </c>
      <c r="N1387" t="s">
        <v>22</v>
      </c>
      <c r="O1387">
        <f>Table1[[#All],[Quantity]]*Table1[[#All],[Unit Price (?)]]</f>
        <v>19039.84</v>
      </c>
      <c r="P1387" t="str">
        <f>TEXT(Table1[[#All],[Order Date]],"dddd")</f>
        <v>Saturday</v>
      </c>
      <c r="Q1387" t="str">
        <f>TEXT(Table1[[#All],[Order Date]],"mmm")</f>
        <v>Apr</v>
      </c>
      <c r="R1387" t="str">
        <f>IF(Table1[[#All],[Total Price (?)]]&gt;1000,"High Value","Normal")</f>
        <v>High Value</v>
      </c>
    </row>
    <row r="1388" spans="1:18" x14ac:dyDescent="0.3">
      <c r="A1388" t="s">
        <v>1449</v>
      </c>
      <c r="B1388" s="1">
        <v>45744</v>
      </c>
      <c r="C1388" t="s">
        <v>15</v>
      </c>
      <c r="D1388" t="s">
        <v>16</v>
      </c>
      <c r="E1388" t="s">
        <v>27</v>
      </c>
      <c r="F1388" t="s">
        <v>28</v>
      </c>
      <c r="G1388">
        <v>2</v>
      </c>
      <c r="H1388">
        <v>1588.55</v>
      </c>
      <c r="I1388">
        <v>0.15</v>
      </c>
      <c r="J1388">
        <v>2700.53</v>
      </c>
      <c r="K1388" t="s">
        <v>41</v>
      </c>
      <c r="L1388" t="s">
        <v>34</v>
      </c>
      <c r="M1388" t="s">
        <v>30</v>
      </c>
      <c r="N1388" t="s">
        <v>22</v>
      </c>
      <c r="O1388">
        <f>Table1[[#All],[Quantity]]*Table1[[#All],[Unit Price (?)]]</f>
        <v>3177.1</v>
      </c>
      <c r="P1388" t="str">
        <f>TEXT(Table1[[#All],[Order Date]],"dddd")</f>
        <v>Friday</v>
      </c>
      <c r="Q1388" t="str">
        <f>TEXT(Table1[[#All],[Order Date]],"mmm")</f>
        <v>Mar</v>
      </c>
      <c r="R1388" t="str">
        <f>IF(Table1[[#All],[Total Price (?)]]&gt;1000,"High Value","Normal")</f>
        <v>High Value</v>
      </c>
    </row>
    <row r="1389" spans="1:18" x14ac:dyDescent="0.3">
      <c r="A1389" t="s">
        <v>1450</v>
      </c>
      <c r="B1389" s="1">
        <v>45783</v>
      </c>
      <c r="C1389" t="s">
        <v>15</v>
      </c>
      <c r="D1389" t="s">
        <v>16</v>
      </c>
      <c r="E1389" t="s">
        <v>17</v>
      </c>
      <c r="F1389" t="s">
        <v>40</v>
      </c>
      <c r="G1389">
        <v>3</v>
      </c>
      <c r="H1389">
        <v>3533.09</v>
      </c>
      <c r="I1389">
        <v>0.22</v>
      </c>
      <c r="J1389">
        <v>8267.43</v>
      </c>
      <c r="K1389" t="s">
        <v>46</v>
      </c>
      <c r="L1389" t="s">
        <v>20</v>
      </c>
      <c r="M1389" t="s">
        <v>30</v>
      </c>
      <c r="N1389" t="s">
        <v>22</v>
      </c>
      <c r="O1389">
        <f>Table1[[#All],[Quantity]]*Table1[[#All],[Unit Price (?)]]</f>
        <v>10599.27</v>
      </c>
      <c r="P1389" t="str">
        <f>TEXT(Table1[[#All],[Order Date]],"dddd")</f>
        <v>Tuesday</v>
      </c>
      <c r="Q1389" t="str">
        <f>TEXT(Table1[[#All],[Order Date]],"mmm")</f>
        <v>May</v>
      </c>
      <c r="R1389" t="str">
        <f>IF(Table1[[#All],[Total Price (?)]]&gt;1000,"High Value","Normal")</f>
        <v>High Value</v>
      </c>
    </row>
    <row r="1390" spans="1:18" x14ac:dyDescent="0.3">
      <c r="A1390" t="s">
        <v>1451</v>
      </c>
      <c r="B1390" s="1">
        <v>45818</v>
      </c>
      <c r="C1390" t="s">
        <v>48</v>
      </c>
      <c r="D1390" t="s">
        <v>25</v>
      </c>
      <c r="E1390" t="s">
        <v>27</v>
      </c>
      <c r="F1390" t="s">
        <v>28</v>
      </c>
      <c r="G1390">
        <v>1</v>
      </c>
      <c r="H1390">
        <v>4817.5600000000004</v>
      </c>
      <c r="I1390">
        <v>0.19</v>
      </c>
      <c r="J1390">
        <v>3902.22</v>
      </c>
      <c r="K1390" t="s">
        <v>58</v>
      </c>
      <c r="L1390" t="s">
        <v>34</v>
      </c>
      <c r="M1390" t="s">
        <v>54</v>
      </c>
      <c r="N1390" t="s">
        <v>22</v>
      </c>
      <c r="O1390">
        <f>Table1[[#All],[Quantity]]*Table1[[#All],[Unit Price (?)]]</f>
        <v>4817.5600000000004</v>
      </c>
      <c r="P1390" t="str">
        <f>TEXT(Table1[[#All],[Order Date]],"dddd")</f>
        <v>Tuesday</v>
      </c>
      <c r="Q1390" t="str">
        <f>TEXT(Table1[[#All],[Order Date]],"mmm")</f>
        <v>Jun</v>
      </c>
      <c r="R1390" t="str">
        <f>IF(Table1[[#All],[Total Price (?)]]&gt;1000,"High Value","Normal")</f>
        <v>High Value</v>
      </c>
    </row>
    <row r="1391" spans="1:18" x14ac:dyDescent="0.3">
      <c r="A1391" t="s">
        <v>1452</v>
      </c>
      <c r="B1391" s="1">
        <v>45755</v>
      </c>
      <c r="C1391" t="s">
        <v>52</v>
      </c>
      <c r="D1391" t="s">
        <v>16</v>
      </c>
      <c r="E1391" t="s">
        <v>17</v>
      </c>
      <c r="F1391" t="s">
        <v>18</v>
      </c>
      <c r="G1391">
        <v>4</v>
      </c>
      <c r="H1391">
        <v>3770.36</v>
      </c>
      <c r="I1391">
        <v>0.06</v>
      </c>
      <c r="J1391">
        <v>14176.55</v>
      </c>
      <c r="K1391" t="s">
        <v>58</v>
      </c>
      <c r="L1391" t="s">
        <v>34</v>
      </c>
      <c r="M1391" t="s">
        <v>30</v>
      </c>
      <c r="N1391" t="s">
        <v>22</v>
      </c>
      <c r="O1391">
        <f>Table1[[#All],[Quantity]]*Table1[[#All],[Unit Price (?)]]</f>
        <v>15081.44</v>
      </c>
      <c r="P1391" t="str">
        <f>TEXT(Table1[[#All],[Order Date]],"dddd")</f>
        <v>Tuesday</v>
      </c>
      <c r="Q1391" t="str">
        <f>TEXT(Table1[[#All],[Order Date]],"mmm")</f>
        <v>Apr</v>
      </c>
      <c r="R1391" t="str">
        <f>IF(Table1[[#All],[Total Price (?)]]&gt;1000,"High Value","Normal")</f>
        <v>High Value</v>
      </c>
    </row>
    <row r="1392" spans="1:18" x14ac:dyDescent="0.3">
      <c r="A1392" t="s">
        <v>1453</v>
      </c>
      <c r="B1392" s="1">
        <v>45677</v>
      </c>
      <c r="C1392" t="s">
        <v>52</v>
      </c>
      <c r="D1392" t="s">
        <v>16</v>
      </c>
      <c r="E1392" t="s">
        <v>27</v>
      </c>
      <c r="F1392" t="s">
        <v>87</v>
      </c>
      <c r="G1392">
        <v>1</v>
      </c>
      <c r="H1392">
        <v>150.44</v>
      </c>
      <c r="I1392">
        <v>0.03</v>
      </c>
      <c r="J1392">
        <v>145.93</v>
      </c>
      <c r="K1392" t="s">
        <v>33</v>
      </c>
      <c r="L1392" t="s">
        <v>34</v>
      </c>
      <c r="M1392" t="s">
        <v>21</v>
      </c>
      <c r="N1392" t="s">
        <v>37</v>
      </c>
      <c r="O1392">
        <f>Table1[[#All],[Quantity]]*Table1[[#All],[Unit Price (?)]]</f>
        <v>150.44</v>
      </c>
      <c r="P1392" t="str">
        <f>TEXT(Table1[[#All],[Order Date]],"dddd")</f>
        <v>Monday</v>
      </c>
      <c r="Q1392" t="str">
        <f>TEXT(Table1[[#All],[Order Date]],"mmm")</f>
        <v>Jan</v>
      </c>
      <c r="R1392" t="str">
        <f>IF(Table1[[#All],[Total Price (?)]]&gt;1000,"High Value","Normal")</f>
        <v>Normal</v>
      </c>
    </row>
    <row r="1393" spans="1:18" x14ac:dyDescent="0.3">
      <c r="A1393" t="s">
        <v>1454</v>
      </c>
      <c r="B1393" s="1">
        <v>45751</v>
      </c>
      <c r="C1393" t="s">
        <v>36</v>
      </c>
      <c r="D1393" t="s">
        <v>16</v>
      </c>
      <c r="E1393" t="s">
        <v>49</v>
      </c>
      <c r="F1393" t="s">
        <v>56</v>
      </c>
      <c r="G1393">
        <v>3</v>
      </c>
      <c r="H1393">
        <v>3515.94</v>
      </c>
      <c r="I1393">
        <v>0.1</v>
      </c>
      <c r="J1393">
        <v>9493.0400000000009</v>
      </c>
      <c r="K1393" t="s">
        <v>19</v>
      </c>
      <c r="L1393" t="s">
        <v>34</v>
      </c>
      <c r="M1393" t="s">
        <v>21</v>
      </c>
      <c r="N1393" t="s">
        <v>22</v>
      </c>
      <c r="O1393">
        <f>Table1[[#All],[Quantity]]*Table1[[#All],[Unit Price (?)]]</f>
        <v>10547.82</v>
      </c>
      <c r="P1393" t="str">
        <f>TEXT(Table1[[#All],[Order Date]],"dddd")</f>
        <v>Friday</v>
      </c>
      <c r="Q1393" t="str">
        <f>TEXT(Table1[[#All],[Order Date]],"mmm")</f>
        <v>Apr</v>
      </c>
      <c r="R1393" t="str">
        <f>IF(Table1[[#All],[Total Price (?)]]&gt;1000,"High Value","Normal")</f>
        <v>High Value</v>
      </c>
    </row>
    <row r="1394" spans="1:18" x14ac:dyDescent="0.3">
      <c r="A1394" t="s">
        <v>1455</v>
      </c>
      <c r="B1394" s="1">
        <v>45727</v>
      </c>
      <c r="C1394" t="s">
        <v>52</v>
      </c>
      <c r="D1394" t="s">
        <v>16</v>
      </c>
      <c r="E1394" t="s">
        <v>17</v>
      </c>
      <c r="F1394" t="s">
        <v>40</v>
      </c>
      <c r="G1394">
        <v>2</v>
      </c>
      <c r="H1394">
        <v>295.10000000000002</v>
      </c>
      <c r="I1394">
        <v>0.15</v>
      </c>
      <c r="J1394">
        <v>501.67</v>
      </c>
      <c r="K1394" t="s">
        <v>41</v>
      </c>
      <c r="L1394" t="s">
        <v>34</v>
      </c>
      <c r="M1394" t="s">
        <v>30</v>
      </c>
      <c r="N1394" t="s">
        <v>22</v>
      </c>
      <c r="O1394">
        <f>Table1[[#All],[Quantity]]*Table1[[#All],[Unit Price (?)]]</f>
        <v>590.20000000000005</v>
      </c>
      <c r="P1394" t="str">
        <f>TEXT(Table1[[#All],[Order Date]],"dddd")</f>
        <v>Tuesday</v>
      </c>
      <c r="Q1394" t="str">
        <f>TEXT(Table1[[#All],[Order Date]],"mmm")</f>
        <v>Mar</v>
      </c>
      <c r="R1394" t="str">
        <f>IF(Table1[[#All],[Total Price (?)]]&gt;1000,"High Value","Normal")</f>
        <v>Normal</v>
      </c>
    </row>
    <row r="1395" spans="1:18" x14ac:dyDescent="0.3">
      <c r="A1395" t="s">
        <v>1456</v>
      </c>
      <c r="B1395" s="1">
        <v>45739</v>
      </c>
      <c r="C1395" t="s">
        <v>48</v>
      </c>
      <c r="D1395" t="s">
        <v>43</v>
      </c>
      <c r="E1395" t="s">
        <v>17</v>
      </c>
      <c r="F1395" t="s">
        <v>44</v>
      </c>
      <c r="G1395">
        <v>1</v>
      </c>
      <c r="H1395">
        <v>1997.79</v>
      </c>
      <c r="I1395">
        <v>0.19</v>
      </c>
      <c r="J1395">
        <v>1618.21</v>
      </c>
      <c r="K1395" t="s">
        <v>41</v>
      </c>
      <c r="L1395" t="s">
        <v>20</v>
      </c>
      <c r="M1395" t="s">
        <v>21</v>
      </c>
      <c r="N1395" t="s">
        <v>88</v>
      </c>
      <c r="O1395">
        <f>Table1[[#All],[Quantity]]*Table1[[#All],[Unit Price (?)]]</f>
        <v>1997.79</v>
      </c>
      <c r="P1395" t="str">
        <f>TEXT(Table1[[#All],[Order Date]],"dddd")</f>
        <v>Sunday</v>
      </c>
      <c r="Q1395" t="str">
        <f>TEXT(Table1[[#All],[Order Date]],"mmm")</f>
        <v>Mar</v>
      </c>
      <c r="R1395" t="str">
        <f>IF(Table1[[#All],[Total Price (?)]]&gt;1000,"High Value","Normal")</f>
        <v>High Value</v>
      </c>
    </row>
    <row r="1396" spans="1:18" x14ac:dyDescent="0.3">
      <c r="A1396" t="s">
        <v>1457</v>
      </c>
      <c r="B1396" s="1">
        <v>45724</v>
      </c>
      <c r="C1396" t="s">
        <v>52</v>
      </c>
      <c r="D1396" t="s">
        <v>16</v>
      </c>
      <c r="E1396" t="s">
        <v>17</v>
      </c>
      <c r="F1396" t="s">
        <v>32</v>
      </c>
      <c r="G1396">
        <v>5</v>
      </c>
      <c r="H1396">
        <v>4243.1400000000003</v>
      </c>
      <c r="I1396">
        <v>0.06</v>
      </c>
      <c r="J1396">
        <v>19942.759999999998</v>
      </c>
      <c r="K1396" t="s">
        <v>19</v>
      </c>
      <c r="L1396" t="s">
        <v>34</v>
      </c>
      <c r="M1396" t="s">
        <v>30</v>
      </c>
      <c r="N1396" t="s">
        <v>22</v>
      </c>
      <c r="O1396">
        <f>Table1[[#All],[Quantity]]*Table1[[#All],[Unit Price (?)]]</f>
        <v>21215.7</v>
      </c>
      <c r="P1396" t="str">
        <f>TEXT(Table1[[#All],[Order Date]],"dddd")</f>
        <v>Saturday</v>
      </c>
      <c r="Q1396" t="str">
        <f>TEXT(Table1[[#All],[Order Date]],"mmm")</f>
        <v>Mar</v>
      </c>
      <c r="R1396" t="str">
        <f>IF(Table1[[#All],[Total Price (?)]]&gt;1000,"High Value","Normal")</f>
        <v>High Value</v>
      </c>
    </row>
    <row r="1397" spans="1:18" x14ac:dyDescent="0.3">
      <c r="A1397" t="s">
        <v>1458</v>
      </c>
      <c r="B1397" s="1">
        <v>45722</v>
      </c>
      <c r="C1397" t="s">
        <v>36</v>
      </c>
      <c r="D1397" t="s">
        <v>16</v>
      </c>
      <c r="E1397" t="s">
        <v>61</v>
      </c>
      <c r="F1397" t="s">
        <v>75</v>
      </c>
      <c r="G1397">
        <v>4</v>
      </c>
      <c r="H1397">
        <v>2531.11</v>
      </c>
      <c r="I1397">
        <v>0.2</v>
      </c>
      <c r="J1397">
        <v>8099.55</v>
      </c>
      <c r="K1397" t="s">
        <v>33</v>
      </c>
      <c r="L1397" t="s">
        <v>20</v>
      </c>
      <c r="M1397" t="s">
        <v>30</v>
      </c>
      <c r="N1397" t="s">
        <v>22</v>
      </c>
      <c r="O1397">
        <f>Table1[[#All],[Quantity]]*Table1[[#All],[Unit Price (?)]]</f>
        <v>10124.44</v>
      </c>
      <c r="P1397" t="str">
        <f>TEXT(Table1[[#All],[Order Date]],"dddd")</f>
        <v>Thursday</v>
      </c>
      <c r="Q1397" t="str">
        <f>TEXT(Table1[[#All],[Order Date]],"mmm")</f>
        <v>Mar</v>
      </c>
      <c r="R1397" t="str">
        <f>IF(Table1[[#All],[Total Price (?)]]&gt;1000,"High Value","Normal")</f>
        <v>High Value</v>
      </c>
    </row>
    <row r="1398" spans="1:18" x14ac:dyDescent="0.3">
      <c r="A1398" t="s">
        <v>1459</v>
      </c>
      <c r="B1398" s="1">
        <v>45790</v>
      </c>
      <c r="C1398" t="s">
        <v>48</v>
      </c>
      <c r="D1398" t="s">
        <v>16</v>
      </c>
      <c r="E1398" t="s">
        <v>99</v>
      </c>
      <c r="F1398" t="s">
        <v>120</v>
      </c>
      <c r="G1398">
        <v>3</v>
      </c>
      <c r="H1398">
        <v>2237.83</v>
      </c>
      <c r="I1398">
        <v>0.18</v>
      </c>
      <c r="J1398">
        <v>5505.06</v>
      </c>
      <c r="K1398" t="s">
        <v>41</v>
      </c>
      <c r="L1398" t="s">
        <v>20</v>
      </c>
      <c r="M1398" t="s">
        <v>54</v>
      </c>
      <c r="N1398" t="s">
        <v>22</v>
      </c>
      <c r="O1398">
        <f>Table1[[#All],[Quantity]]*Table1[[#All],[Unit Price (?)]]</f>
        <v>6713.49</v>
      </c>
      <c r="P1398" t="str">
        <f>TEXT(Table1[[#All],[Order Date]],"dddd")</f>
        <v>Tuesday</v>
      </c>
      <c r="Q1398" t="str">
        <f>TEXT(Table1[[#All],[Order Date]],"mmm")</f>
        <v>May</v>
      </c>
      <c r="R1398" t="str">
        <f>IF(Table1[[#All],[Total Price (?)]]&gt;1000,"High Value","Normal")</f>
        <v>High Value</v>
      </c>
    </row>
    <row r="1399" spans="1:18" x14ac:dyDescent="0.3">
      <c r="A1399" t="s">
        <v>1460</v>
      </c>
      <c r="B1399" s="1">
        <v>45680</v>
      </c>
      <c r="C1399" t="s">
        <v>48</v>
      </c>
      <c r="D1399" t="s">
        <v>43</v>
      </c>
      <c r="E1399" t="s">
        <v>99</v>
      </c>
      <c r="F1399" t="s">
        <v>115</v>
      </c>
      <c r="G1399">
        <v>2</v>
      </c>
      <c r="H1399">
        <v>692.95</v>
      </c>
      <c r="I1399">
        <v>0.04</v>
      </c>
      <c r="J1399">
        <v>1330.46</v>
      </c>
      <c r="K1399" t="s">
        <v>33</v>
      </c>
      <c r="L1399" t="s">
        <v>20</v>
      </c>
      <c r="M1399" t="s">
        <v>21</v>
      </c>
      <c r="N1399" t="s">
        <v>22</v>
      </c>
      <c r="O1399">
        <f>Table1[[#All],[Quantity]]*Table1[[#All],[Unit Price (?)]]</f>
        <v>1385.9</v>
      </c>
      <c r="P1399" t="str">
        <f>TEXT(Table1[[#All],[Order Date]],"dddd")</f>
        <v>Thursday</v>
      </c>
      <c r="Q1399" t="str">
        <f>TEXT(Table1[[#All],[Order Date]],"mmm")</f>
        <v>Jan</v>
      </c>
      <c r="R1399" t="str">
        <f>IF(Table1[[#All],[Total Price (?)]]&gt;1000,"High Value","Normal")</f>
        <v>High Value</v>
      </c>
    </row>
    <row r="1400" spans="1:18" x14ac:dyDescent="0.3">
      <c r="A1400" t="s">
        <v>1461</v>
      </c>
      <c r="B1400" s="1">
        <v>45826</v>
      </c>
      <c r="C1400" t="s">
        <v>36</v>
      </c>
      <c r="D1400" t="s">
        <v>25</v>
      </c>
      <c r="E1400" t="s">
        <v>49</v>
      </c>
      <c r="F1400" t="s">
        <v>53</v>
      </c>
      <c r="G1400">
        <v>1</v>
      </c>
      <c r="H1400">
        <v>4857.24</v>
      </c>
      <c r="I1400">
        <v>0.16</v>
      </c>
      <c r="J1400">
        <v>4080.08</v>
      </c>
      <c r="K1400" t="s">
        <v>46</v>
      </c>
      <c r="L1400" t="s">
        <v>34</v>
      </c>
      <c r="M1400" t="s">
        <v>21</v>
      </c>
      <c r="N1400" t="s">
        <v>22</v>
      </c>
      <c r="O1400">
        <f>Table1[[#All],[Quantity]]*Table1[[#All],[Unit Price (?)]]</f>
        <v>4857.24</v>
      </c>
      <c r="P1400" t="str">
        <f>TEXT(Table1[[#All],[Order Date]],"dddd")</f>
        <v>Wednesday</v>
      </c>
      <c r="Q1400" t="str">
        <f>TEXT(Table1[[#All],[Order Date]],"mmm")</f>
        <v>Jun</v>
      </c>
      <c r="R1400" t="str">
        <f>IF(Table1[[#All],[Total Price (?)]]&gt;1000,"High Value","Normal")</f>
        <v>High Value</v>
      </c>
    </row>
    <row r="1401" spans="1:18" x14ac:dyDescent="0.3">
      <c r="A1401" t="s">
        <v>1462</v>
      </c>
      <c r="B1401" s="1">
        <v>45691</v>
      </c>
      <c r="C1401" t="s">
        <v>52</v>
      </c>
      <c r="D1401" t="s">
        <v>16</v>
      </c>
      <c r="E1401" t="s">
        <v>17</v>
      </c>
      <c r="F1401" t="s">
        <v>44</v>
      </c>
      <c r="G1401">
        <v>2</v>
      </c>
      <c r="H1401">
        <v>3758.55</v>
      </c>
      <c r="I1401">
        <v>0.1</v>
      </c>
      <c r="J1401">
        <v>6765.39</v>
      </c>
      <c r="K1401" t="s">
        <v>19</v>
      </c>
      <c r="L1401" t="s">
        <v>34</v>
      </c>
      <c r="M1401" t="s">
        <v>30</v>
      </c>
      <c r="N1401" t="s">
        <v>22</v>
      </c>
      <c r="O1401">
        <f>Table1[[#All],[Quantity]]*Table1[[#All],[Unit Price (?)]]</f>
        <v>7517.1</v>
      </c>
      <c r="P1401" t="str">
        <f>TEXT(Table1[[#All],[Order Date]],"dddd")</f>
        <v>Monday</v>
      </c>
      <c r="Q1401" t="str">
        <f>TEXT(Table1[[#All],[Order Date]],"mmm")</f>
        <v>Feb</v>
      </c>
      <c r="R1401" t="str">
        <f>IF(Table1[[#All],[Total Price (?)]]&gt;1000,"High Value","Normal")</f>
        <v>High Value</v>
      </c>
    </row>
    <row r="1402" spans="1:18" x14ac:dyDescent="0.3">
      <c r="A1402" t="s">
        <v>1463</v>
      </c>
      <c r="B1402" s="1">
        <v>45724</v>
      </c>
      <c r="C1402" t="s">
        <v>36</v>
      </c>
      <c r="D1402" t="s">
        <v>39</v>
      </c>
      <c r="E1402" t="s">
        <v>17</v>
      </c>
      <c r="F1402" t="s">
        <v>18</v>
      </c>
      <c r="G1402">
        <v>5</v>
      </c>
      <c r="H1402">
        <v>143.4</v>
      </c>
      <c r="I1402">
        <v>0.22</v>
      </c>
      <c r="J1402">
        <v>559.26</v>
      </c>
      <c r="K1402" t="s">
        <v>46</v>
      </c>
      <c r="L1402" t="s">
        <v>29</v>
      </c>
      <c r="M1402" t="s">
        <v>54</v>
      </c>
      <c r="N1402" t="s">
        <v>37</v>
      </c>
      <c r="O1402">
        <f>Table1[[#All],[Quantity]]*Table1[[#All],[Unit Price (?)]]</f>
        <v>717</v>
      </c>
      <c r="P1402" t="str">
        <f>TEXT(Table1[[#All],[Order Date]],"dddd")</f>
        <v>Saturday</v>
      </c>
      <c r="Q1402" t="str">
        <f>TEXT(Table1[[#All],[Order Date]],"mmm")</f>
        <v>Mar</v>
      </c>
      <c r="R1402" t="str">
        <f>IF(Table1[[#All],[Total Price (?)]]&gt;1000,"High Value","Normal")</f>
        <v>Normal</v>
      </c>
    </row>
    <row r="1403" spans="1:18" x14ac:dyDescent="0.3">
      <c r="A1403" t="s">
        <v>1464</v>
      </c>
      <c r="B1403" s="1">
        <v>45739</v>
      </c>
      <c r="C1403" t="s">
        <v>52</v>
      </c>
      <c r="D1403" t="s">
        <v>16</v>
      </c>
      <c r="E1403" t="s">
        <v>49</v>
      </c>
      <c r="F1403" t="s">
        <v>73</v>
      </c>
      <c r="G1403">
        <v>4</v>
      </c>
      <c r="H1403">
        <v>1149.2</v>
      </c>
      <c r="I1403">
        <v>0.04</v>
      </c>
      <c r="J1403">
        <v>4412.93</v>
      </c>
      <c r="K1403" t="s">
        <v>41</v>
      </c>
      <c r="L1403" t="s">
        <v>34</v>
      </c>
      <c r="M1403" t="s">
        <v>21</v>
      </c>
      <c r="N1403" t="s">
        <v>22</v>
      </c>
      <c r="O1403">
        <f>Table1[[#All],[Quantity]]*Table1[[#All],[Unit Price (?)]]</f>
        <v>4596.8</v>
      </c>
      <c r="P1403" t="str">
        <f>TEXT(Table1[[#All],[Order Date]],"dddd")</f>
        <v>Sunday</v>
      </c>
      <c r="Q1403" t="str">
        <f>TEXT(Table1[[#All],[Order Date]],"mmm")</f>
        <v>Mar</v>
      </c>
      <c r="R1403" t="str">
        <f>IF(Table1[[#All],[Total Price (?)]]&gt;1000,"High Value","Normal")</f>
        <v>High Value</v>
      </c>
    </row>
    <row r="1404" spans="1:18" x14ac:dyDescent="0.3">
      <c r="A1404" t="s">
        <v>1465</v>
      </c>
      <c r="B1404" s="1">
        <v>45794</v>
      </c>
      <c r="C1404" t="s">
        <v>24</v>
      </c>
      <c r="D1404" t="s">
        <v>39</v>
      </c>
      <c r="E1404" t="s">
        <v>61</v>
      </c>
      <c r="F1404" t="s">
        <v>75</v>
      </c>
      <c r="G1404">
        <v>1</v>
      </c>
      <c r="H1404">
        <v>2874.17</v>
      </c>
      <c r="I1404">
        <v>0.06</v>
      </c>
      <c r="J1404">
        <v>2701.72</v>
      </c>
      <c r="K1404" t="s">
        <v>41</v>
      </c>
      <c r="L1404" t="s">
        <v>29</v>
      </c>
      <c r="M1404" t="s">
        <v>30</v>
      </c>
      <c r="N1404" t="s">
        <v>37</v>
      </c>
      <c r="O1404">
        <f>Table1[[#All],[Quantity]]*Table1[[#All],[Unit Price (?)]]</f>
        <v>2874.17</v>
      </c>
      <c r="P1404" t="str">
        <f>TEXT(Table1[[#All],[Order Date]],"dddd")</f>
        <v>Saturday</v>
      </c>
      <c r="Q1404" t="str">
        <f>TEXT(Table1[[#All],[Order Date]],"mmm")</f>
        <v>May</v>
      </c>
      <c r="R1404" t="str">
        <f>IF(Table1[[#All],[Total Price (?)]]&gt;1000,"High Value","Normal")</f>
        <v>High Value</v>
      </c>
    </row>
    <row r="1405" spans="1:18" x14ac:dyDescent="0.3">
      <c r="A1405" t="s">
        <v>1466</v>
      </c>
      <c r="B1405" s="1">
        <v>45756</v>
      </c>
      <c r="C1405" t="s">
        <v>24</v>
      </c>
      <c r="D1405" t="s">
        <v>39</v>
      </c>
      <c r="E1405" t="s">
        <v>99</v>
      </c>
      <c r="F1405" t="s">
        <v>115</v>
      </c>
      <c r="G1405">
        <v>3</v>
      </c>
      <c r="H1405">
        <v>3925.1</v>
      </c>
      <c r="I1405">
        <v>0.01</v>
      </c>
      <c r="J1405">
        <v>11657.55</v>
      </c>
      <c r="K1405" t="s">
        <v>41</v>
      </c>
      <c r="L1405" t="s">
        <v>20</v>
      </c>
      <c r="M1405" t="s">
        <v>21</v>
      </c>
      <c r="N1405" t="s">
        <v>22</v>
      </c>
      <c r="O1405">
        <f>Table1[[#All],[Quantity]]*Table1[[#All],[Unit Price (?)]]</f>
        <v>11775.3</v>
      </c>
      <c r="P1405" t="str">
        <f>TEXT(Table1[[#All],[Order Date]],"dddd")</f>
        <v>Wednesday</v>
      </c>
      <c r="Q1405" t="str">
        <f>TEXT(Table1[[#All],[Order Date]],"mmm")</f>
        <v>Apr</v>
      </c>
      <c r="R1405" t="str">
        <f>IF(Table1[[#All],[Total Price (?)]]&gt;1000,"High Value","Normal")</f>
        <v>High Value</v>
      </c>
    </row>
    <row r="1406" spans="1:18" x14ac:dyDescent="0.3">
      <c r="A1406" t="s">
        <v>1467</v>
      </c>
      <c r="B1406" s="1">
        <v>45715</v>
      </c>
      <c r="C1406" t="s">
        <v>52</v>
      </c>
      <c r="D1406" t="s">
        <v>43</v>
      </c>
      <c r="E1406" t="s">
        <v>27</v>
      </c>
      <c r="F1406" t="s">
        <v>68</v>
      </c>
      <c r="G1406">
        <v>5</v>
      </c>
      <c r="H1406">
        <v>4454.8500000000004</v>
      </c>
      <c r="I1406">
        <v>0.16</v>
      </c>
      <c r="J1406">
        <v>18710.37</v>
      </c>
      <c r="K1406" t="s">
        <v>41</v>
      </c>
      <c r="L1406" t="s">
        <v>29</v>
      </c>
      <c r="M1406" t="s">
        <v>21</v>
      </c>
      <c r="N1406" t="s">
        <v>22</v>
      </c>
      <c r="O1406">
        <f>Table1[[#All],[Quantity]]*Table1[[#All],[Unit Price (?)]]</f>
        <v>22274.25</v>
      </c>
      <c r="P1406" t="str">
        <f>TEXT(Table1[[#All],[Order Date]],"dddd")</f>
        <v>Thursday</v>
      </c>
      <c r="Q1406" t="str">
        <f>TEXT(Table1[[#All],[Order Date]],"mmm")</f>
        <v>Feb</v>
      </c>
      <c r="R1406" t="str">
        <f>IF(Table1[[#All],[Total Price (?)]]&gt;1000,"High Value","Normal")</f>
        <v>High Value</v>
      </c>
    </row>
    <row r="1407" spans="1:18" x14ac:dyDescent="0.3">
      <c r="A1407" t="s">
        <v>1468</v>
      </c>
      <c r="B1407" s="1">
        <v>45788</v>
      </c>
      <c r="C1407" t="s">
        <v>48</v>
      </c>
      <c r="D1407" t="s">
        <v>43</v>
      </c>
      <c r="E1407" t="s">
        <v>27</v>
      </c>
      <c r="F1407" t="s">
        <v>28</v>
      </c>
      <c r="G1407">
        <v>5</v>
      </c>
      <c r="H1407">
        <v>251.48</v>
      </c>
      <c r="I1407">
        <v>0.02</v>
      </c>
      <c r="J1407">
        <v>1232.25</v>
      </c>
      <c r="K1407" t="s">
        <v>58</v>
      </c>
      <c r="L1407" t="s">
        <v>34</v>
      </c>
      <c r="M1407" t="s">
        <v>54</v>
      </c>
      <c r="N1407" t="s">
        <v>88</v>
      </c>
      <c r="O1407">
        <f>Table1[[#All],[Quantity]]*Table1[[#All],[Unit Price (?)]]</f>
        <v>1257.3999999999999</v>
      </c>
      <c r="P1407" t="str">
        <f>TEXT(Table1[[#All],[Order Date]],"dddd")</f>
        <v>Sunday</v>
      </c>
      <c r="Q1407" t="str">
        <f>TEXT(Table1[[#All],[Order Date]],"mmm")</f>
        <v>May</v>
      </c>
      <c r="R1407" t="str">
        <f>IF(Table1[[#All],[Total Price (?)]]&gt;1000,"High Value","Normal")</f>
        <v>High Value</v>
      </c>
    </row>
    <row r="1408" spans="1:18" x14ac:dyDescent="0.3">
      <c r="A1408" t="s">
        <v>1469</v>
      </c>
      <c r="B1408" s="1">
        <v>45737</v>
      </c>
      <c r="C1408" t="s">
        <v>15</v>
      </c>
      <c r="D1408" t="s">
        <v>39</v>
      </c>
      <c r="E1408" t="s">
        <v>17</v>
      </c>
      <c r="F1408" t="s">
        <v>32</v>
      </c>
      <c r="G1408">
        <v>4</v>
      </c>
      <c r="H1408">
        <v>3285.82</v>
      </c>
      <c r="I1408">
        <v>0.25</v>
      </c>
      <c r="J1408">
        <v>9857.4599999999991</v>
      </c>
      <c r="K1408" t="s">
        <v>41</v>
      </c>
      <c r="L1408" t="s">
        <v>34</v>
      </c>
      <c r="M1408" t="s">
        <v>30</v>
      </c>
      <c r="N1408" t="s">
        <v>88</v>
      </c>
      <c r="O1408">
        <f>Table1[[#All],[Quantity]]*Table1[[#All],[Unit Price (?)]]</f>
        <v>13143.28</v>
      </c>
      <c r="P1408" t="str">
        <f>TEXT(Table1[[#All],[Order Date]],"dddd")</f>
        <v>Friday</v>
      </c>
      <c r="Q1408" t="str">
        <f>TEXT(Table1[[#All],[Order Date]],"mmm")</f>
        <v>Mar</v>
      </c>
      <c r="R1408" t="str">
        <f>IF(Table1[[#All],[Total Price (?)]]&gt;1000,"High Value","Normal")</f>
        <v>High Value</v>
      </c>
    </row>
    <row r="1409" spans="1:18" x14ac:dyDescent="0.3">
      <c r="A1409" t="s">
        <v>1470</v>
      </c>
      <c r="B1409" s="1">
        <v>45817</v>
      </c>
      <c r="C1409" t="s">
        <v>15</v>
      </c>
      <c r="D1409" t="s">
        <v>43</v>
      </c>
      <c r="E1409" t="s">
        <v>27</v>
      </c>
      <c r="F1409" t="s">
        <v>28</v>
      </c>
      <c r="G1409">
        <v>4</v>
      </c>
      <c r="H1409">
        <v>1991.86</v>
      </c>
      <c r="I1409">
        <v>0.22</v>
      </c>
      <c r="J1409">
        <v>6214.6</v>
      </c>
      <c r="K1409" t="s">
        <v>41</v>
      </c>
      <c r="L1409" t="s">
        <v>29</v>
      </c>
      <c r="M1409" t="s">
        <v>21</v>
      </c>
      <c r="N1409" t="s">
        <v>22</v>
      </c>
      <c r="O1409">
        <f>Table1[[#All],[Quantity]]*Table1[[#All],[Unit Price (?)]]</f>
        <v>7967.44</v>
      </c>
      <c r="P1409" t="str">
        <f>TEXT(Table1[[#All],[Order Date]],"dddd")</f>
        <v>Monday</v>
      </c>
      <c r="Q1409" t="str">
        <f>TEXT(Table1[[#All],[Order Date]],"mmm")</f>
        <v>Jun</v>
      </c>
      <c r="R1409" t="str">
        <f>IF(Table1[[#All],[Total Price (?)]]&gt;1000,"High Value","Normal")</f>
        <v>High Value</v>
      </c>
    </row>
    <row r="1410" spans="1:18" x14ac:dyDescent="0.3">
      <c r="A1410" t="s">
        <v>1471</v>
      </c>
      <c r="B1410" s="1">
        <v>45807</v>
      </c>
      <c r="C1410" t="s">
        <v>15</v>
      </c>
      <c r="D1410" t="s">
        <v>39</v>
      </c>
      <c r="E1410" t="s">
        <v>17</v>
      </c>
      <c r="F1410" t="s">
        <v>40</v>
      </c>
      <c r="G1410">
        <v>5</v>
      </c>
      <c r="H1410">
        <v>3193.69</v>
      </c>
      <c r="I1410">
        <v>0.06</v>
      </c>
      <c r="J1410">
        <v>15010.34</v>
      </c>
      <c r="K1410" t="s">
        <v>33</v>
      </c>
      <c r="L1410" t="s">
        <v>29</v>
      </c>
      <c r="M1410" t="s">
        <v>30</v>
      </c>
      <c r="N1410" t="s">
        <v>37</v>
      </c>
      <c r="O1410">
        <f>Table1[[#All],[Quantity]]*Table1[[#All],[Unit Price (?)]]</f>
        <v>15968.45</v>
      </c>
      <c r="P1410" t="str">
        <f>TEXT(Table1[[#All],[Order Date]],"dddd")</f>
        <v>Friday</v>
      </c>
      <c r="Q1410" t="str">
        <f>TEXT(Table1[[#All],[Order Date]],"mmm")</f>
        <v>May</v>
      </c>
      <c r="R1410" t="str">
        <f>IF(Table1[[#All],[Total Price (?)]]&gt;1000,"High Value","Normal")</f>
        <v>High Value</v>
      </c>
    </row>
    <row r="1411" spans="1:18" x14ac:dyDescent="0.3">
      <c r="A1411" t="s">
        <v>1472</v>
      </c>
      <c r="B1411" s="1">
        <v>45766</v>
      </c>
      <c r="C1411" t="s">
        <v>15</v>
      </c>
      <c r="D1411" t="s">
        <v>39</v>
      </c>
      <c r="E1411" t="s">
        <v>27</v>
      </c>
      <c r="F1411" t="s">
        <v>68</v>
      </c>
      <c r="G1411">
        <v>5</v>
      </c>
      <c r="H1411">
        <v>1037.21</v>
      </c>
      <c r="I1411">
        <v>0.24</v>
      </c>
      <c r="J1411">
        <v>3941.4</v>
      </c>
      <c r="K1411" t="s">
        <v>46</v>
      </c>
      <c r="L1411" t="s">
        <v>20</v>
      </c>
      <c r="M1411" t="s">
        <v>54</v>
      </c>
      <c r="N1411" t="s">
        <v>22</v>
      </c>
      <c r="O1411">
        <f>Table1[[#All],[Quantity]]*Table1[[#All],[Unit Price (?)]]</f>
        <v>5186.05</v>
      </c>
      <c r="P1411" t="str">
        <f>TEXT(Table1[[#All],[Order Date]],"dddd")</f>
        <v>Saturday</v>
      </c>
      <c r="Q1411" t="str">
        <f>TEXT(Table1[[#All],[Order Date]],"mmm")</f>
        <v>Apr</v>
      </c>
      <c r="R1411" t="str">
        <f>IF(Table1[[#All],[Total Price (?)]]&gt;1000,"High Value","Normal")</f>
        <v>High Value</v>
      </c>
    </row>
    <row r="1412" spans="1:18" x14ac:dyDescent="0.3">
      <c r="A1412" t="s">
        <v>1473</v>
      </c>
      <c r="B1412" s="1">
        <v>45667</v>
      </c>
      <c r="C1412" t="s">
        <v>15</v>
      </c>
      <c r="D1412" t="s">
        <v>39</v>
      </c>
      <c r="E1412" t="s">
        <v>49</v>
      </c>
      <c r="F1412" t="s">
        <v>53</v>
      </c>
      <c r="G1412">
        <v>2</v>
      </c>
      <c r="H1412">
        <v>3864.74</v>
      </c>
      <c r="I1412">
        <v>0.22</v>
      </c>
      <c r="J1412">
        <v>6028.99</v>
      </c>
      <c r="K1412" t="s">
        <v>33</v>
      </c>
      <c r="L1412" t="s">
        <v>34</v>
      </c>
      <c r="M1412" t="s">
        <v>54</v>
      </c>
      <c r="N1412" t="s">
        <v>22</v>
      </c>
      <c r="O1412">
        <f>Table1[[#All],[Quantity]]*Table1[[#All],[Unit Price (?)]]</f>
        <v>7729.48</v>
      </c>
      <c r="P1412" t="str">
        <f>TEXT(Table1[[#All],[Order Date]],"dddd")</f>
        <v>Friday</v>
      </c>
      <c r="Q1412" t="str">
        <f>TEXT(Table1[[#All],[Order Date]],"mmm")</f>
        <v>Jan</v>
      </c>
      <c r="R1412" t="str">
        <f>IF(Table1[[#All],[Total Price (?)]]&gt;1000,"High Value","Normal")</f>
        <v>High Value</v>
      </c>
    </row>
    <row r="1413" spans="1:18" x14ac:dyDescent="0.3">
      <c r="A1413" t="s">
        <v>1474</v>
      </c>
      <c r="B1413" s="1">
        <v>45748</v>
      </c>
      <c r="C1413" t="s">
        <v>52</v>
      </c>
      <c r="D1413" t="s">
        <v>43</v>
      </c>
      <c r="E1413" t="s">
        <v>99</v>
      </c>
      <c r="F1413" t="s">
        <v>111</v>
      </c>
      <c r="G1413">
        <v>5</v>
      </c>
      <c r="H1413">
        <v>949.74</v>
      </c>
      <c r="I1413">
        <v>0.18</v>
      </c>
      <c r="J1413">
        <v>3893.93</v>
      </c>
      <c r="K1413" t="s">
        <v>41</v>
      </c>
      <c r="L1413" t="s">
        <v>29</v>
      </c>
      <c r="M1413" t="s">
        <v>30</v>
      </c>
      <c r="N1413" t="s">
        <v>22</v>
      </c>
      <c r="O1413">
        <f>Table1[[#All],[Quantity]]*Table1[[#All],[Unit Price (?)]]</f>
        <v>4748.7</v>
      </c>
      <c r="P1413" t="str">
        <f>TEXT(Table1[[#All],[Order Date]],"dddd")</f>
        <v>Tuesday</v>
      </c>
      <c r="Q1413" t="str">
        <f>TEXT(Table1[[#All],[Order Date]],"mmm")</f>
        <v>Apr</v>
      </c>
      <c r="R1413" t="str">
        <f>IF(Table1[[#All],[Total Price (?)]]&gt;1000,"High Value","Normal")</f>
        <v>High Value</v>
      </c>
    </row>
    <row r="1414" spans="1:18" x14ac:dyDescent="0.3">
      <c r="A1414" t="s">
        <v>1475</v>
      </c>
      <c r="B1414" s="1">
        <v>45677</v>
      </c>
      <c r="C1414" t="s">
        <v>48</v>
      </c>
      <c r="D1414" t="s">
        <v>25</v>
      </c>
      <c r="E1414" t="s">
        <v>99</v>
      </c>
      <c r="F1414" t="s">
        <v>100</v>
      </c>
      <c r="G1414">
        <v>4</v>
      </c>
      <c r="H1414">
        <v>2473.2800000000002</v>
      </c>
      <c r="I1414">
        <v>7.0000000000000007E-2</v>
      </c>
      <c r="J1414">
        <v>9200.6</v>
      </c>
      <c r="K1414" t="s">
        <v>46</v>
      </c>
      <c r="L1414" t="s">
        <v>20</v>
      </c>
      <c r="M1414" t="s">
        <v>21</v>
      </c>
      <c r="N1414" t="s">
        <v>22</v>
      </c>
      <c r="O1414">
        <f>Table1[[#All],[Quantity]]*Table1[[#All],[Unit Price (?)]]</f>
        <v>9893.1200000000008</v>
      </c>
      <c r="P1414" t="str">
        <f>TEXT(Table1[[#All],[Order Date]],"dddd")</f>
        <v>Monday</v>
      </c>
      <c r="Q1414" t="str">
        <f>TEXT(Table1[[#All],[Order Date]],"mmm")</f>
        <v>Jan</v>
      </c>
      <c r="R1414" t="str">
        <f>IF(Table1[[#All],[Total Price (?)]]&gt;1000,"High Value","Normal")</f>
        <v>High Value</v>
      </c>
    </row>
    <row r="1415" spans="1:18" x14ac:dyDescent="0.3">
      <c r="A1415" t="s">
        <v>1476</v>
      </c>
      <c r="B1415" s="1">
        <v>45721</v>
      </c>
      <c r="C1415" t="s">
        <v>36</v>
      </c>
      <c r="D1415" t="s">
        <v>16</v>
      </c>
      <c r="E1415" t="s">
        <v>61</v>
      </c>
      <c r="F1415" t="s">
        <v>66</v>
      </c>
      <c r="G1415">
        <v>1</v>
      </c>
      <c r="H1415">
        <v>4835.92</v>
      </c>
      <c r="I1415">
        <v>0.2</v>
      </c>
      <c r="J1415">
        <v>3868.74</v>
      </c>
      <c r="K1415" t="s">
        <v>58</v>
      </c>
      <c r="L1415" t="s">
        <v>34</v>
      </c>
      <c r="M1415" t="s">
        <v>30</v>
      </c>
      <c r="N1415" t="s">
        <v>22</v>
      </c>
      <c r="O1415">
        <f>Table1[[#All],[Quantity]]*Table1[[#All],[Unit Price (?)]]</f>
        <v>4835.92</v>
      </c>
      <c r="P1415" t="str">
        <f>TEXT(Table1[[#All],[Order Date]],"dddd")</f>
        <v>Wednesday</v>
      </c>
      <c r="Q1415" t="str">
        <f>TEXT(Table1[[#All],[Order Date]],"mmm")</f>
        <v>Mar</v>
      </c>
      <c r="R1415" t="str">
        <f>IF(Table1[[#All],[Total Price (?)]]&gt;1000,"High Value","Normal")</f>
        <v>High Value</v>
      </c>
    </row>
    <row r="1416" spans="1:18" x14ac:dyDescent="0.3">
      <c r="A1416" t="s">
        <v>1477</v>
      </c>
      <c r="B1416" s="1">
        <v>45709</v>
      </c>
      <c r="C1416" t="s">
        <v>48</v>
      </c>
      <c r="D1416" t="s">
        <v>16</v>
      </c>
      <c r="E1416" t="s">
        <v>99</v>
      </c>
      <c r="F1416" t="s">
        <v>115</v>
      </c>
      <c r="G1416">
        <v>3</v>
      </c>
      <c r="H1416">
        <v>2604.48</v>
      </c>
      <c r="I1416">
        <v>0.11</v>
      </c>
      <c r="J1416">
        <v>6953.96</v>
      </c>
      <c r="K1416" t="s">
        <v>33</v>
      </c>
      <c r="L1416" t="s">
        <v>29</v>
      </c>
      <c r="M1416" t="s">
        <v>30</v>
      </c>
      <c r="N1416" t="s">
        <v>59</v>
      </c>
      <c r="O1416">
        <f>Table1[[#All],[Quantity]]*Table1[[#All],[Unit Price (?)]]</f>
        <v>7813.4400000000005</v>
      </c>
      <c r="P1416" t="str">
        <f>TEXT(Table1[[#All],[Order Date]],"dddd")</f>
        <v>Friday</v>
      </c>
      <c r="Q1416" t="str">
        <f>TEXT(Table1[[#All],[Order Date]],"mmm")</f>
        <v>Feb</v>
      </c>
      <c r="R1416" t="str">
        <f>IF(Table1[[#All],[Total Price (?)]]&gt;1000,"High Value","Normal")</f>
        <v>High Value</v>
      </c>
    </row>
    <row r="1417" spans="1:18" x14ac:dyDescent="0.3">
      <c r="A1417" t="s">
        <v>1478</v>
      </c>
      <c r="B1417" s="1">
        <v>45722</v>
      </c>
      <c r="C1417" t="s">
        <v>48</v>
      </c>
      <c r="D1417" t="s">
        <v>16</v>
      </c>
      <c r="E1417" t="s">
        <v>49</v>
      </c>
      <c r="F1417" t="s">
        <v>56</v>
      </c>
      <c r="G1417">
        <v>3</v>
      </c>
      <c r="H1417">
        <v>685.28</v>
      </c>
      <c r="I1417">
        <v>0.05</v>
      </c>
      <c r="J1417">
        <v>1953.05</v>
      </c>
      <c r="K1417" t="s">
        <v>41</v>
      </c>
      <c r="L1417" t="s">
        <v>34</v>
      </c>
      <c r="M1417" t="s">
        <v>30</v>
      </c>
      <c r="N1417" t="s">
        <v>22</v>
      </c>
      <c r="O1417">
        <f>Table1[[#All],[Quantity]]*Table1[[#All],[Unit Price (?)]]</f>
        <v>2055.84</v>
      </c>
      <c r="P1417" t="str">
        <f>TEXT(Table1[[#All],[Order Date]],"dddd")</f>
        <v>Thursday</v>
      </c>
      <c r="Q1417" t="str">
        <f>TEXT(Table1[[#All],[Order Date]],"mmm")</f>
        <v>Mar</v>
      </c>
      <c r="R1417" t="str">
        <f>IF(Table1[[#All],[Total Price (?)]]&gt;1000,"High Value","Normal")</f>
        <v>High Value</v>
      </c>
    </row>
    <row r="1418" spans="1:18" x14ac:dyDescent="0.3">
      <c r="A1418" t="s">
        <v>1479</v>
      </c>
      <c r="B1418" s="1">
        <v>45682</v>
      </c>
      <c r="C1418" t="s">
        <v>24</v>
      </c>
      <c r="D1418" t="s">
        <v>25</v>
      </c>
      <c r="E1418" t="s">
        <v>17</v>
      </c>
      <c r="F1418" t="s">
        <v>32</v>
      </c>
      <c r="G1418">
        <v>3</v>
      </c>
      <c r="H1418">
        <v>724.37</v>
      </c>
      <c r="I1418">
        <v>0.02</v>
      </c>
      <c r="J1418">
        <v>2129.65</v>
      </c>
      <c r="K1418" t="s">
        <v>33</v>
      </c>
      <c r="L1418" t="s">
        <v>29</v>
      </c>
      <c r="M1418" t="s">
        <v>21</v>
      </c>
      <c r="N1418" t="s">
        <v>22</v>
      </c>
      <c r="O1418">
        <f>Table1[[#All],[Quantity]]*Table1[[#All],[Unit Price (?)]]</f>
        <v>2173.11</v>
      </c>
      <c r="P1418" t="str">
        <f>TEXT(Table1[[#All],[Order Date]],"dddd")</f>
        <v>Saturday</v>
      </c>
      <c r="Q1418" t="str">
        <f>TEXT(Table1[[#All],[Order Date]],"mmm")</f>
        <v>Jan</v>
      </c>
      <c r="R1418" t="str">
        <f>IF(Table1[[#All],[Total Price (?)]]&gt;1000,"High Value","Normal")</f>
        <v>High Value</v>
      </c>
    </row>
    <row r="1419" spans="1:18" x14ac:dyDescent="0.3">
      <c r="A1419" t="s">
        <v>1480</v>
      </c>
      <c r="B1419" s="1">
        <v>45810</v>
      </c>
      <c r="C1419" t="s">
        <v>24</v>
      </c>
      <c r="D1419" t="s">
        <v>43</v>
      </c>
      <c r="E1419" t="s">
        <v>27</v>
      </c>
      <c r="F1419" t="s">
        <v>79</v>
      </c>
      <c r="G1419">
        <v>5</v>
      </c>
      <c r="H1419">
        <v>3625.9</v>
      </c>
      <c r="I1419">
        <v>7.0000000000000007E-2</v>
      </c>
      <c r="J1419">
        <v>16860.43</v>
      </c>
      <c r="K1419" t="s">
        <v>58</v>
      </c>
      <c r="L1419" t="s">
        <v>34</v>
      </c>
      <c r="M1419" t="s">
        <v>54</v>
      </c>
      <c r="N1419" t="s">
        <v>22</v>
      </c>
      <c r="O1419">
        <f>Table1[[#All],[Quantity]]*Table1[[#All],[Unit Price (?)]]</f>
        <v>18129.5</v>
      </c>
      <c r="P1419" t="str">
        <f>TEXT(Table1[[#All],[Order Date]],"dddd")</f>
        <v>Monday</v>
      </c>
      <c r="Q1419" t="str">
        <f>TEXT(Table1[[#All],[Order Date]],"mmm")</f>
        <v>Jun</v>
      </c>
      <c r="R1419" t="str">
        <f>IF(Table1[[#All],[Total Price (?)]]&gt;1000,"High Value","Normal")</f>
        <v>High Value</v>
      </c>
    </row>
    <row r="1420" spans="1:18" x14ac:dyDescent="0.3">
      <c r="A1420" t="s">
        <v>1481</v>
      </c>
      <c r="B1420" s="1">
        <v>45738</v>
      </c>
      <c r="C1420" t="s">
        <v>36</v>
      </c>
      <c r="D1420" t="s">
        <v>43</v>
      </c>
      <c r="E1420" t="s">
        <v>27</v>
      </c>
      <c r="F1420" t="s">
        <v>28</v>
      </c>
      <c r="G1420">
        <v>2</v>
      </c>
      <c r="H1420">
        <v>212.47</v>
      </c>
      <c r="I1420">
        <v>0.15</v>
      </c>
      <c r="J1420">
        <v>361.2</v>
      </c>
      <c r="K1420" t="s">
        <v>46</v>
      </c>
      <c r="L1420" t="s">
        <v>20</v>
      </c>
      <c r="M1420" t="s">
        <v>54</v>
      </c>
      <c r="N1420" t="s">
        <v>88</v>
      </c>
      <c r="O1420">
        <f>Table1[[#All],[Quantity]]*Table1[[#All],[Unit Price (?)]]</f>
        <v>424.94</v>
      </c>
      <c r="P1420" t="str">
        <f>TEXT(Table1[[#All],[Order Date]],"dddd")</f>
        <v>Saturday</v>
      </c>
      <c r="Q1420" t="str">
        <f>TEXT(Table1[[#All],[Order Date]],"mmm")</f>
        <v>Mar</v>
      </c>
      <c r="R1420" t="str">
        <f>IF(Table1[[#All],[Total Price (?)]]&gt;1000,"High Value","Normal")</f>
        <v>Normal</v>
      </c>
    </row>
    <row r="1421" spans="1:18" x14ac:dyDescent="0.3">
      <c r="A1421" t="s">
        <v>1482</v>
      </c>
      <c r="B1421" s="1">
        <v>45827</v>
      </c>
      <c r="C1421" t="s">
        <v>36</v>
      </c>
      <c r="D1421" t="s">
        <v>25</v>
      </c>
      <c r="E1421" t="s">
        <v>49</v>
      </c>
      <c r="F1421" t="s">
        <v>73</v>
      </c>
      <c r="G1421">
        <v>2</v>
      </c>
      <c r="H1421">
        <v>546.77</v>
      </c>
      <c r="I1421">
        <v>0.19</v>
      </c>
      <c r="J1421">
        <v>885.77</v>
      </c>
      <c r="K1421" t="s">
        <v>33</v>
      </c>
      <c r="L1421" t="s">
        <v>20</v>
      </c>
      <c r="M1421" t="s">
        <v>30</v>
      </c>
      <c r="N1421" t="s">
        <v>22</v>
      </c>
      <c r="O1421">
        <f>Table1[[#All],[Quantity]]*Table1[[#All],[Unit Price (?)]]</f>
        <v>1093.54</v>
      </c>
      <c r="P1421" t="str">
        <f>TEXT(Table1[[#All],[Order Date]],"dddd")</f>
        <v>Thursday</v>
      </c>
      <c r="Q1421" t="str">
        <f>TEXT(Table1[[#All],[Order Date]],"mmm")</f>
        <v>Jun</v>
      </c>
      <c r="R1421" t="str">
        <f>IF(Table1[[#All],[Total Price (?)]]&gt;1000,"High Value","Normal")</f>
        <v>Normal</v>
      </c>
    </row>
    <row r="1422" spans="1:18" x14ac:dyDescent="0.3">
      <c r="A1422" t="s">
        <v>1483</v>
      </c>
      <c r="B1422" s="1">
        <v>45759</v>
      </c>
      <c r="C1422" t="s">
        <v>52</v>
      </c>
      <c r="D1422" t="s">
        <v>39</v>
      </c>
      <c r="E1422" t="s">
        <v>61</v>
      </c>
      <c r="F1422" t="s">
        <v>92</v>
      </c>
      <c r="G1422">
        <v>5</v>
      </c>
      <c r="H1422">
        <v>911.65</v>
      </c>
      <c r="I1422">
        <v>0.04</v>
      </c>
      <c r="J1422">
        <v>4375.92</v>
      </c>
      <c r="K1422" t="s">
        <v>19</v>
      </c>
      <c r="L1422" t="s">
        <v>34</v>
      </c>
      <c r="M1422" t="s">
        <v>54</v>
      </c>
      <c r="N1422" t="s">
        <v>22</v>
      </c>
      <c r="O1422">
        <f>Table1[[#All],[Quantity]]*Table1[[#All],[Unit Price (?)]]</f>
        <v>4558.25</v>
      </c>
      <c r="P1422" t="str">
        <f>TEXT(Table1[[#All],[Order Date]],"dddd")</f>
        <v>Saturday</v>
      </c>
      <c r="Q1422" t="str">
        <f>TEXT(Table1[[#All],[Order Date]],"mmm")</f>
        <v>Apr</v>
      </c>
      <c r="R1422" t="str">
        <f>IF(Table1[[#All],[Total Price (?)]]&gt;1000,"High Value","Normal")</f>
        <v>High Value</v>
      </c>
    </row>
    <row r="1423" spans="1:18" x14ac:dyDescent="0.3">
      <c r="A1423" t="s">
        <v>1484</v>
      </c>
      <c r="B1423" s="1">
        <v>45820</v>
      </c>
      <c r="C1423" t="s">
        <v>48</v>
      </c>
      <c r="D1423" t="s">
        <v>25</v>
      </c>
      <c r="E1423" t="s">
        <v>61</v>
      </c>
      <c r="F1423" t="s">
        <v>66</v>
      </c>
      <c r="G1423">
        <v>4</v>
      </c>
      <c r="H1423">
        <v>2286.21</v>
      </c>
      <c r="I1423">
        <v>0.06</v>
      </c>
      <c r="J1423">
        <v>8596.15</v>
      </c>
      <c r="K1423" t="s">
        <v>33</v>
      </c>
      <c r="L1423" t="s">
        <v>29</v>
      </c>
      <c r="M1423" t="s">
        <v>54</v>
      </c>
      <c r="N1423" t="s">
        <v>22</v>
      </c>
      <c r="O1423">
        <f>Table1[[#All],[Quantity]]*Table1[[#All],[Unit Price (?)]]</f>
        <v>9144.84</v>
      </c>
      <c r="P1423" t="str">
        <f>TEXT(Table1[[#All],[Order Date]],"dddd")</f>
        <v>Thursday</v>
      </c>
      <c r="Q1423" t="str">
        <f>TEXT(Table1[[#All],[Order Date]],"mmm")</f>
        <v>Jun</v>
      </c>
      <c r="R1423" t="str">
        <f>IF(Table1[[#All],[Total Price (?)]]&gt;1000,"High Value","Normal")</f>
        <v>High Value</v>
      </c>
    </row>
    <row r="1424" spans="1:18" x14ac:dyDescent="0.3">
      <c r="A1424" t="s">
        <v>1485</v>
      </c>
      <c r="B1424" s="1">
        <v>45660</v>
      </c>
      <c r="C1424" t="s">
        <v>48</v>
      </c>
      <c r="D1424" t="s">
        <v>25</v>
      </c>
      <c r="E1424" t="s">
        <v>49</v>
      </c>
      <c r="F1424" t="s">
        <v>73</v>
      </c>
      <c r="G1424">
        <v>1</v>
      </c>
      <c r="H1424">
        <v>2752.2</v>
      </c>
      <c r="I1424">
        <v>7.0000000000000007E-2</v>
      </c>
      <c r="J1424">
        <v>2559.5500000000002</v>
      </c>
      <c r="K1424" t="s">
        <v>33</v>
      </c>
      <c r="L1424" t="s">
        <v>34</v>
      </c>
      <c r="M1424" t="s">
        <v>21</v>
      </c>
      <c r="N1424" t="s">
        <v>22</v>
      </c>
      <c r="O1424">
        <f>Table1[[#All],[Quantity]]*Table1[[#All],[Unit Price (?)]]</f>
        <v>2752.2</v>
      </c>
      <c r="P1424" t="str">
        <f>TEXT(Table1[[#All],[Order Date]],"dddd")</f>
        <v>Friday</v>
      </c>
      <c r="Q1424" t="str">
        <f>TEXT(Table1[[#All],[Order Date]],"mmm")</f>
        <v>Jan</v>
      </c>
      <c r="R1424" t="str">
        <f>IF(Table1[[#All],[Total Price (?)]]&gt;1000,"High Value","Normal")</f>
        <v>High Value</v>
      </c>
    </row>
    <row r="1425" spans="1:18" x14ac:dyDescent="0.3">
      <c r="A1425" t="s">
        <v>1486</v>
      </c>
      <c r="B1425" s="1">
        <v>45787</v>
      </c>
      <c r="C1425" t="s">
        <v>15</v>
      </c>
      <c r="D1425" t="s">
        <v>43</v>
      </c>
      <c r="E1425" t="s">
        <v>27</v>
      </c>
      <c r="F1425" t="s">
        <v>28</v>
      </c>
      <c r="G1425">
        <v>5</v>
      </c>
      <c r="H1425">
        <v>3116.63</v>
      </c>
      <c r="I1425">
        <v>0.21</v>
      </c>
      <c r="J1425">
        <v>12310.69</v>
      </c>
      <c r="K1425" t="s">
        <v>58</v>
      </c>
      <c r="L1425" t="s">
        <v>34</v>
      </c>
      <c r="M1425" t="s">
        <v>21</v>
      </c>
      <c r="N1425" t="s">
        <v>22</v>
      </c>
      <c r="O1425">
        <f>Table1[[#All],[Quantity]]*Table1[[#All],[Unit Price (?)]]</f>
        <v>15583.150000000001</v>
      </c>
      <c r="P1425" t="str">
        <f>TEXT(Table1[[#All],[Order Date]],"dddd")</f>
        <v>Saturday</v>
      </c>
      <c r="Q1425" t="str">
        <f>TEXT(Table1[[#All],[Order Date]],"mmm")</f>
        <v>May</v>
      </c>
      <c r="R1425" t="str">
        <f>IF(Table1[[#All],[Total Price (?)]]&gt;1000,"High Value","Normal")</f>
        <v>High Value</v>
      </c>
    </row>
    <row r="1426" spans="1:18" x14ac:dyDescent="0.3">
      <c r="A1426" t="s">
        <v>1487</v>
      </c>
      <c r="B1426" s="1">
        <v>45828</v>
      </c>
      <c r="C1426" t="s">
        <v>52</v>
      </c>
      <c r="D1426" t="s">
        <v>39</v>
      </c>
      <c r="E1426" t="s">
        <v>17</v>
      </c>
      <c r="F1426" t="s">
        <v>40</v>
      </c>
      <c r="G1426">
        <v>2</v>
      </c>
      <c r="H1426">
        <v>1639.64</v>
      </c>
      <c r="I1426">
        <v>0.1</v>
      </c>
      <c r="J1426">
        <v>2951.35</v>
      </c>
      <c r="K1426" t="s">
        <v>41</v>
      </c>
      <c r="L1426" t="s">
        <v>20</v>
      </c>
      <c r="M1426" t="s">
        <v>54</v>
      </c>
      <c r="N1426" t="s">
        <v>37</v>
      </c>
      <c r="O1426">
        <f>Table1[[#All],[Quantity]]*Table1[[#All],[Unit Price (?)]]</f>
        <v>3279.28</v>
      </c>
      <c r="P1426" t="str">
        <f>TEXT(Table1[[#All],[Order Date]],"dddd")</f>
        <v>Friday</v>
      </c>
      <c r="Q1426" t="str">
        <f>TEXT(Table1[[#All],[Order Date]],"mmm")</f>
        <v>Jun</v>
      </c>
      <c r="R1426" t="str">
        <f>IF(Table1[[#All],[Total Price (?)]]&gt;1000,"High Value","Normal")</f>
        <v>High Value</v>
      </c>
    </row>
    <row r="1427" spans="1:18" x14ac:dyDescent="0.3">
      <c r="A1427" t="s">
        <v>1488</v>
      </c>
      <c r="B1427" s="1">
        <v>45765</v>
      </c>
      <c r="C1427" t="s">
        <v>24</v>
      </c>
      <c r="D1427" t="s">
        <v>39</v>
      </c>
      <c r="E1427" t="s">
        <v>49</v>
      </c>
      <c r="F1427" t="s">
        <v>50</v>
      </c>
      <c r="G1427">
        <v>1</v>
      </c>
      <c r="H1427">
        <v>2316</v>
      </c>
      <c r="I1427">
        <v>0.2</v>
      </c>
      <c r="J1427">
        <v>1852.8</v>
      </c>
      <c r="K1427" t="s">
        <v>33</v>
      </c>
      <c r="L1427" t="s">
        <v>20</v>
      </c>
      <c r="M1427" t="s">
        <v>30</v>
      </c>
      <c r="N1427" t="s">
        <v>22</v>
      </c>
      <c r="O1427">
        <f>Table1[[#All],[Quantity]]*Table1[[#All],[Unit Price (?)]]</f>
        <v>2316</v>
      </c>
      <c r="P1427" t="str">
        <f>TEXT(Table1[[#All],[Order Date]],"dddd")</f>
        <v>Friday</v>
      </c>
      <c r="Q1427" t="str">
        <f>TEXT(Table1[[#All],[Order Date]],"mmm")</f>
        <v>Apr</v>
      </c>
      <c r="R1427" t="str">
        <f>IF(Table1[[#All],[Total Price (?)]]&gt;1000,"High Value","Normal")</f>
        <v>High Value</v>
      </c>
    </row>
    <row r="1428" spans="1:18" x14ac:dyDescent="0.3">
      <c r="A1428" t="s">
        <v>1489</v>
      </c>
      <c r="B1428" s="1">
        <v>45749</v>
      </c>
      <c r="C1428" t="s">
        <v>48</v>
      </c>
      <c r="D1428" t="s">
        <v>39</v>
      </c>
      <c r="E1428" t="s">
        <v>17</v>
      </c>
      <c r="F1428" t="s">
        <v>40</v>
      </c>
      <c r="G1428">
        <v>1</v>
      </c>
      <c r="H1428">
        <v>2243.08</v>
      </c>
      <c r="I1428">
        <v>0.09</v>
      </c>
      <c r="J1428">
        <v>2041.2</v>
      </c>
      <c r="K1428" t="s">
        <v>41</v>
      </c>
      <c r="L1428" t="s">
        <v>34</v>
      </c>
      <c r="M1428" t="s">
        <v>30</v>
      </c>
      <c r="N1428" t="s">
        <v>37</v>
      </c>
      <c r="O1428">
        <f>Table1[[#All],[Quantity]]*Table1[[#All],[Unit Price (?)]]</f>
        <v>2243.08</v>
      </c>
      <c r="P1428" t="str">
        <f>TEXT(Table1[[#All],[Order Date]],"dddd")</f>
        <v>Wednesday</v>
      </c>
      <c r="Q1428" t="str">
        <f>TEXT(Table1[[#All],[Order Date]],"mmm")</f>
        <v>Apr</v>
      </c>
      <c r="R1428" t="str">
        <f>IF(Table1[[#All],[Total Price (?)]]&gt;1000,"High Value","Normal")</f>
        <v>High Value</v>
      </c>
    </row>
    <row r="1429" spans="1:18" x14ac:dyDescent="0.3">
      <c r="A1429" t="s">
        <v>1490</v>
      </c>
      <c r="B1429" s="1">
        <v>45740</v>
      </c>
      <c r="C1429" t="s">
        <v>52</v>
      </c>
      <c r="D1429" t="s">
        <v>16</v>
      </c>
      <c r="E1429" t="s">
        <v>99</v>
      </c>
      <c r="F1429" t="s">
        <v>115</v>
      </c>
      <c r="G1429">
        <v>5</v>
      </c>
      <c r="H1429">
        <v>3260.54</v>
      </c>
      <c r="I1429">
        <v>0.15</v>
      </c>
      <c r="J1429">
        <v>13857.3</v>
      </c>
      <c r="K1429" t="s">
        <v>19</v>
      </c>
      <c r="L1429" t="s">
        <v>20</v>
      </c>
      <c r="M1429" t="s">
        <v>54</v>
      </c>
      <c r="N1429" t="s">
        <v>59</v>
      </c>
      <c r="O1429">
        <f>Table1[[#All],[Quantity]]*Table1[[#All],[Unit Price (?)]]</f>
        <v>16302.7</v>
      </c>
      <c r="P1429" t="str">
        <f>TEXT(Table1[[#All],[Order Date]],"dddd")</f>
        <v>Monday</v>
      </c>
      <c r="Q1429" t="str">
        <f>TEXT(Table1[[#All],[Order Date]],"mmm")</f>
        <v>Mar</v>
      </c>
      <c r="R1429" t="str">
        <f>IF(Table1[[#All],[Total Price (?)]]&gt;1000,"High Value","Normal")</f>
        <v>High Value</v>
      </c>
    </row>
    <row r="1430" spans="1:18" x14ac:dyDescent="0.3">
      <c r="A1430" t="s">
        <v>1491</v>
      </c>
      <c r="B1430" s="1">
        <v>45670</v>
      </c>
      <c r="C1430" t="s">
        <v>52</v>
      </c>
      <c r="D1430" t="s">
        <v>39</v>
      </c>
      <c r="E1430" t="s">
        <v>99</v>
      </c>
      <c r="F1430" t="s">
        <v>120</v>
      </c>
      <c r="G1430">
        <v>2</v>
      </c>
      <c r="H1430">
        <v>552.65</v>
      </c>
      <c r="I1430">
        <v>0.17</v>
      </c>
      <c r="J1430">
        <v>917.4</v>
      </c>
      <c r="K1430" t="s">
        <v>58</v>
      </c>
      <c r="L1430" t="s">
        <v>29</v>
      </c>
      <c r="M1430" t="s">
        <v>54</v>
      </c>
      <c r="N1430" t="s">
        <v>22</v>
      </c>
      <c r="O1430">
        <f>Table1[[#All],[Quantity]]*Table1[[#All],[Unit Price (?)]]</f>
        <v>1105.3</v>
      </c>
      <c r="P1430" t="str">
        <f>TEXT(Table1[[#All],[Order Date]],"dddd")</f>
        <v>Monday</v>
      </c>
      <c r="Q1430" t="str">
        <f>TEXT(Table1[[#All],[Order Date]],"mmm")</f>
        <v>Jan</v>
      </c>
      <c r="R1430" t="str">
        <f>IF(Table1[[#All],[Total Price (?)]]&gt;1000,"High Value","Normal")</f>
        <v>Normal</v>
      </c>
    </row>
    <row r="1431" spans="1:18" x14ac:dyDescent="0.3">
      <c r="A1431" t="s">
        <v>1492</v>
      </c>
      <c r="B1431" s="1">
        <v>45696</v>
      </c>
      <c r="C1431" t="s">
        <v>52</v>
      </c>
      <c r="D1431" t="s">
        <v>25</v>
      </c>
      <c r="E1431" t="s">
        <v>99</v>
      </c>
      <c r="F1431" t="s">
        <v>115</v>
      </c>
      <c r="G1431">
        <v>4</v>
      </c>
      <c r="H1431">
        <v>1464.72</v>
      </c>
      <c r="I1431">
        <v>0.23</v>
      </c>
      <c r="J1431">
        <v>4511.34</v>
      </c>
      <c r="K1431" t="s">
        <v>46</v>
      </c>
      <c r="L1431" t="s">
        <v>20</v>
      </c>
      <c r="M1431" t="s">
        <v>54</v>
      </c>
      <c r="N1431" t="s">
        <v>22</v>
      </c>
      <c r="O1431">
        <f>Table1[[#All],[Quantity]]*Table1[[#All],[Unit Price (?)]]</f>
        <v>5858.88</v>
      </c>
      <c r="P1431" t="str">
        <f>TEXT(Table1[[#All],[Order Date]],"dddd")</f>
        <v>Saturday</v>
      </c>
      <c r="Q1431" t="str">
        <f>TEXT(Table1[[#All],[Order Date]],"mmm")</f>
        <v>Feb</v>
      </c>
      <c r="R1431" t="str">
        <f>IF(Table1[[#All],[Total Price (?)]]&gt;1000,"High Value","Normal")</f>
        <v>High Value</v>
      </c>
    </row>
    <row r="1432" spans="1:18" x14ac:dyDescent="0.3">
      <c r="A1432" t="s">
        <v>1493</v>
      </c>
      <c r="B1432" s="1">
        <v>45760</v>
      </c>
      <c r="C1432" t="s">
        <v>52</v>
      </c>
      <c r="D1432" t="s">
        <v>43</v>
      </c>
      <c r="E1432" t="s">
        <v>27</v>
      </c>
      <c r="F1432" t="s">
        <v>79</v>
      </c>
      <c r="G1432">
        <v>1</v>
      </c>
      <c r="H1432">
        <v>2905.78</v>
      </c>
      <c r="I1432">
        <v>0.2</v>
      </c>
      <c r="J1432">
        <v>2324.62</v>
      </c>
      <c r="K1432" t="s">
        <v>58</v>
      </c>
      <c r="L1432" t="s">
        <v>29</v>
      </c>
      <c r="M1432" t="s">
        <v>21</v>
      </c>
      <c r="N1432" t="s">
        <v>22</v>
      </c>
      <c r="O1432">
        <f>Table1[[#All],[Quantity]]*Table1[[#All],[Unit Price (?)]]</f>
        <v>2905.78</v>
      </c>
      <c r="P1432" t="str">
        <f>TEXT(Table1[[#All],[Order Date]],"dddd")</f>
        <v>Sunday</v>
      </c>
      <c r="Q1432" t="str">
        <f>TEXT(Table1[[#All],[Order Date]],"mmm")</f>
        <v>Apr</v>
      </c>
      <c r="R1432" t="str">
        <f>IF(Table1[[#All],[Total Price (?)]]&gt;1000,"High Value","Normal")</f>
        <v>High Value</v>
      </c>
    </row>
    <row r="1433" spans="1:18" x14ac:dyDescent="0.3">
      <c r="A1433" t="s">
        <v>1494</v>
      </c>
      <c r="B1433" s="1">
        <v>45730</v>
      </c>
      <c r="C1433" t="s">
        <v>52</v>
      </c>
      <c r="D1433" t="s">
        <v>39</v>
      </c>
      <c r="E1433" t="s">
        <v>49</v>
      </c>
      <c r="F1433" t="s">
        <v>50</v>
      </c>
      <c r="G1433">
        <v>2</v>
      </c>
      <c r="H1433">
        <v>3052.91</v>
      </c>
      <c r="I1433">
        <v>0.02</v>
      </c>
      <c r="J1433">
        <v>5983.7</v>
      </c>
      <c r="K1433" t="s">
        <v>19</v>
      </c>
      <c r="L1433" t="s">
        <v>20</v>
      </c>
      <c r="M1433" t="s">
        <v>54</v>
      </c>
      <c r="N1433" t="s">
        <v>88</v>
      </c>
      <c r="O1433">
        <f>Table1[[#All],[Quantity]]*Table1[[#All],[Unit Price (?)]]</f>
        <v>6105.82</v>
      </c>
      <c r="P1433" t="str">
        <f>TEXT(Table1[[#All],[Order Date]],"dddd")</f>
        <v>Friday</v>
      </c>
      <c r="Q1433" t="str">
        <f>TEXT(Table1[[#All],[Order Date]],"mmm")</f>
        <v>Mar</v>
      </c>
      <c r="R1433" t="str">
        <f>IF(Table1[[#All],[Total Price (?)]]&gt;1000,"High Value","Normal")</f>
        <v>High Value</v>
      </c>
    </row>
    <row r="1434" spans="1:18" x14ac:dyDescent="0.3">
      <c r="A1434" t="s">
        <v>1495</v>
      </c>
      <c r="B1434" s="1">
        <v>45780</v>
      </c>
      <c r="C1434" t="s">
        <v>48</v>
      </c>
      <c r="D1434" t="s">
        <v>16</v>
      </c>
      <c r="E1434" t="s">
        <v>61</v>
      </c>
      <c r="F1434" t="s">
        <v>62</v>
      </c>
      <c r="G1434">
        <v>2</v>
      </c>
      <c r="H1434">
        <v>848.32</v>
      </c>
      <c r="I1434">
        <v>0.23</v>
      </c>
      <c r="J1434">
        <v>1306.4100000000001</v>
      </c>
      <c r="K1434" t="s">
        <v>33</v>
      </c>
      <c r="L1434" t="s">
        <v>34</v>
      </c>
      <c r="M1434" t="s">
        <v>54</v>
      </c>
      <c r="N1434" t="s">
        <v>22</v>
      </c>
      <c r="O1434">
        <f>Table1[[#All],[Quantity]]*Table1[[#All],[Unit Price (?)]]</f>
        <v>1696.64</v>
      </c>
      <c r="P1434" t="str">
        <f>TEXT(Table1[[#All],[Order Date]],"dddd")</f>
        <v>Saturday</v>
      </c>
      <c r="Q1434" t="str">
        <f>TEXT(Table1[[#All],[Order Date]],"mmm")</f>
        <v>May</v>
      </c>
      <c r="R1434" t="str">
        <f>IF(Table1[[#All],[Total Price (?)]]&gt;1000,"High Value","Normal")</f>
        <v>High Value</v>
      </c>
    </row>
    <row r="1435" spans="1:18" x14ac:dyDescent="0.3">
      <c r="A1435" t="s">
        <v>1496</v>
      </c>
      <c r="B1435" s="1">
        <v>45806</v>
      </c>
      <c r="C1435" t="s">
        <v>36</v>
      </c>
      <c r="D1435" t="s">
        <v>16</v>
      </c>
      <c r="E1435" t="s">
        <v>61</v>
      </c>
      <c r="F1435" t="s">
        <v>66</v>
      </c>
      <c r="G1435">
        <v>5</v>
      </c>
      <c r="H1435">
        <v>4484.71</v>
      </c>
      <c r="I1435">
        <v>0.1</v>
      </c>
      <c r="J1435">
        <v>20181.189999999999</v>
      </c>
      <c r="K1435" t="s">
        <v>58</v>
      </c>
      <c r="L1435" t="s">
        <v>29</v>
      </c>
      <c r="M1435" t="s">
        <v>54</v>
      </c>
      <c r="N1435" t="s">
        <v>22</v>
      </c>
      <c r="O1435">
        <f>Table1[[#All],[Quantity]]*Table1[[#All],[Unit Price (?)]]</f>
        <v>22423.55</v>
      </c>
      <c r="P1435" t="str">
        <f>TEXT(Table1[[#All],[Order Date]],"dddd")</f>
        <v>Thursday</v>
      </c>
      <c r="Q1435" t="str">
        <f>TEXT(Table1[[#All],[Order Date]],"mmm")</f>
        <v>May</v>
      </c>
      <c r="R1435" t="str">
        <f>IF(Table1[[#All],[Total Price (?)]]&gt;1000,"High Value","Normal")</f>
        <v>High Value</v>
      </c>
    </row>
    <row r="1436" spans="1:18" x14ac:dyDescent="0.3">
      <c r="A1436" t="s">
        <v>1497</v>
      </c>
      <c r="B1436" s="1">
        <v>45756</v>
      </c>
      <c r="C1436" t="s">
        <v>36</v>
      </c>
      <c r="D1436" t="s">
        <v>16</v>
      </c>
      <c r="E1436" t="s">
        <v>61</v>
      </c>
      <c r="F1436" t="s">
        <v>75</v>
      </c>
      <c r="G1436">
        <v>3</v>
      </c>
      <c r="H1436">
        <v>2365.79</v>
      </c>
      <c r="I1436">
        <v>0.11</v>
      </c>
      <c r="J1436">
        <v>6316.66</v>
      </c>
      <c r="K1436" t="s">
        <v>46</v>
      </c>
      <c r="L1436" t="s">
        <v>29</v>
      </c>
      <c r="M1436" t="s">
        <v>21</v>
      </c>
      <c r="N1436" t="s">
        <v>22</v>
      </c>
      <c r="O1436">
        <f>Table1[[#All],[Quantity]]*Table1[[#All],[Unit Price (?)]]</f>
        <v>7097.37</v>
      </c>
      <c r="P1436" t="str">
        <f>TEXT(Table1[[#All],[Order Date]],"dddd")</f>
        <v>Wednesday</v>
      </c>
      <c r="Q1436" t="str">
        <f>TEXT(Table1[[#All],[Order Date]],"mmm")</f>
        <v>Apr</v>
      </c>
      <c r="R1436" t="str">
        <f>IF(Table1[[#All],[Total Price (?)]]&gt;1000,"High Value","Normal")</f>
        <v>High Value</v>
      </c>
    </row>
    <row r="1437" spans="1:18" x14ac:dyDescent="0.3">
      <c r="A1437" t="s">
        <v>1498</v>
      </c>
      <c r="B1437" s="1">
        <v>45781</v>
      </c>
      <c r="C1437" t="s">
        <v>24</v>
      </c>
      <c r="D1437" t="s">
        <v>25</v>
      </c>
      <c r="E1437" t="s">
        <v>61</v>
      </c>
      <c r="F1437" t="s">
        <v>62</v>
      </c>
      <c r="G1437">
        <v>1</v>
      </c>
      <c r="H1437">
        <v>1507.29</v>
      </c>
      <c r="I1437">
        <v>0.13</v>
      </c>
      <c r="J1437">
        <v>1311.34</v>
      </c>
      <c r="K1437" t="s">
        <v>41</v>
      </c>
      <c r="L1437" t="s">
        <v>20</v>
      </c>
      <c r="M1437" t="s">
        <v>30</v>
      </c>
      <c r="N1437" t="s">
        <v>22</v>
      </c>
      <c r="O1437">
        <f>Table1[[#All],[Quantity]]*Table1[[#All],[Unit Price (?)]]</f>
        <v>1507.29</v>
      </c>
      <c r="P1437" t="str">
        <f>TEXT(Table1[[#All],[Order Date]],"dddd")</f>
        <v>Sunday</v>
      </c>
      <c r="Q1437" t="str">
        <f>TEXT(Table1[[#All],[Order Date]],"mmm")</f>
        <v>May</v>
      </c>
      <c r="R1437" t="str">
        <f>IF(Table1[[#All],[Total Price (?)]]&gt;1000,"High Value","Normal")</f>
        <v>High Value</v>
      </c>
    </row>
    <row r="1438" spans="1:18" x14ac:dyDescent="0.3">
      <c r="A1438" t="s">
        <v>1499</v>
      </c>
      <c r="B1438" s="1">
        <v>45745</v>
      </c>
      <c r="C1438" t="s">
        <v>36</v>
      </c>
      <c r="D1438" t="s">
        <v>25</v>
      </c>
      <c r="E1438" t="s">
        <v>49</v>
      </c>
      <c r="F1438" t="s">
        <v>50</v>
      </c>
      <c r="G1438">
        <v>5</v>
      </c>
      <c r="H1438">
        <v>3619.94</v>
      </c>
      <c r="I1438">
        <v>0.19</v>
      </c>
      <c r="J1438">
        <v>14660.76</v>
      </c>
      <c r="K1438" t="s">
        <v>46</v>
      </c>
      <c r="L1438" t="s">
        <v>29</v>
      </c>
      <c r="M1438" t="s">
        <v>30</v>
      </c>
      <c r="N1438" t="s">
        <v>22</v>
      </c>
      <c r="O1438">
        <f>Table1[[#All],[Quantity]]*Table1[[#All],[Unit Price (?)]]</f>
        <v>18099.7</v>
      </c>
      <c r="P1438" t="str">
        <f>TEXT(Table1[[#All],[Order Date]],"dddd")</f>
        <v>Saturday</v>
      </c>
      <c r="Q1438" t="str">
        <f>TEXT(Table1[[#All],[Order Date]],"mmm")</f>
        <v>Mar</v>
      </c>
      <c r="R1438" t="str">
        <f>IF(Table1[[#All],[Total Price (?)]]&gt;1000,"High Value","Normal")</f>
        <v>High Value</v>
      </c>
    </row>
    <row r="1439" spans="1:18" x14ac:dyDescent="0.3">
      <c r="A1439" t="s">
        <v>1500</v>
      </c>
      <c r="B1439" s="1">
        <v>45807</v>
      </c>
      <c r="C1439" t="s">
        <v>24</v>
      </c>
      <c r="D1439" t="s">
        <v>25</v>
      </c>
      <c r="E1439" t="s">
        <v>49</v>
      </c>
      <c r="F1439" t="s">
        <v>73</v>
      </c>
      <c r="G1439">
        <v>5</v>
      </c>
      <c r="H1439">
        <v>4974.1000000000004</v>
      </c>
      <c r="I1439">
        <v>0.21</v>
      </c>
      <c r="J1439">
        <v>19647.689999999999</v>
      </c>
      <c r="K1439" t="s">
        <v>19</v>
      </c>
      <c r="L1439" t="s">
        <v>20</v>
      </c>
      <c r="M1439" t="s">
        <v>54</v>
      </c>
      <c r="N1439" t="s">
        <v>22</v>
      </c>
      <c r="O1439">
        <f>Table1[[#All],[Quantity]]*Table1[[#All],[Unit Price (?)]]</f>
        <v>24870.5</v>
      </c>
      <c r="P1439" t="str">
        <f>TEXT(Table1[[#All],[Order Date]],"dddd")</f>
        <v>Friday</v>
      </c>
      <c r="Q1439" t="str">
        <f>TEXT(Table1[[#All],[Order Date]],"mmm")</f>
        <v>May</v>
      </c>
      <c r="R1439" t="str">
        <f>IF(Table1[[#All],[Total Price (?)]]&gt;1000,"High Value","Normal")</f>
        <v>High Value</v>
      </c>
    </row>
    <row r="1440" spans="1:18" x14ac:dyDescent="0.3">
      <c r="A1440" t="s">
        <v>1501</v>
      </c>
      <c r="B1440" s="1">
        <v>45670</v>
      </c>
      <c r="C1440" t="s">
        <v>24</v>
      </c>
      <c r="D1440" t="s">
        <v>43</v>
      </c>
      <c r="E1440" t="s">
        <v>99</v>
      </c>
      <c r="F1440" t="s">
        <v>111</v>
      </c>
      <c r="G1440">
        <v>2</v>
      </c>
      <c r="H1440">
        <v>3776.53</v>
      </c>
      <c r="I1440">
        <v>0.05</v>
      </c>
      <c r="J1440">
        <v>7175.41</v>
      </c>
      <c r="K1440" t="s">
        <v>46</v>
      </c>
      <c r="L1440" t="s">
        <v>34</v>
      </c>
      <c r="M1440" t="s">
        <v>21</v>
      </c>
      <c r="N1440" t="s">
        <v>22</v>
      </c>
      <c r="O1440">
        <f>Table1[[#All],[Quantity]]*Table1[[#All],[Unit Price (?)]]</f>
        <v>7553.06</v>
      </c>
      <c r="P1440" t="str">
        <f>TEXT(Table1[[#All],[Order Date]],"dddd")</f>
        <v>Monday</v>
      </c>
      <c r="Q1440" t="str">
        <f>TEXT(Table1[[#All],[Order Date]],"mmm")</f>
        <v>Jan</v>
      </c>
      <c r="R1440" t="str">
        <f>IF(Table1[[#All],[Total Price (?)]]&gt;1000,"High Value","Normal")</f>
        <v>High Value</v>
      </c>
    </row>
    <row r="1441" spans="1:18" x14ac:dyDescent="0.3">
      <c r="A1441" t="s">
        <v>1502</v>
      </c>
      <c r="B1441" s="1">
        <v>45699</v>
      </c>
      <c r="C1441" t="s">
        <v>15</v>
      </c>
      <c r="D1441" t="s">
        <v>39</v>
      </c>
      <c r="E1441" t="s">
        <v>27</v>
      </c>
      <c r="F1441" t="s">
        <v>68</v>
      </c>
      <c r="G1441">
        <v>2</v>
      </c>
      <c r="H1441">
        <v>180.25</v>
      </c>
      <c r="I1441">
        <v>0.06</v>
      </c>
      <c r="J1441">
        <v>338.87</v>
      </c>
      <c r="K1441" t="s">
        <v>41</v>
      </c>
      <c r="L1441" t="s">
        <v>20</v>
      </c>
      <c r="M1441" t="s">
        <v>30</v>
      </c>
      <c r="N1441" t="s">
        <v>22</v>
      </c>
      <c r="O1441">
        <f>Table1[[#All],[Quantity]]*Table1[[#All],[Unit Price (?)]]</f>
        <v>360.5</v>
      </c>
      <c r="P1441" t="str">
        <f>TEXT(Table1[[#All],[Order Date]],"dddd")</f>
        <v>Tuesday</v>
      </c>
      <c r="Q1441" t="str">
        <f>TEXT(Table1[[#All],[Order Date]],"mmm")</f>
        <v>Feb</v>
      </c>
      <c r="R1441" t="str">
        <f>IF(Table1[[#All],[Total Price (?)]]&gt;1000,"High Value","Normal")</f>
        <v>Normal</v>
      </c>
    </row>
    <row r="1442" spans="1:18" x14ac:dyDescent="0.3">
      <c r="A1442" t="s">
        <v>1503</v>
      </c>
      <c r="B1442" s="1">
        <v>45711</v>
      </c>
      <c r="C1442" t="s">
        <v>15</v>
      </c>
      <c r="D1442" t="s">
        <v>16</v>
      </c>
      <c r="E1442" t="s">
        <v>49</v>
      </c>
      <c r="F1442" t="s">
        <v>50</v>
      </c>
      <c r="G1442">
        <v>2</v>
      </c>
      <c r="H1442">
        <v>2137.42</v>
      </c>
      <c r="I1442">
        <v>0.01</v>
      </c>
      <c r="J1442">
        <v>4232.09</v>
      </c>
      <c r="K1442" t="s">
        <v>19</v>
      </c>
      <c r="L1442" t="s">
        <v>34</v>
      </c>
      <c r="M1442" t="s">
        <v>54</v>
      </c>
      <c r="N1442" t="s">
        <v>22</v>
      </c>
      <c r="O1442">
        <f>Table1[[#All],[Quantity]]*Table1[[#All],[Unit Price (?)]]</f>
        <v>4274.84</v>
      </c>
      <c r="P1442" t="str">
        <f>TEXT(Table1[[#All],[Order Date]],"dddd")</f>
        <v>Sunday</v>
      </c>
      <c r="Q1442" t="str">
        <f>TEXT(Table1[[#All],[Order Date]],"mmm")</f>
        <v>Feb</v>
      </c>
      <c r="R1442" t="str">
        <f>IF(Table1[[#All],[Total Price (?)]]&gt;1000,"High Value","Normal")</f>
        <v>High Value</v>
      </c>
    </row>
    <row r="1443" spans="1:18" x14ac:dyDescent="0.3">
      <c r="A1443" t="s">
        <v>1504</v>
      </c>
      <c r="B1443" s="1">
        <v>45766</v>
      </c>
      <c r="C1443" t="s">
        <v>48</v>
      </c>
      <c r="D1443" t="s">
        <v>25</v>
      </c>
      <c r="E1443" t="s">
        <v>17</v>
      </c>
      <c r="F1443" t="s">
        <v>32</v>
      </c>
      <c r="G1443">
        <v>4</v>
      </c>
      <c r="H1443">
        <v>482.81</v>
      </c>
      <c r="I1443">
        <v>7.0000000000000007E-2</v>
      </c>
      <c r="J1443">
        <v>1796.05</v>
      </c>
      <c r="K1443" t="s">
        <v>41</v>
      </c>
      <c r="L1443" t="s">
        <v>29</v>
      </c>
      <c r="M1443" t="s">
        <v>21</v>
      </c>
      <c r="N1443" t="s">
        <v>22</v>
      </c>
      <c r="O1443">
        <f>Table1[[#All],[Quantity]]*Table1[[#All],[Unit Price (?)]]</f>
        <v>1931.24</v>
      </c>
      <c r="P1443" t="str">
        <f>TEXT(Table1[[#All],[Order Date]],"dddd")</f>
        <v>Saturday</v>
      </c>
      <c r="Q1443" t="str">
        <f>TEXT(Table1[[#All],[Order Date]],"mmm")</f>
        <v>Apr</v>
      </c>
      <c r="R1443" t="str">
        <f>IF(Table1[[#All],[Total Price (?)]]&gt;1000,"High Value","Normal")</f>
        <v>High Value</v>
      </c>
    </row>
    <row r="1444" spans="1:18" x14ac:dyDescent="0.3">
      <c r="A1444" t="s">
        <v>1505</v>
      </c>
      <c r="B1444" s="1">
        <v>45685</v>
      </c>
      <c r="C1444" t="s">
        <v>15</v>
      </c>
      <c r="D1444" t="s">
        <v>43</v>
      </c>
      <c r="E1444" t="s">
        <v>49</v>
      </c>
      <c r="F1444" t="s">
        <v>56</v>
      </c>
      <c r="G1444">
        <v>3</v>
      </c>
      <c r="H1444">
        <v>4617.7299999999996</v>
      </c>
      <c r="I1444">
        <v>0.04</v>
      </c>
      <c r="J1444">
        <v>13299.06</v>
      </c>
      <c r="K1444" t="s">
        <v>46</v>
      </c>
      <c r="L1444" t="s">
        <v>20</v>
      </c>
      <c r="M1444" t="s">
        <v>54</v>
      </c>
      <c r="N1444" t="s">
        <v>22</v>
      </c>
      <c r="O1444">
        <f>Table1[[#All],[Quantity]]*Table1[[#All],[Unit Price (?)]]</f>
        <v>13853.189999999999</v>
      </c>
      <c r="P1444" t="str">
        <f>TEXT(Table1[[#All],[Order Date]],"dddd")</f>
        <v>Tuesday</v>
      </c>
      <c r="Q1444" t="str">
        <f>TEXT(Table1[[#All],[Order Date]],"mmm")</f>
        <v>Jan</v>
      </c>
      <c r="R1444" t="str">
        <f>IF(Table1[[#All],[Total Price (?)]]&gt;1000,"High Value","Normal")</f>
        <v>High Value</v>
      </c>
    </row>
    <row r="1445" spans="1:18" x14ac:dyDescent="0.3">
      <c r="A1445" t="s">
        <v>1506</v>
      </c>
      <c r="B1445" s="1">
        <v>45840</v>
      </c>
      <c r="C1445" t="s">
        <v>24</v>
      </c>
      <c r="D1445" t="s">
        <v>25</v>
      </c>
      <c r="E1445" t="s">
        <v>27</v>
      </c>
      <c r="F1445" t="s">
        <v>28</v>
      </c>
      <c r="G1445">
        <v>2</v>
      </c>
      <c r="H1445">
        <v>3190.31</v>
      </c>
      <c r="I1445">
        <v>0.09</v>
      </c>
      <c r="J1445">
        <v>5806.36</v>
      </c>
      <c r="K1445" t="s">
        <v>58</v>
      </c>
      <c r="L1445" t="s">
        <v>29</v>
      </c>
      <c r="M1445" t="s">
        <v>30</v>
      </c>
      <c r="N1445" t="s">
        <v>22</v>
      </c>
      <c r="O1445">
        <f>Table1[[#All],[Quantity]]*Table1[[#All],[Unit Price (?)]]</f>
        <v>6380.62</v>
      </c>
      <c r="P1445" t="str">
        <f>TEXT(Table1[[#All],[Order Date]],"dddd")</f>
        <v>Wednesday</v>
      </c>
      <c r="Q1445" t="str">
        <f>TEXT(Table1[[#All],[Order Date]],"mmm")</f>
        <v>Jul</v>
      </c>
      <c r="R1445" t="str">
        <f>IF(Table1[[#All],[Total Price (?)]]&gt;1000,"High Value","Normal")</f>
        <v>High Value</v>
      </c>
    </row>
    <row r="1446" spans="1:18" x14ac:dyDescent="0.3">
      <c r="A1446" t="s">
        <v>1507</v>
      </c>
      <c r="B1446" s="1">
        <v>45715</v>
      </c>
      <c r="C1446" t="s">
        <v>15</v>
      </c>
      <c r="D1446" t="s">
        <v>16</v>
      </c>
      <c r="E1446" t="s">
        <v>27</v>
      </c>
      <c r="F1446" t="s">
        <v>87</v>
      </c>
      <c r="G1446">
        <v>3</v>
      </c>
      <c r="H1446">
        <v>1903.04</v>
      </c>
      <c r="I1446">
        <v>0.2</v>
      </c>
      <c r="J1446">
        <v>4567.3</v>
      </c>
      <c r="K1446" t="s">
        <v>33</v>
      </c>
      <c r="L1446" t="s">
        <v>34</v>
      </c>
      <c r="M1446" t="s">
        <v>21</v>
      </c>
      <c r="N1446" t="s">
        <v>37</v>
      </c>
      <c r="O1446">
        <f>Table1[[#All],[Quantity]]*Table1[[#All],[Unit Price (?)]]</f>
        <v>5709.12</v>
      </c>
      <c r="P1446" t="str">
        <f>TEXT(Table1[[#All],[Order Date]],"dddd")</f>
        <v>Thursday</v>
      </c>
      <c r="Q1446" t="str">
        <f>TEXT(Table1[[#All],[Order Date]],"mmm")</f>
        <v>Feb</v>
      </c>
      <c r="R1446" t="str">
        <f>IF(Table1[[#All],[Total Price (?)]]&gt;1000,"High Value","Normal")</f>
        <v>High Value</v>
      </c>
    </row>
    <row r="1447" spans="1:18" x14ac:dyDescent="0.3">
      <c r="A1447" t="s">
        <v>1508</v>
      </c>
      <c r="B1447" s="1">
        <v>45745</v>
      </c>
      <c r="C1447" t="s">
        <v>36</v>
      </c>
      <c r="D1447" t="s">
        <v>43</v>
      </c>
      <c r="E1447" t="s">
        <v>49</v>
      </c>
      <c r="F1447" t="s">
        <v>50</v>
      </c>
      <c r="G1447">
        <v>5</v>
      </c>
      <c r="H1447">
        <v>3670.46</v>
      </c>
      <c r="I1447">
        <v>0.14000000000000001</v>
      </c>
      <c r="J1447">
        <v>15782.98</v>
      </c>
      <c r="K1447" t="s">
        <v>58</v>
      </c>
      <c r="L1447" t="s">
        <v>29</v>
      </c>
      <c r="M1447" t="s">
        <v>54</v>
      </c>
      <c r="N1447" t="s">
        <v>37</v>
      </c>
      <c r="O1447">
        <f>Table1[[#All],[Quantity]]*Table1[[#All],[Unit Price (?)]]</f>
        <v>18352.3</v>
      </c>
      <c r="P1447" t="str">
        <f>TEXT(Table1[[#All],[Order Date]],"dddd")</f>
        <v>Saturday</v>
      </c>
      <c r="Q1447" t="str">
        <f>TEXT(Table1[[#All],[Order Date]],"mmm")</f>
        <v>Mar</v>
      </c>
      <c r="R1447" t="str">
        <f>IF(Table1[[#All],[Total Price (?)]]&gt;1000,"High Value","Normal")</f>
        <v>High Value</v>
      </c>
    </row>
    <row r="1448" spans="1:18" x14ac:dyDescent="0.3">
      <c r="A1448" t="s">
        <v>1509</v>
      </c>
      <c r="B1448" s="1">
        <v>45831</v>
      </c>
      <c r="C1448" t="s">
        <v>48</v>
      </c>
      <c r="D1448" t="s">
        <v>25</v>
      </c>
      <c r="E1448" t="s">
        <v>49</v>
      </c>
      <c r="F1448" t="s">
        <v>53</v>
      </c>
      <c r="G1448">
        <v>2</v>
      </c>
      <c r="H1448">
        <v>3834.33</v>
      </c>
      <c r="I1448">
        <v>0.05</v>
      </c>
      <c r="J1448">
        <v>7285.23</v>
      </c>
      <c r="K1448" t="s">
        <v>46</v>
      </c>
      <c r="L1448" t="s">
        <v>20</v>
      </c>
      <c r="M1448" t="s">
        <v>21</v>
      </c>
      <c r="N1448" t="s">
        <v>22</v>
      </c>
      <c r="O1448">
        <f>Table1[[#All],[Quantity]]*Table1[[#All],[Unit Price (?)]]</f>
        <v>7668.66</v>
      </c>
      <c r="P1448" t="str">
        <f>TEXT(Table1[[#All],[Order Date]],"dddd")</f>
        <v>Monday</v>
      </c>
      <c r="Q1448" t="str">
        <f>TEXT(Table1[[#All],[Order Date]],"mmm")</f>
        <v>Jun</v>
      </c>
      <c r="R1448" t="str">
        <f>IF(Table1[[#All],[Total Price (?)]]&gt;1000,"High Value","Normal")</f>
        <v>High Value</v>
      </c>
    </row>
    <row r="1449" spans="1:18" x14ac:dyDescent="0.3">
      <c r="A1449" t="s">
        <v>1510</v>
      </c>
      <c r="B1449" s="1">
        <v>45795</v>
      </c>
      <c r="C1449" t="s">
        <v>24</v>
      </c>
      <c r="D1449" t="s">
        <v>43</v>
      </c>
      <c r="E1449" t="s">
        <v>61</v>
      </c>
      <c r="F1449" t="s">
        <v>62</v>
      </c>
      <c r="G1449">
        <v>2</v>
      </c>
      <c r="H1449">
        <v>1053.02</v>
      </c>
      <c r="I1449">
        <v>0.14000000000000001</v>
      </c>
      <c r="J1449">
        <v>1811.19</v>
      </c>
      <c r="K1449" t="s">
        <v>46</v>
      </c>
      <c r="L1449" t="s">
        <v>20</v>
      </c>
      <c r="M1449" t="s">
        <v>30</v>
      </c>
      <c r="N1449" t="s">
        <v>22</v>
      </c>
      <c r="O1449">
        <f>Table1[[#All],[Quantity]]*Table1[[#All],[Unit Price (?)]]</f>
        <v>2106.04</v>
      </c>
      <c r="P1449" t="str">
        <f>TEXT(Table1[[#All],[Order Date]],"dddd")</f>
        <v>Sunday</v>
      </c>
      <c r="Q1449" t="str">
        <f>TEXT(Table1[[#All],[Order Date]],"mmm")</f>
        <v>May</v>
      </c>
      <c r="R1449" t="str">
        <f>IF(Table1[[#All],[Total Price (?)]]&gt;1000,"High Value","Normal")</f>
        <v>High Value</v>
      </c>
    </row>
    <row r="1450" spans="1:18" x14ac:dyDescent="0.3">
      <c r="A1450" t="s">
        <v>1511</v>
      </c>
      <c r="B1450" s="1">
        <v>45754</v>
      </c>
      <c r="C1450" t="s">
        <v>52</v>
      </c>
      <c r="D1450" t="s">
        <v>16</v>
      </c>
      <c r="E1450" t="s">
        <v>27</v>
      </c>
      <c r="F1450" t="s">
        <v>28</v>
      </c>
      <c r="G1450">
        <v>2</v>
      </c>
      <c r="H1450">
        <v>4308.32</v>
      </c>
      <c r="I1450">
        <v>7.0000000000000007E-2</v>
      </c>
      <c r="J1450">
        <v>8013.48</v>
      </c>
      <c r="K1450" t="s">
        <v>58</v>
      </c>
      <c r="L1450" t="s">
        <v>20</v>
      </c>
      <c r="M1450" t="s">
        <v>30</v>
      </c>
      <c r="N1450" t="s">
        <v>22</v>
      </c>
      <c r="O1450">
        <f>Table1[[#All],[Quantity]]*Table1[[#All],[Unit Price (?)]]</f>
        <v>8616.64</v>
      </c>
      <c r="P1450" t="str">
        <f>TEXT(Table1[[#All],[Order Date]],"dddd")</f>
        <v>Monday</v>
      </c>
      <c r="Q1450" t="str">
        <f>TEXT(Table1[[#All],[Order Date]],"mmm")</f>
        <v>Apr</v>
      </c>
      <c r="R1450" t="str">
        <f>IF(Table1[[#All],[Total Price (?)]]&gt;1000,"High Value","Normal")</f>
        <v>High Value</v>
      </c>
    </row>
    <row r="1451" spans="1:18" x14ac:dyDescent="0.3">
      <c r="A1451" t="s">
        <v>1512</v>
      </c>
      <c r="B1451" s="1">
        <v>45683</v>
      </c>
      <c r="C1451" t="s">
        <v>24</v>
      </c>
      <c r="D1451" t="s">
        <v>39</v>
      </c>
      <c r="E1451" t="s">
        <v>61</v>
      </c>
      <c r="F1451" t="s">
        <v>92</v>
      </c>
      <c r="G1451">
        <v>4</v>
      </c>
      <c r="H1451">
        <v>4077.28</v>
      </c>
      <c r="I1451">
        <v>0.09</v>
      </c>
      <c r="J1451">
        <v>14841.3</v>
      </c>
      <c r="K1451" t="s">
        <v>58</v>
      </c>
      <c r="L1451" t="s">
        <v>29</v>
      </c>
      <c r="M1451" t="s">
        <v>21</v>
      </c>
      <c r="N1451" t="s">
        <v>37</v>
      </c>
      <c r="O1451">
        <f>Table1[[#All],[Quantity]]*Table1[[#All],[Unit Price (?)]]</f>
        <v>16309.12</v>
      </c>
      <c r="P1451" t="str">
        <f>TEXT(Table1[[#All],[Order Date]],"dddd")</f>
        <v>Sunday</v>
      </c>
      <c r="Q1451" t="str">
        <f>TEXT(Table1[[#All],[Order Date]],"mmm")</f>
        <v>Jan</v>
      </c>
      <c r="R1451" t="str">
        <f>IF(Table1[[#All],[Total Price (?)]]&gt;1000,"High Value","Normal")</f>
        <v>High Value</v>
      </c>
    </row>
    <row r="1452" spans="1:18" x14ac:dyDescent="0.3">
      <c r="A1452" t="s">
        <v>1513</v>
      </c>
      <c r="B1452" s="1">
        <v>45665</v>
      </c>
      <c r="C1452" t="s">
        <v>15</v>
      </c>
      <c r="D1452" t="s">
        <v>43</v>
      </c>
      <c r="E1452" t="s">
        <v>99</v>
      </c>
      <c r="F1452" t="s">
        <v>111</v>
      </c>
      <c r="G1452">
        <v>5</v>
      </c>
      <c r="H1452">
        <v>2648.24</v>
      </c>
      <c r="I1452">
        <v>7.0000000000000007E-2</v>
      </c>
      <c r="J1452">
        <v>12314.32</v>
      </c>
      <c r="K1452" t="s">
        <v>33</v>
      </c>
      <c r="L1452" t="s">
        <v>20</v>
      </c>
      <c r="M1452" t="s">
        <v>21</v>
      </c>
      <c r="N1452" t="s">
        <v>22</v>
      </c>
      <c r="O1452">
        <f>Table1[[#All],[Quantity]]*Table1[[#All],[Unit Price (?)]]</f>
        <v>13241.199999999999</v>
      </c>
      <c r="P1452" t="str">
        <f>TEXT(Table1[[#All],[Order Date]],"dddd")</f>
        <v>Wednesday</v>
      </c>
      <c r="Q1452" t="str">
        <f>TEXT(Table1[[#All],[Order Date]],"mmm")</f>
        <v>Jan</v>
      </c>
      <c r="R1452" t="str">
        <f>IF(Table1[[#All],[Total Price (?)]]&gt;1000,"High Value","Normal")</f>
        <v>High Value</v>
      </c>
    </row>
    <row r="1453" spans="1:18" x14ac:dyDescent="0.3">
      <c r="A1453" t="s">
        <v>1514</v>
      </c>
      <c r="B1453" s="1">
        <v>45782</v>
      </c>
      <c r="C1453" t="s">
        <v>48</v>
      </c>
      <c r="D1453" t="s">
        <v>16</v>
      </c>
      <c r="E1453" t="s">
        <v>17</v>
      </c>
      <c r="F1453" t="s">
        <v>40</v>
      </c>
      <c r="G1453">
        <v>5</v>
      </c>
      <c r="H1453">
        <v>1572.79</v>
      </c>
      <c r="I1453">
        <v>0.24</v>
      </c>
      <c r="J1453">
        <v>5976.6</v>
      </c>
      <c r="K1453" t="s">
        <v>46</v>
      </c>
      <c r="L1453" t="s">
        <v>34</v>
      </c>
      <c r="M1453" t="s">
        <v>30</v>
      </c>
      <c r="N1453" t="s">
        <v>59</v>
      </c>
      <c r="O1453">
        <f>Table1[[#All],[Quantity]]*Table1[[#All],[Unit Price (?)]]</f>
        <v>7863.95</v>
      </c>
      <c r="P1453" t="str">
        <f>TEXT(Table1[[#All],[Order Date]],"dddd")</f>
        <v>Monday</v>
      </c>
      <c r="Q1453" t="str">
        <f>TEXT(Table1[[#All],[Order Date]],"mmm")</f>
        <v>May</v>
      </c>
      <c r="R1453" t="str">
        <f>IF(Table1[[#All],[Total Price (?)]]&gt;1000,"High Value","Normal")</f>
        <v>High Value</v>
      </c>
    </row>
    <row r="1454" spans="1:18" x14ac:dyDescent="0.3">
      <c r="A1454" t="s">
        <v>1515</v>
      </c>
      <c r="B1454" s="1">
        <v>45778</v>
      </c>
      <c r="C1454" t="s">
        <v>24</v>
      </c>
      <c r="D1454" t="s">
        <v>25</v>
      </c>
      <c r="E1454" t="s">
        <v>99</v>
      </c>
      <c r="F1454" t="s">
        <v>111</v>
      </c>
      <c r="G1454">
        <v>2</v>
      </c>
      <c r="H1454">
        <v>4237.99</v>
      </c>
      <c r="I1454">
        <v>0.05</v>
      </c>
      <c r="J1454">
        <v>8052.18</v>
      </c>
      <c r="K1454" t="s">
        <v>19</v>
      </c>
      <c r="L1454" t="s">
        <v>29</v>
      </c>
      <c r="M1454" t="s">
        <v>54</v>
      </c>
      <c r="N1454" t="s">
        <v>37</v>
      </c>
      <c r="O1454">
        <f>Table1[[#All],[Quantity]]*Table1[[#All],[Unit Price (?)]]</f>
        <v>8475.98</v>
      </c>
      <c r="P1454" t="str">
        <f>TEXT(Table1[[#All],[Order Date]],"dddd")</f>
        <v>Thursday</v>
      </c>
      <c r="Q1454" t="str">
        <f>TEXT(Table1[[#All],[Order Date]],"mmm")</f>
        <v>May</v>
      </c>
      <c r="R1454" t="str">
        <f>IF(Table1[[#All],[Total Price (?)]]&gt;1000,"High Value","Normal")</f>
        <v>High Value</v>
      </c>
    </row>
    <row r="1455" spans="1:18" x14ac:dyDescent="0.3">
      <c r="A1455" t="s">
        <v>1516</v>
      </c>
      <c r="B1455" s="1">
        <v>45815</v>
      </c>
      <c r="C1455" t="s">
        <v>48</v>
      </c>
      <c r="D1455" t="s">
        <v>25</v>
      </c>
      <c r="E1455" t="s">
        <v>17</v>
      </c>
      <c r="F1455" t="s">
        <v>32</v>
      </c>
      <c r="G1455">
        <v>5</v>
      </c>
      <c r="H1455">
        <v>1722.94</v>
      </c>
      <c r="I1455">
        <v>0.02</v>
      </c>
      <c r="J1455">
        <v>8442.41</v>
      </c>
      <c r="K1455" t="s">
        <v>41</v>
      </c>
      <c r="L1455" t="s">
        <v>34</v>
      </c>
      <c r="M1455" t="s">
        <v>54</v>
      </c>
      <c r="N1455" t="s">
        <v>37</v>
      </c>
      <c r="O1455">
        <f>Table1[[#All],[Quantity]]*Table1[[#All],[Unit Price (?)]]</f>
        <v>8614.7000000000007</v>
      </c>
      <c r="P1455" t="str">
        <f>TEXT(Table1[[#All],[Order Date]],"dddd")</f>
        <v>Saturday</v>
      </c>
      <c r="Q1455" t="str">
        <f>TEXT(Table1[[#All],[Order Date]],"mmm")</f>
        <v>Jun</v>
      </c>
      <c r="R1455" t="str">
        <f>IF(Table1[[#All],[Total Price (?)]]&gt;1000,"High Value","Normal")</f>
        <v>High Value</v>
      </c>
    </row>
    <row r="1456" spans="1:18" x14ac:dyDescent="0.3">
      <c r="A1456" t="s">
        <v>1517</v>
      </c>
      <c r="B1456" s="1">
        <v>45706</v>
      </c>
      <c r="C1456" t="s">
        <v>24</v>
      </c>
      <c r="D1456" t="s">
        <v>39</v>
      </c>
      <c r="E1456" t="s">
        <v>17</v>
      </c>
      <c r="F1456" t="s">
        <v>32</v>
      </c>
      <c r="G1456">
        <v>4</v>
      </c>
      <c r="H1456">
        <v>854.83</v>
      </c>
      <c r="I1456">
        <v>0.12</v>
      </c>
      <c r="J1456">
        <v>3009</v>
      </c>
      <c r="K1456" t="s">
        <v>41</v>
      </c>
      <c r="L1456" t="s">
        <v>34</v>
      </c>
      <c r="M1456" t="s">
        <v>54</v>
      </c>
      <c r="N1456" t="s">
        <v>37</v>
      </c>
      <c r="O1456">
        <f>Table1[[#All],[Quantity]]*Table1[[#All],[Unit Price (?)]]</f>
        <v>3419.32</v>
      </c>
      <c r="P1456" t="str">
        <f>TEXT(Table1[[#All],[Order Date]],"dddd")</f>
        <v>Tuesday</v>
      </c>
      <c r="Q1456" t="str">
        <f>TEXT(Table1[[#All],[Order Date]],"mmm")</f>
        <v>Feb</v>
      </c>
      <c r="R1456" t="str">
        <f>IF(Table1[[#All],[Total Price (?)]]&gt;1000,"High Value","Normal")</f>
        <v>High Value</v>
      </c>
    </row>
    <row r="1457" spans="1:18" x14ac:dyDescent="0.3">
      <c r="A1457" t="s">
        <v>1518</v>
      </c>
      <c r="B1457" s="1">
        <v>45797</v>
      </c>
      <c r="C1457" t="s">
        <v>52</v>
      </c>
      <c r="D1457" t="s">
        <v>39</v>
      </c>
      <c r="E1457" t="s">
        <v>17</v>
      </c>
      <c r="F1457" t="s">
        <v>32</v>
      </c>
      <c r="G1457">
        <v>4</v>
      </c>
      <c r="H1457">
        <v>2983.27</v>
      </c>
      <c r="I1457">
        <v>0.1</v>
      </c>
      <c r="J1457">
        <v>10739.77</v>
      </c>
      <c r="K1457" t="s">
        <v>41</v>
      </c>
      <c r="L1457" t="s">
        <v>34</v>
      </c>
      <c r="M1457" t="s">
        <v>54</v>
      </c>
      <c r="N1457" t="s">
        <v>22</v>
      </c>
      <c r="O1457">
        <f>Table1[[#All],[Quantity]]*Table1[[#All],[Unit Price (?)]]</f>
        <v>11933.08</v>
      </c>
      <c r="P1457" t="str">
        <f>TEXT(Table1[[#All],[Order Date]],"dddd")</f>
        <v>Tuesday</v>
      </c>
      <c r="Q1457" t="str">
        <f>TEXT(Table1[[#All],[Order Date]],"mmm")</f>
        <v>May</v>
      </c>
      <c r="R1457" t="str">
        <f>IF(Table1[[#All],[Total Price (?)]]&gt;1000,"High Value","Normal")</f>
        <v>High Value</v>
      </c>
    </row>
    <row r="1458" spans="1:18" x14ac:dyDescent="0.3">
      <c r="A1458" t="s">
        <v>1519</v>
      </c>
      <c r="B1458" s="1">
        <v>45690</v>
      </c>
      <c r="C1458" t="s">
        <v>52</v>
      </c>
      <c r="D1458" t="s">
        <v>16</v>
      </c>
      <c r="E1458" t="s">
        <v>61</v>
      </c>
      <c r="F1458" t="s">
        <v>66</v>
      </c>
      <c r="G1458">
        <v>5</v>
      </c>
      <c r="H1458">
        <v>1946.55</v>
      </c>
      <c r="I1458">
        <v>0.02</v>
      </c>
      <c r="J1458">
        <v>9538.09</v>
      </c>
      <c r="K1458" t="s">
        <v>33</v>
      </c>
      <c r="L1458" t="s">
        <v>34</v>
      </c>
      <c r="M1458" t="s">
        <v>54</v>
      </c>
      <c r="N1458" t="s">
        <v>88</v>
      </c>
      <c r="O1458">
        <f>Table1[[#All],[Quantity]]*Table1[[#All],[Unit Price (?)]]</f>
        <v>9732.75</v>
      </c>
      <c r="P1458" t="str">
        <f>TEXT(Table1[[#All],[Order Date]],"dddd")</f>
        <v>Sunday</v>
      </c>
      <c r="Q1458" t="str">
        <f>TEXT(Table1[[#All],[Order Date]],"mmm")</f>
        <v>Feb</v>
      </c>
      <c r="R1458" t="str">
        <f>IF(Table1[[#All],[Total Price (?)]]&gt;1000,"High Value","Normal")</f>
        <v>High Value</v>
      </c>
    </row>
    <row r="1459" spans="1:18" x14ac:dyDescent="0.3">
      <c r="A1459" t="s">
        <v>1520</v>
      </c>
      <c r="B1459" s="1">
        <v>45720</v>
      </c>
      <c r="C1459" t="s">
        <v>36</v>
      </c>
      <c r="D1459" t="s">
        <v>43</v>
      </c>
      <c r="E1459" t="s">
        <v>17</v>
      </c>
      <c r="F1459" t="s">
        <v>44</v>
      </c>
      <c r="G1459">
        <v>1</v>
      </c>
      <c r="H1459">
        <v>4678.43</v>
      </c>
      <c r="I1459">
        <v>0.2</v>
      </c>
      <c r="J1459">
        <v>3742.74</v>
      </c>
      <c r="K1459" t="s">
        <v>41</v>
      </c>
      <c r="L1459" t="s">
        <v>34</v>
      </c>
      <c r="M1459" t="s">
        <v>21</v>
      </c>
      <c r="N1459" t="s">
        <v>59</v>
      </c>
      <c r="O1459">
        <f>Table1[[#All],[Quantity]]*Table1[[#All],[Unit Price (?)]]</f>
        <v>4678.43</v>
      </c>
      <c r="P1459" t="str">
        <f>TEXT(Table1[[#All],[Order Date]],"dddd")</f>
        <v>Tuesday</v>
      </c>
      <c r="Q1459" t="str">
        <f>TEXT(Table1[[#All],[Order Date]],"mmm")</f>
        <v>Mar</v>
      </c>
      <c r="R1459" t="str">
        <f>IF(Table1[[#All],[Total Price (?)]]&gt;1000,"High Value","Normal")</f>
        <v>High Value</v>
      </c>
    </row>
    <row r="1460" spans="1:18" x14ac:dyDescent="0.3">
      <c r="A1460" t="s">
        <v>1521</v>
      </c>
      <c r="B1460" s="1">
        <v>45766</v>
      </c>
      <c r="C1460" t="s">
        <v>52</v>
      </c>
      <c r="D1460" t="s">
        <v>39</v>
      </c>
      <c r="E1460" t="s">
        <v>17</v>
      </c>
      <c r="F1460" t="s">
        <v>40</v>
      </c>
      <c r="G1460">
        <v>3</v>
      </c>
      <c r="H1460">
        <v>4920.1400000000003</v>
      </c>
      <c r="I1460">
        <v>0.09</v>
      </c>
      <c r="J1460">
        <v>13431.98</v>
      </c>
      <c r="K1460" t="s">
        <v>58</v>
      </c>
      <c r="L1460" t="s">
        <v>20</v>
      </c>
      <c r="M1460" t="s">
        <v>21</v>
      </c>
      <c r="N1460" t="s">
        <v>22</v>
      </c>
      <c r="O1460">
        <f>Table1[[#All],[Quantity]]*Table1[[#All],[Unit Price (?)]]</f>
        <v>14760.420000000002</v>
      </c>
      <c r="P1460" t="str">
        <f>TEXT(Table1[[#All],[Order Date]],"dddd")</f>
        <v>Saturday</v>
      </c>
      <c r="Q1460" t="str">
        <f>TEXT(Table1[[#All],[Order Date]],"mmm")</f>
        <v>Apr</v>
      </c>
      <c r="R1460" t="str">
        <f>IF(Table1[[#All],[Total Price (?)]]&gt;1000,"High Value","Normal")</f>
        <v>High Value</v>
      </c>
    </row>
    <row r="1461" spans="1:18" x14ac:dyDescent="0.3">
      <c r="A1461" t="s">
        <v>1522</v>
      </c>
      <c r="B1461" s="1">
        <v>45662</v>
      </c>
      <c r="C1461" t="s">
        <v>52</v>
      </c>
      <c r="D1461" t="s">
        <v>16</v>
      </c>
      <c r="E1461" t="s">
        <v>17</v>
      </c>
      <c r="F1461" t="s">
        <v>18</v>
      </c>
      <c r="G1461">
        <v>1</v>
      </c>
      <c r="H1461">
        <v>290.82</v>
      </c>
      <c r="I1461">
        <v>0.15</v>
      </c>
      <c r="J1461">
        <v>247.2</v>
      </c>
      <c r="K1461" t="s">
        <v>46</v>
      </c>
      <c r="L1461" t="s">
        <v>34</v>
      </c>
      <c r="M1461" t="s">
        <v>54</v>
      </c>
      <c r="N1461" t="s">
        <v>88</v>
      </c>
      <c r="O1461">
        <f>Table1[[#All],[Quantity]]*Table1[[#All],[Unit Price (?)]]</f>
        <v>290.82</v>
      </c>
      <c r="P1461" t="str">
        <f>TEXT(Table1[[#All],[Order Date]],"dddd")</f>
        <v>Sunday</v>
      </c>
      <c r="Q1461" t="str">
        <f>TEXT(Table1[[#All],[Order Date]],"mmm")</f>
        <v>Jan</v>
      </c>
      <c r="R1461" t="str">
        <f>IF(Table1[[#All],[Total Price (?)]]&gt;1000,"High Value","Normal")</f>
        <v>Normal</v>
      </c>
    </row>
    <row r="1462" spans="1:18" x14ac:dyDescent="0.3">
      <c r="A1462" t="s">
        <v>1523</v>
      </c>
      <c r="B1462" s="1">
        <v>45767</v>
      </c>
      <c r="C1462" t="s">
        <v>48</v>
      </c>
      <c r="D1462" t="s">
        <v>16</v>
      </c>
      <c r="E1462" t="s">
        <v>61</v>
      </c>
      <c r="F1462" t="s">
        <v>75</v>
      </c>
      <c r="G1462">
        <v>3</v>
      </c>
      <c r="H1462">
        <v>3007.51</v>
      </c>
      <c r="I1462">
        <v>0.15</v>
      </c>
      <c r="J1462">
        <v>7669.15</v>
      </c>
      <c r="K1462" t="s">
        <v>41</v>
      </c>
      <c r="L1462" t="s">
        <v>20</v>
      </c>
      <c r="M1462" t="s">
        <v>21</v>
      </c>
      <c r="N1462" t="s">
        <v>88</v>
      </c>
      <c r="O1462">
        <f>Table1[[#All],[Quantity]]*Table1[[#All],[Unit Price (?)]]</f>
        <v>9022.5300000000007</v>
      </c>
      <c r="P1462" t="str">
        <f>TEXT(Table1[[#All],[Order Date]],"dddd")</f>
        <v>Sunday</v>
      </c>
      <c r="Q1462" t="str">
        <f>TEXT(Table1[[#All],[Order Date]],"mmm")</f>
        <v>Apr</v>
      </c>
      <c r="R1462" t="str">
        <f>IF(Table1[[#All],[Total Price (?)]]&gt;1000,"High Value","Normal")</f>
        <v>High Value</v>
      </c>
    </row>
    <row r="1463" spans="1:18" x14ac:dyDescent="0.3">
      <c r="A1463" t="s">
        <v>1524</v>
      </c>
      <c r="B1463" s="1">
        <v>45739</v>
      </c>
      <c r="C1463" t="s">
        <v>24</v>
      </c>
      <c r="D1463" t="s">
        <v>16</v>
      </c>
      <c r="E1463" t="s">
        <v>99</v>
      </c>
      <c r="F1463" t="s">
        <v>100</v>
      </c>
      <c r="G1463">
        <v>3</v>
      </c>
      <c r="H1463">
        <v>871.23</v>
      </c>
      <c r="I1463">
        <v>0.19</v>
      </c>
      <c r="J1463">
        <v>2117.09</v>
      </c>
      <c r="K1463" t="s">
        <v>41</v>
      </c>
      <c r="L1463" t="s">
        <v>29</v>
      </c>
      <c r="M1463" t="s">
        <v>21</v>
      </c>
      <c r="N1463" t="s">
        <v>22</v>
      </c>
      <c r="O1463">
        <f>Table1[[#All],[Quantity]]*Table1[[#All],[Unit Price (?)]]</f>
        <v>2613.69</v>
      </c>
      <c r="P1463" t="str">
        <f>TEXT(Table1[[#All],[Order Date]],"dddd")</f>
        <v>Sunday</v>
      </c>
      <c r="Q1463" t="str">
        <f>TEXT(Table1[[#All],[Order Date]],"mmm")</f>
        <v>Mar</v>
      </c>
      <c r="R1463" t="str">
        <f>IF(Table1[[#All],[Total Price (?)]]&gt;1000,"High Value","Normal")</f>
        <v>High Value</v>
      </c>
    </row>
    <row r="1464" spans="1:18" x14ac:dyDescent="0.3">
      <c r="A1464" t="s">
        <v>1525</v>
      </c>
      <c r="B1464" s="1">
        <v>45678</v>
      </c>
      <c r="C1464" t="s">
        <v>24</v>
      </c>
      <c r="D1464" t="s">
        <v>39</v>
      </c>
      <c r="E1464" t="s">
        <v>61</v>
      </c>
      <c r="F1464" t="s">
        <v>66</v>
      </c>
      <c r="G1464">
        <v>2</v>
      </c>
      <c r="H1464">
        <v>3505.05</v>
      </c>
      <c r="I1464">
        <v>0.2</v>
      </c>
      <c r="J1464">
        <v>5608.08</v>
      </c>
      <c r="K1464" t="s">
        <v>41</v>
      </c>
      <c r="L1464" t="s">
        <v>34</v>
      </c>
      <c r="M1464" t="s">
        <v>30</v>
      </c>
      <c r="N1464" t="s">
        <v>22</v>
      </c>
      <c r="O1464">
        <f>Table1[[#All],[Quantity]]*Table1[[#All],[Unit Price (?)]]</f>
        <v>7010.1</v>
      </c>
      <c r="P1464" t="str">
        <f>TEXT(Table1[[#All],[Order Date]],"dddd")</f>
        <v>Tuesday</v>
      </c>
      <c r="Q1464" t="str">
        <f>TEXT(Table1[[#All],[Order Date]],"mmm")</f>
        <v>Jan</v>
      </c>
      <c r="R1464" t="str">
        <f>IF(Table1[[#All],[Total Price (?)]]&gt;1000,"High Value","Normal")</f>
        <v>High Value</v>
      </c>
    </row>
    <row r="1465" spans="1:18" x14ac:dyDescent="0.3">
      <c r="A1465" t="s">
        <v>1526</v>
      </c>
      <c r="B1465" s="1">
        <v>45703</v>
      </c>
      <c r="C1465" t="s">
        <v>52</v>
      </c>
      <c r="D1465" t="s">
        <v>43</v>
      </c>
      <c r="E1465" t="s">
        <v>49</v>
      </c>
      <c r="F1465" t="s">
        <v>50</v>
      </c>
      <c r="G1465">
        <v>3</v>
      </c>
      <c r="H1465">
        <v>1131.68</v>
      </c>
      <c r="I1465">
        <v>0.12</v>
      </c>
      <c r="J1465">
        <v>2987.64</v>
      </c>
      <c r="K1465" t="s">
        <v>46</v>
      </c>
      <c r="L1465" t="s">
        <v>29</v>
      </c>
      <c r="M1465" t="s">
        <v>21</v>
      </c>
      <c r="N1465" t="s">
        <v>22</v>
      </c>
      <c r="O1465">
        <f>Table1[[#All],[Quantity]]*Table1[[#All],[Unit Price (?)]]</f>
        <v>3395.04</v>
      </c>
      <c r="P1465" t="str">
        <f>TEXT(Table1[[#All],[Order Date]],"dddd")</f>
        <v>Saturday</v>
      </c>
      <c r="Q1465" t="str">
        <f>TEXT(Table1[[#All],[Order Date]],"mmm")</f>
        <v>Feb</v>
      </c>
      <c r="R1465" t="str">
        <f>IF(Table1[[#All],[Total Price (?)]]&gt;1000,"High Value","Normal")</f>
        <v>High Value</v>
      </c>
    </row>
    <row r="1466" spans="1:18" x14ac:dyDescent="0.3">
      <c r="A1466" t="s">
        <v>1527</v>
      </c>
      <c r="B1466" s="1">
        <v>45823</v>
      </c>
      <c r="C1466" t="s">
        <v>52</v>
      </c>
      <c r="D1466" t="s">
        <v>39</v>
      </c>
      <c r="E1466" t="s">
        <v>17</v>
      </c>
      <c r="F1466" t="s">
        <v>18</v>
      </c>
      <c r="G1466">
        <v>2</v>
      </c>
      <c r="H1466">
        <v>831.7</v>
      </c>
      <c r="I1466">
        <v>0.02</v>
      </c>
      <c r="J1466">
        <v>1630.13</v>
      </c>
      <c r="K1466" t="s">
        <v>58</v>
      </c>
      <c r="L1466" t="s">
        <v>34</v>
      </c>
      <c r="M1466" t="s">
        <v>30</v>
      </c>
      <c r="N1466" t="s">
        <v>22</v>
      </c>
      <c r="O1466">
        <f>Table1[[#All],[Quantity]]*Table1[[#All],[Unit Price (?)]]</f>
        <v>1663.4</v>
      </c>
      <c r="P1466" t="str">
        <f>TEXT(Table1[[#All],[Order Date]],"dddd")</f>
        <v>Sunday</v>
      </c>
      <c r="Q1466" t="str">
        <f>TEXT(Table1[[#All],[Order Date]],"mmm")</f>
        <v>Jun</v>
      </c>
      <c r="R1466" t="str">
        <f>IF(Table1[[#All],[Total Price (?)]]&gt;1000,"High Value","Normal")</f>
        <v>High Value</v>
      </c>
    </row>
    <row r="1467" spans="1:18" x14ac:dyDescent="0.3">
      <c r="A1467" t="s">
        <v>1528</v>
      </c>
      <c r="B1467" s="1">
        <v>45837</v>
      </c>
      <c r="C1467" t="s">
        <v>48</v>
      </c>
      <c r="D1467" t="s">
        <v>43</v>
      </c>
      <c r="E1467" t="s">
        <v>49</v>
      </c>
      <c r="F1467" t="s">
        <v>50</v>
      </c>
      <c r="G1467">
        <v>5</v>
      </c>
      <c r="H1467">
        <v>3673.96</v>
      </c>
      <c r="I1467">
        <v>0.08</v>
      </c>
      <c r="J1467">
        <v>16900.22</v>
      </c>
      <c r="K1467" t="s">
        <v>58</v>
      </c>
      <c r="L1467" t="s">
        <v>29</v>
      </c>
      <c r="M1467" t="s">
        <v>21</v>
      </c>
      <c r="N1467" t="s">
        <v>37</v>
      </c>
      <c r="O1467">
        <f>Table1[[#All],[Quantity]]*Table1[[#All],[Unit Price (?)]]</f>
        <v>18369.8</v>
      </c>
      <c r="P1467" t="str">
        <f>TEXT(Table1[[#All],[Order Date]],"dddd")</f>
        <v>Sunday</v>
      </c>
      <c r="Q1467" t="str">
        <f>TEXT(Table1[[#All],[Order Date]],"mmm")</f>
        <v>Jun</v>
      </c>
      <c r="R1467" t="str">
        <f>IF(Table1[[#All],[Total Price (?)]]&gt;1000,"High Value","Normal")</f>
        <v>High Value</v>
      </c>
    </row>
    <row r="1468" spans="1:18" x14ac:dyDescent="0.3">
      <c r="A1468" t="s">
        <v>1529</v>
      </c>
      <c r="B1468" s="1">
        <v>45682</v>
      </c>
      <c r="C1468" t="s">
        <v>52</v>
      </c>
      <c r="D1468" t="s">
        <v>25</v>
      </c>
      <c r="E1468" t="s">
        <v>17</v>
      </c>
      <c r="F1468" t="s">
        <v>32</v>
      </c>
      <c r="G1468">
        <v>3</v>
      </c>
      <c r="H1468">
        <v>423.67</v>
      </c>
      <c r="I1468">
        <v>0.01</v>
      </c>
      <c r="J1468">
        <v>1258.3</v>
      </c>
      <c r="K1468" t="s">
        <v>41</v>
      </c>
      <c r="L1468" t="s">
        <v>20</v>
      </c>
      <c r="M1468" t="s">
        <v>30</v>
      </c>
      <c r="N1468" t="s">
        <v>22</v>
      </c>
      <c r="O1468">
        <f>Table1[[#All],[Quantity]]*Table1[[#All],[Unit Price (?)]]</f>
        <v>1271.01</v>
      </c>
      <c r="P1468" t="str">
        <f>TEXT(Table1[[#All],[Order Date]],"dddd")</f>
        <v>Saturday</v>
      </c>
      <c r="Q1468" t="str">
        <f>TEXT(Table1[[#All],[Order Date]],"mmm")</f>
        <v>Jan</v>
      </c>
      <c r="R1468" t="str">
        <f>IF(Table1[[#All],[Total Price (?)]]&gt;1000,"High Value","Normal")</f>
        <v>High Value</v>
      </c>
    </row>
    <row r="1469" spans="1:18" x14ac:dyDescent="0.3">
      <c r="A1469" t="s">
        <v>1530</v>
      </c>
      <c r="B1469" s="1">
        <v>45749</v>
      </c>
      <c r="C1469" t="s">
        <v>48</v>
      </c>
      <c r="D1469" t="s">
        <v>25</v>
      </c>
      <c r="E1469" t="s">
        <v>49</v>
      </c>
      <c r="F1469" t="s">
        <v>50</v>
      </c>
      <c r="G1469">
        <v>2</v>
      </c>
      <c r="H1469">
        <v>4097.33</v>
      </c>
      <c r="I1469">
        <v>0.19</v>
      </c>
      <c r="J1469">
        <v>6637.67</v>
      </c>
      <c r="K1469" t="s">
        <v>46</v>
      </c>
      <c r="L1469" t="s">
        <v>34</v>
      </c>
      <c r="M1469" t="s">
        <v>21</v>
      </c>
      <c r="N1469" t="s">
        <v>22</v>
      </c>
      <c r="O1469">
        <f>Table1[[#All],[Quantity]]*Table1[[#All],[Unit Price (?)]]</f>
        <v>8194.66</v>
      </c>
      <c r="P1469" t="str">
        <f>TEXT(Table1[[#All],[Order Date]],"dddd")</f>
        <v>Wednesday</v>
      </c>
      <c r="Q1469" t="str">
        <f>TEXT(Table1[[#All],[Order Date]],"mmm")</f>
        <v>Apr</v>
      </c>
      <c r="R1469" t="str">
        <f>IF(Table1[[#All],[Total Price (?)]]&gt;1000,"High Value","Normal")</f>
        <v>High Value</v>
      </c>
    </row>
    <row r="1470" spans="1:18" x14ac:dyDescent="0.3">
      <c r="A1470" t="s">
        <v>1531</v>
      </c>
      <c r="B1470" s="1">
        <v>45682</v>
      </c>
      <c r="C1470" t="s">
        <v>24</v>
      </c>
      <c r="D1470" t="s">
        <v>43</v>
      </c>
      <c r="E1470" t="s">
        <v>27</v>
      </c>
      <c r="F1470" t="s">
        <v>68</v>
      </c>
      <c r="G1470">
        <v>4</v>
      </c>
      <c r="H1470">
        <v>556.76</v>
      </c>
      <c r="I1470">
        <v>0.22</v>
      </c>
      <c r="J1470">
        <v>1737.09</v>
      </c>
      <c r="K1470" t="s">
        <v>19</v>
      </c>
      <c r="L1470" t="s">
        <v>34</v>
      </c>
      <c r="M1470" t="s">
        <v>30</v>
      </c>
      <c r="N1470" t="s">
        <v>22</v>
      </c>
      <c r="O1470">
        <f>Table1[[#All],[Quantity]]*Table1[[#All],[Unit Price (?)]]</f>
        <v>2227.04</v>
      </c>
      <c r="P1470" t="str">
        <f>TEXT(Table1[[#All],[Order Date]],"dddd")</f>
        <v>Saturday</v>
      </c>
      <c r="Q1470" t="str">
        <f>TEXT(Table1[[#All],[Order Date]],"mmm")</f>
        <v>Jan</v>
      </c>
      <c r="R1470" t="str">
        <f>IF(Table1[[#All],[Total Price (?)]]&gt;1000,"High Value","Normal")</f>
        <v>High Value</v>
      </c>
    </row>
    <row r="1471" spans="1:18" x14ac:dyDescent="0.3">
      <c r="A1471" t="s">
        <v>1532</v>
      </c>
      <c r="B1471" s="1">
        <v>45785</v>
      </c>
      <c r="C1471" t="s">
        <v>36</v>
      </c>
      <c r="D1471" t="s">
        <v>16</v>
      </c>
      <c r="E1471" t="s">
        <v>61</v>
      </c>
      <c r="F1471" t="s">
        <v>75</v>
      </c>
      <c r="G1471">
        <v>3</v>
      </c>
      <c r="H1471">
        <v>4545.8</v>
      </c>
      <c r="I1471">
        <v>0.18</v>
      </c>
      <c r="J1471">
        <v>11182.67</v>
      </c>
      <c r="K1471" t="s">
        <v>33</v>
      </c>
      <c r="L1471" t="s">
        <v>34</v>
      </c>
      <c r="M1471" t="s">
        <v>30</v>
      </c>
      <c r="N1471" t="s">
        <v>88</v>
      </c>
      <c r="O1471">
        <f>Table1[[#All],[Quantity]]*Table1[[#All],[Unit Price (?)]]</f>
        <v>13637.400000000001</v>
      </c>
      <c r="P1471" t="str">
        <f>TEXT(Table1[[#All],[Order Date]],"dddd")</f>
        <v>Thursday</v>
      </c>
      <c r="Q1471" t="str">
        <f>TEXT(Table1[[#All],[Order Date]],"mmm")</f>
        <v>May</v>
      </c>
      <c r="R1471" t="str">
        <f>IF(Table1[[#All],[Total Price (?)]]&gt;1000,"High Value","Normal")</f>
        <v>High Value</v>
      </c>
    </row>
    <row r="1472" spans="1:18" x14ac:dyDescent="0.3">
      <c r="A1472" t="s">
        <v>1533</v>
      </c>
      <c r="B1472" s="1">
        <v>45821</v>
      </c>
      <c r="C1472" t="s">
        <v>36</v>
      </c>
      <c r="D1472" t="s">
        <v>43</v>
      </c>
      <c r="E1472" t="s">
        <v>99</v>
      </c>
      <c r="F1472" t="s">
        <v>111</v>
      </c>
      <c r="G1472">
        <v>1</v>
      </c>
      <c r="H1472">
        <v>612.53</v>
      </c>
      <c r="I1472">
        <v>0.19</v>
      </c>
      <c r="J1472">
        <v>496.15</v>
      </c>
      <c r="K1472" t="s">
        <v>46</v>
      </c>
      <c r="L1472" t="s">
        <v>34</v>
      </c>
      <c r="M1472" t="s">
        <v>21</v>
      </c>
      <c r="N1472" t="s">
        <v>22</v>
      </c>
      <c r="O1472">
        <f>Table1[[#All],[Quantity]]*Table1[[#All],[Unit Price (?)]]</f>
        <v>612.53</v>
      </c>
      <c r="P1472" t="str">
        <f>TEXT(Table1[[#All],[Order Date]],"dddd")</f>
        <v>Friday</v>
      </c>
      <c r="Q1472" t="str">
        <f>TEXT(Table1[[#All],[Order Date]],"mmm")</f>
        <v>Jun</v>
      </c>
      <c r="R1472" t="str">
        <f>IF(Table1[[#All],[Total Price (?)]]&gt;1000,"High Value","Normal")</f>
        <v>Normal</v>
      </c>
    </row>
    <row r="1473" spans="1:18" x14ac:dyDescent="0.3">
      <c r="A1473" t="s">
        <v>1534</v>
      </c>
      <c r="B1473" s="1">
        <v>45689</v>
      </c>
      <c r="C1473" t="s">
        <v>36</v>
      </c>
      <c r="D1473" t="s">
        <v>16</v>
      </c>
      <c r="E1473" t="s">
        <v>99</v>
      </c>
      <c r="F1473" t="s">
        <v>111</v>
      </c>
      <c r="G1473">
        <v>5</v>
      </c>
      <c r="H1473">
        <v>3101.07</v>
      </c>
      <c r="I1473">
        <v>0.15</v>
      </c>
      <c r="J1473">
        <v>13179.55</v>
      </c>
      <c r="K1473" t="s">
        <v>41</v>
      </c>
      <c r="L1473" t="s">
        <v>29</v>
      </c>
      <c r="M1473" t="s">
        <v>30</v>
      </c>
      <c r="N1473" t="s">
        <v>22</v>
      </c>
      <c r="O1473">
        <f>Table1[[#All],[Quantity]]*Table1[[#All],[Unit Price (?)]]</f>
        <v>15505.35</v>
      </c>
      <c r="P1473" t="str">
        <f>TEXT(Table1[[#All],[Order Date]],"dddd")</f>
        <v>Saturday</v>
      </c>
      <c r="Q1473" t="str">
        <f>TEXT(Table1[[#All],[Order Date]],"mmm")</f>
        <v>Feb</v>
      </c>
      <c r="R1473" t="str">
        <f>IF(Table1[[#All],[Total Price (?)]]&gt;1000,"High Value","Normal")</f>
        <v>High Value</v>
      </c>
    </row>
    <row r="1474" spans="1:18" x14ac:dyDescent="0.3">
      <c r="A1474" t="s">
        <v>1535</v>
      </c>
      <c r="B1474" s="1">
        <v>45756</v>
      </c>
      <c r="C1474" t="s">
        <v>36</v>
      </c>
      <c r="D1474" t="s">
        <v>16</v>
      </c>
      <c r="E1474" t="s">
        <v>27</v>
      </c>
      <c r="F1474" t="s">
        <v>28</v>
      </c>
      <c r="G1474">
        <v>3</v>
      </c>
      <c r="H1474">
        <v>1729.77</v>
      </c>
      <c r="I1474">
        <v>0.1</v>
      </c>
      <c r="J1474">
        <v>4670.38</v>
      </c>
      <c r="K1474" t="s">
        <v>41</v>
      </c>
      <c r="L1474" t="s">
        <v>20</v>
      </c>
      <c r="M1474" t="s">
        <v>21</v>
      </c>
      <c r="N1474" t="s">
        <v>22</v>
      </c>
      <c r="O1474">
        <f>Table1[[#All],[Quantity]]*Table1[[#All],[Unit Price (?)]]</f>
        <v>5189.3099999999995</v>
      </c>
      <c r="P1474" t="str">
        <f>TEXT(Table1[[#All],[Order Date]],"dddd")</f>
        <v>Wednesday</v>
      </c>
      <c r="Q1474" t="str">
        <f>TEXT(Table1[[#All],[Order Date]],"mmm")</f>
        <v>Apr</v>
      </c>
      <c r="R1474" t="str">
        <f>IF(Table1[[#All],[Total Price (?)]]&gt;1000,"High Value","Normal")</f>
        <v>High Value</v>
      </c>
    </row>
    <row r="1475" spans="1:18" x14ac:dyDescent="0.3">
      <c r="A1475" t="s">
        <v>1536</v>
      </c>
      <c r="B1475" s="1">
        <v>45841</v>
      </c>
      <c r="C1475" t="s">
        <v>36</v>
      </c>
      <c r="D1475" t="s">
        <v>39</v>
      </c>
      <c r="E1475" t="s">
        <v>49</v>
      </c>
      <c r="F1475" t="s">
        <v>50</v>
      </c>
      <c r="G1475">
        <v>3</v>
      </c>
      <c r="H1475">
        <v>4190.53</v>
      </c>
      <c r="I1475">
        <v>0.06</v>
      </c>
      <c r="J1475">
        <v>11817.29</v>
      </c>
      <c r="K1475" t="s">
        <v>33</v>
      </c>
      <c r="L1475" t="s">
        <v>20</v>
      </c>
      <c r="M1475" t="s">
        <v>30</v>
      </c>
      <c r="N1475" t="s">
        <v>37</v>
      </c>
      <c r="O1475">
        <f>Table1[[#All],[Quantity]]*Table1[[#All],[Unit Price (?)]]</f>
        <v>12571.59</v>
      </c>
      <c r="P1475" t="str">
        <f>TEXT(Table1[[#All],[Order Date]],"dddd")</f>
        <v>Thursday</v>
      </c>
      <c r="Q1475" t="str">
        <f>TEXT(Table1[[#All],[Order Date]],"mmm")</f>
        <v>Jul</v>
      </c>
      <c r="R1475" t="str">
        <f>IF(Table1[[#All],[Total Price (?)]]&gt;1000,"High Value","Normal")</f>
        <v>High Value</v>
      </c>
    </row>
    <row r="1476" spans="1:18" x14ac:dyDescent="0.3">
      <c r="A1476" t="s">
        <v>1537</v>
      </c>
      <c r="B1476" s="1">
        <v>45799</v>
      </c>
      <c r="C1476" t="s">
        <v>36</v>
      </c>
      <c r="D1476" t="s">
        <v>25</v>
      </c>
      <c r="E1476" t="s">
        <v>17</v>
      </c>
      <c r="F1476" t="s">
        <v>44</v>
      </c>
      <c r="G1476">
        <v>3</v>
      </c>
      <c r="H1476">
        <v>121</v>
      </c>
      <c r="I1476">
        <v>0.06</v>
      </c>
      <c r="J1476">
        <v>341.22</v>
      </c>
      <c r="K1476" t="s">
        <v>46</v>
      </c>
      <c r="L1476" t="s">
        <v>34</v>
      </c>
      <c r="M1476" t="s">
        <v>54</v>
      </c>
      <c r="N1476" t="s">
        <v>22</v>
      </c>
      <c r="O1476">
        <f>Table1[[#All],[Quantity]]*Table1[[#All],[Unit Price (?)]]</f>
        <v>363</v>
      </c>
      <c r="P1476" t="str">
        <f>TEXT(Table1[[#All],[Order Date]],"dddd")</f>
        <v>Thursday</v>
      </c>
      <c r="Q1476" t="str">
        <f>TEXT(Table1[[#All],[Order Date]],"mmm")</f>
        <v>May</v>
      </c>
      <c r="R1476" t="str">
        <f>IF(Table1[[#All],[Total Price (?)]]&gt;1000,"High Value","Normal")</f>
        <v>Normal</v>
      </c>
    </row>
    <row r="1477" spans="1:18" x14ac:dyDescent="0.3">
      <c r="A1477" t="s">
        <v>1538</v>
      </c>
      <c r="B1477" s="1">
        <v>45716</v>
      </c>
      <c r="C1477" t="s">
        <v>24</v>
      </c>
      <c r="D1477" t="s">
        <v>16</v>
      </c>
      <c r="E1477" t="s">
        <v>17</v>
      </c>
      <c r="F1477" t="s">
        <v>40</v>
      </c>
      <c r="G1477">
        <v>5</v>
      </c>
      <c r="H1477">
        <v>4090.68</v>
      </c>
      <c r="I1477">
        <v>0.14000000000000001</v>
      </c>
      <c r="J1477">
        <v>17589.919999999998</v>
      </c>
      <c r="K1477" t="s">
        <v>58</v>
      </c>
      <c r="L1477" t="s">
        <v>34</v>
      </c>
      <c r="M1477" t="s">
        <v>30</v>
      </c>
      <c r="N1477" t="s">
        <v>22</v>
      </c>
      <c r="O1477">
        <f>Table1[[#All],[Quantity]]*Table1[[#All],[Unit Price (?)]]</f>
        <v>20453.399999999998</v>
      </c>
      <c r="P1477" t="str">
        <f>TEXT(Table1[[#All],[Order Date]],"dddd")</f>
        <v>Friday</v>
      </c>
      <c r="Q1477" t="str">
        <f>TEXT(Table1[[#All],[Order Date]],"mmm")</f>
        <v>Feb</v>
      </c>
      <c r="R1477" t="str">
        <f>IF(Table1[[#All],[Total Price (?)]]&gt;1000,"High Value","Normal")</f>
        <v>High Value</v>
      </c>
    </row>
    <row r="1478" spans="1:18" x14ac:dyDescent="0.3">
      <c r="A1478" t="s">
        <v>1539</v>
      </c>
      <c r="B1478" s="1">
        <v>45758</v>
      </c>
      <c r="C1478" t="s">
        <v>48</v>
      </c>
      <c r="D1478" t="s">
        <v>43</v>
      </c>
      <c r="E1478" t="s">
        <v>99</v>
      </c>
      <c r="F1478" t="s">
        <v>120</v>
      </c>
      <c r="G1478">
        <v>5</v>
      </c>
      <c r="H1478">
        <v>3340.31</v>
      </c>
      <c r="I1478">
        <v>7.0000000000000007E-2</v>
      </c>
      <c r="J1478">
        <v>15532.44</v>
      </c>
      <c r="K1478" t="s">
        <v>33</v>
      </c>
      <c r="L1478" t="s">
        <v>20</v>
      </c>
      <c r="M1478" t="s">
        <v>54</v>
      </c>
      <c r="N1478" t="s">
        <v>37</v>
      </c>
      <c r="O1478">
        <f>Table1[[#All],[Quantity]]*Table1[[#All],[Unit Price (?)]]</f>
        <v>16701.55</v>
      </c>
      <c r="P1478" t="str">
        <f>TEXT(Table1[[#All],[Order Date]],"dddd")</f>
        <v>Friday</v>
      </c>
      <c r="Q1478" t="str">
        <f>TEXT(Table1[[#All],[Order Date]],"mmm")</f>
        <v>Apr</v>
      </c>
      <c r="R1478" t="str">
        <f>IF(Table1[[#All],[Total Price (?)]]&gt;1000,"High Value","Normal")</f>
        <v>High Value</v>
      </c>
    </row>
    <row r="1479" spans="1:18" x14ac:dyDescent="0.3">
      <c r="A1479" t="s">
        <v>1540</v>
      </c>
      <c r="B1479" s="1">
        <v>45796</v>
      </c>
      <c r="C1479" t="s">
        <v>52</v>
      </c>
      <c r="D1479" t="s">
        <v>43</v>
      </c>
      <c r="E1479" t="s">
        <v>49</v>
      </c>
      <c r="F1479" t="s">
        <v>53</v>
      </c>
      <c r="G1479">
        <v>2</v>
      </c>
      <c r="H1479">
        <v>169.64</v>
      </c>
      <c r="I1479">
        <v>0.11</v>
      </c>
      <c r="J1479">
        <v>301.95999999999998</v>
      </c>
      <c r="K1479" t="s">
        <v>33</v>
      </c>
      <c r="L1479" t="s">
        <v>29</v>
      </c>
      <c r="M1479" t="s">
        <v>30</v>
      </c>
      <c r="N1479" t="s">
        <v>37</v>
      </c>
      <c r="O1479">
        <f>Table1[[#All],[Quantity]]*Table1[[#All],[Unit Price (?)]]</f>
        <v>339.28</v>
      </c>
      <c r="P1479" t="str">
        <f>TEXT(Table1[[#All],[Order Date]],"dddd")</f>
        <v>Monday</v>
      </c>
      <c r="Q1479" t="str">
        <f>TEXT(Table1[[#All],[Order Date]],"mmm")</f>
        <v>May</v>
      </c>
      <c r="R1479" t="str">
        <f>IF(Table1[[#All],[Total Price (?)]]&gt;1000,"High Value","Normal")</f>
        <v>Normal</v>
      </c>
    </row>
    <row r="1480" spans="1:18" x14ac:dyDescent="0.3">
      <c r="A1480" t="s">
        <v>1541</v>
      </c>
      <c r="B1480" s="1">
        <v>45713</v>
      </c>
      <c r="C1480" t="s">
        <v>52</v>
      </c>
      <c r="D1480" t="s">
        <v>43</v>
      </c>
      <c r="E1480" t="s">
        <v>17</v>
      </c>
      <c r="F1480" t="s">
        <v>18</v>
      </c>
      <c r="G1480">
        <v>3</v>
      </c>
      <c r="H1480">
        <v>3391.87</v>
      </c>
      <c r="I1480">
        <v>0.1</v>
      </c>
      <c r="J1480">
        <v>9158.0499999999993</v>
      </c>
      <c r="K1480" t="s">
        <v>46</v>
      </c>
      <c r="L1480" t="s">
        <v>20</v>
      </c>
      <c r="M1480" t="s">
        <v>30</v>
      </c>
      <c r="N1480" t="s">
        <v>22</v>
      </c>
      <c r="O1480">
        <f>Table1[[#All],[Quantity]]*Table1[[#All],[Unit Price (?)]]</f>
        <v>10175.61</v>
      </c>
      <c r="P1480" t="str">
        <f>TEXT(Table1[[#All],[Order Date]],"dddd")</f>
        <v>Tuesday</v>
      </c>
      <c r="Q1480" t="str">
        <f>TEXT(Table1[[#All],[Order Date]],"mmm")</f>
        <v>Feb</v>
      </c>
      <c r="R1480" t="str">
        <f>IF(Table1[[#All],[Total Price (?)]]&gt;1000,"High Value","Normal")</f>
        <v>High Value</v>
      </c>
    </row>
    <row r="1481" spans="1:18" x14ac:dyDescent="0.3">
      <c r="A1481" t="s">
        <v>1542</v>
      </c>
      <c r="B1481" s="1">
        <v>45740</v>
      </c>
      <c r="C1481" t="s">
        <v>15</v>
      </c>
      <c r="D1481" t="s">
        <v>16</v>
      </c>
      <c r="E1481" t="s">
        <v>99</v>
      </c>
      <c r="F1481" t="s">
        <v>120</v>
      </c>
      <c r="G1481">
        <v>5</v>
      </c>
      <c r="H1481">
        <v>3231.21</v>
      </c>
      <c r="I1481">
        <v>0.02</v>
      </c>
      <c r="J1481">
        <v>15832.93</v>
      </c>
      <c r="K1481" t="s">
        <v>46</v>
      </c>
      <c r="L1481" t="s">
        <v>29</v>
      </c>
      <c r="M1481" t="s">
        <v>54</v>
      </c>
      <c r="N1481" t="s">
        <v>37</v>
      </c>
      <c r="O1481">
        <f>Table1[[#All],[Quantity]]*Table1[[#All],[Unit Price (?)]]</f>
        <v>16156.05</v>
      </c>
      <c r="P1481" t="str">
        <f>TEXT(Table1[[#All],[Order Date]],"dddd")</f>
        <v>Monday</v>
      </c>
      <c r="Q1481" t="str">
        <f>TEXT(Table1[[#All],[Order Date]],"mmm")</f>
        <v>Mar</v>
      </c>
      <c r="R1481" t="str">
        <f>IF(Table1[[#All],[Total Price (?)]]&gt;1000,"High Value","Normal")</f>
        <v>High Value</v>
      </c>
    </row>
    <row r="1482" spans="1:18" x14ac:dyDescent="0.3">
      <c r="A1482" t="s">
        <v>1543</v>
      </c>
      <c r="B1482" s="1">
        <v>45822</v>
      </c>
      <c r="C1482" t="s">
        <v>24</v>
      </c>
      <c r="D1482" t="s">
        <v>25</v>
      </c>
      <c r="E1482" t="s">
        <v>17</v>
      </c>
      <c r="F1482" t="s">
        <v>44</v>
      </c>
      <c r="G1482">
        <v>1</v>
      </c>
      <c r="H1482">
        <v>3848.01</v>
      </c>
      <c r="I1482">
        <v>0.08</v>
      </c>
      <c r="J1482">
        <v>3540.17</v>
      </c>
      <c r="K1482" t="s">
        <v>46</v>
      </c>
      <c r="L1482" t="s">
        <v>20</v>
      </c>
      <c r="M1482" t="s">
        <v>21</v>
      </c>
      <c r="N1482" t="s">
        <v>22</v>
      </c>
      <c r="O1482">
        <f>Table1[[#All],[Quantity]]*Table1[[#All],[Unit Price (?)]]</f>
        <v>3848.01</v>
      </c>
      <c r="P1482" t="str">
        <f>TEXT(Table1[[#All],[Order Date]],"dddd")</f>
        <v>Saturday</v>
      </c>
      <c r="Q1482" t="str">
        <f>TEXT(Table1[[#All],[Order Date]],"mmm")</f>
        <v>Jun</v>
      </c>
      <c r="R1482" t="str">
        <f>IF(Table1[[#All],[Total Price (?)]]&gt;1000,"High Value","Normal")</f>
        <v>High Value</v>
      </c>
    </row>
    <row r="1483" spans="1:18" x14ac:dyDescent="0.3">
      <c r="A1483" t="s">
        <v>1544</v>
      </c>
      <c r="B1483" s="1">
        <v>45753</v>
      </c>
      <c r="C1483" t="s">
        <v>24</v>
      </c>
      <c r="D1483" t="s">
        <v>39</v>
      </c>
      <c r="E1483" t="s">
        <v>49</v>
      </c>
      <c r="F1483" t="s">
        <v>53</v>
      </c>
      <c r="G1483">
        <v>3</v>
      </c>
      <c r="H1483">
        <v>964.35</v>
      </c>
      <c r="I1483">
        <v>0.2</v>
      </c>
      <c r="J1483">
        <v>2314.44</v>
      </c>
      <c r="K1483" t="s">
        <v>46</v>
      </c>
      <c r="L1483" t="s">
        <v>20</v>
      </c>
      <c r="M1483" t="s">
        <v>21</v>
      </c>
      <c r="N1483" t="s">
        <v>22</v>
      </c>
      <c r="O1483">
        <f>Table1[[#All],[Quantity]]*Table1[[#All],[Unit Price (?)]]</f>
        <v>2893.05</v>
      </c>
      <c r="P1483" t="str">
        <f>TEXT(Table1[[#All],[Order Date]],"dddd")</f>
        <v>Sunday</v>
      </c>
      <c r="Q1483" t="str">
        <f>TEXT(Table1[[#All],[Order Date]],"mmm")</f>
        <v>Apr</v>
      </c>
      <c r="R1483" t="str">
        <f>IF(Table1[[#All],[Total Price (?)]]&gt;1000,"High Value","Normal")</f>
        <v>High Value</v>
      </c>
    </row>
    <row r="1484" spans="1:18" x14ac:dyDescent="0.3">
      <c r="A1484" t="s">
        <v>1545</v>
      </c>
      <c r="B1484" s="1">
        <v>45751</v>
      </c>
      <c r="C1484" t="s">
        <v>24</v>
      </c>
      <c r="D1484" t="s">
        <v>43</v>
      </c>
      <c r="E1484" t="s">
        <v>27</v>
      </c>
      <c r="F1484" t="s">
        <v>79</v>
      </c>
      <c r="G1484">
        <v>3</v>
      </c>
      <c r="H1484">
        <v>885.67</v>
      </c>
      <c r="I1484">
        <v>0.2</v>
      </c>
      <c r="J1484">
        <v>2125.61</v>
      </c>
      <c r="K1484" t="s">
        <v>19</v>
      </c>
      <c r="L1484" t="s">
        <v>20</v>
      </c>
      <c r="M1484" t="s">
        <v>21</v>
      </c>
      <c r="N1484" t="s">
        <v>22</v>
      </c>
      <c r="O1484">
        <f>Table1[[#All],[Quantity]]*Table1[[#All],[Unit Price (?)]]</f>
        <v>2657.0099999999998</v>
      </c>
      <c r="P1484" t="str">
        <f>TEXT(Table1[[#All],[Order Date]],"dddd")</f>
        <v>Friday</v>
      </c>
      <c r="Q1484" t="str">
        <f>TEXT(Table1[[#All],[Order Date]],"mmm")</f>
        <v>Apr</v>
      </c>
      <c r="R1484" t="str">
        <f>IF(Table1[[#All],[Total Price (?)]]&gt;1000,"High Value","Normal")</f>
        <v>High Value</v>
      </c>
    </row>
    <row r="1485" spans="1:18" x14ac:dyDescent="0.3">
      <c r="A1485" t="s">
        <v>1546</v>
      </c>
      <c r="B1485" s="1">
        <v>45707</v>
      </c>
      <c r="C1485" t="s">
        <v>15</v>
      </c>
      <c r="D1485" t="s">
        <v>43</v>
      </c>
      <c r="E1485" t="s">
        <v>99</v>
      </c>
      <c r="F1485" t="s">
        <v>120</v>
      </c>
      <c r="G1485">
        <v>1</v>
      </c>
      <c r="H1485">
        <v>4055.65</v>
      </c>
      <c r="I1485">
        <v>0.19</v>
      </c>
      <c r="J1485">
        <v>3285.08</v>
      </c>
      <c r="K1485" t="s">
        <v>41</v>
      </c>
      <c r="L1485" t="s">
        <v>34</v>
      </c>
      <c r="M1485" t="s">
        <v>30</v>
      </c>
      <c r="N1485" t="s">
        <v>22</v>
      </c>
      <c r="O1485">
        <f>Table1[[#All],[Quantity]]*Table1[[#All],[Unit Price (?)]]</f>
        <v>4055.65</v>
      </c>
      <c r="P1485" t="str">
        <f>TEXT(Table1[[#All],[Order Date]],"dddd")</f>
        <v>Wednesday</v>
      </c>
      <c r="Q1485" t="str">
        <f>TEXT(Table1[[#All],[Order Date]],"mmm")</f>
        <v>Feb</v>
      </c>
      <c r="R1485" t="str">
        <f>IF(Table1[[#All],[Total Price (?)]]&gt;1000,"High Value","Normal")</f>
        <v>High Value</v>
      </c>
    </row>
    <row r="1486" spans="1:18" x14ac:dyDescent="0.3">
      <c r="A1486" t="s">
        <v>1547</v>
      </c>
      <c r="B1486" s="1">
        <v>45748</v>
      </c>
      <c r="C1486" t="s">
        <v>36</v>
      </c>
      <c r="D1486" t="s">
        <v>25</v>
      </c>
      <c r="E1486" t="s">
        <v>27</v>
      </c>
      <c r="F1486" t="s">
        <v>87</v>
      </c>
      <c r="G1486">
        <v>2</v>
      </c>
      <c r="H1486">
        <v>4189.1000000000004</v>
      </c>
      <c r="I1486">
        <v>0.23</v>
      </c>
      <c r="J1486">
        <v>6451.21</v>
      </c>
      <c r="K1486" t="s">
        <v>58</v>
      </c>
      <c r="L1486" t="s">
        <v>29</v>
      </c>
      <c r="M1486" t="s">
        <v>30</v>
      </c>
      <c r="N1486" t="s">
        <v>22</v>
      </c>
      <c r="O1486">
        <f>Table1[[#All],[Quantity]]*Table1[[#All],[Unit Price (?)]]</f>
        <v>8378.2000000000007</v>
      </c>
      <c r="P1486" t="str">
        <f>TEXT(Table1[[#All],[Order Date]],"dddd")</f>
        <v>Tuesday</v>
      </c>
      <c r="Q1486" t="str">
        <f>TEXT(Table1[[#All],[Order Date]],"mmm")</f>
        <v>Apr</v>
      </c>
      <c r="R1486" t="str">
        <f>IF(Table1[[#All],[Total Price (?)]]&gt;1000,"High Value","Normal")</f>
        <v>High Value</v>
      </c>
    </row>
    <row r="1487" spans="1:18" x14ac:dyDescent="0.3">
      <c r="A1487" t="s">
        <v>1548</v>
      </c>
      <c r="B1487" s="1">
        <v>45767</v>
      </c>
      <c r="C1487" t="s">
        <v>24</v>
      </c>
      <c r="D1487" t="s">
        <v>39</v>
      </c>
      <c r="E1487" t="s">
        <v>99</v>
      </c>
      <c r="F1487" t="s">
        <v>100</v>
      </c>
      <c r="G1487">
        <v>2</v>
      </c>
      <c r="H1487">
        <v>118.24</v>
      </c>
      <c r="I1487">
        <v>0.09</v>
      </c>
      <c r="J1487">
        <v>215.2</v>
      </c>
      <c r="K1487" t="s">
        <v>58</v>
      </c>
      <c r="L1487" t="s">
        <v>34</v>
      </c>
      <c r="M1487" t="s">
        <v>21</v>
      </c>
      <c r="N1487" t="s">
        <v>22</v>
      </c>
      <c r="O1487">
        <f>Table1[[#All],[Quantity]]*Table1[[#All],[Unit Price (?)]]</f>
        <v>236.48</v>
      </c>
      <c r="P1487" t="str">
        <f>TEXT(Table1[[#All],[Order Date]],"dddd")</f>
        <v>Sunday</v>
      </c>
      <c r="Q1487" t="str">
        <f>TEXT(Table1[[#All],[Order Date]],"mmm")</f>
        <v>Apr</v>
      </c>
      <c r="R1487" t="str">
        <f>IF(Table1[[#All],[Total Price (?)]]&gt;1000,"High Value","Normal")</f>
        <v>Normal</v>
      </c>
    </row>
    <row r="1488" spans="1:18" x14ac:dyDescent="0.3">
      <c r="A1488" t="s">
        <v>1549</v>
      </c>
      <c r="B1488" s="1">
        <v>45688</v>
      </c>
      <c r="C1488" t="s">
        <v>15</v>
      </c>
      <c r="D1488" t="s">
        <v>16</v>
      </c>
      <c r="E1488" t="s">
        <v>49</v>
      </c>
      <c r="F1488" t="s">
        <v>56</v>
      </c>
      <c r="G1488">
        <v>2</v>
      </c>
      <c r="H1488">
        <v>4230.8100000000004</v>
      </c>
      <c r="I1488">
        <v>0.15</v>
      </c>
      <c r="J1488">
        <v>7192.38</v>
      </c>
      <c r="K1488" t="s">
        <v>41</v>
      </c>
      <c r="L1488" t="s">
        <v>20</v>
      </c>
      <c r="M1488" t="s">
        <v>21</v>
      </c>
      <c r="N1488" t="s">
        <v>22</v>
      </c>
      <c r="O1488">
        <f>Table1[[#All],[Quantity]]*Table1[[#All],[Unit Price (?)]]</f>
        <v>8461.6200000000008</v>
      </c>
      <c r="P1488" t="str">
        <f>TEXT(Table1[[#All],[Order Date]],"dddd")</f>
        <v>Friday</v>
      </c>
      <c r="Q1488" t="str">
        <f>TEXT(Table1[[#All],[Order Date]],"mmm")</f>
        <v>Jan</v>
      </c>
      <c r="R1488" t="str">
        <f>IF(Table1[[#All],[Total Price (?)]]&gt;1000,"High Value","Normal")</f>
        <v>High Value</v>
      </c>
    </row>
    <row r="1489" spans="1:18" x14ac:dyDescent="0.3">
      <c r="A1489" t="s">
        <v>1550</v>
      </c>
      <c r="B1489" s="1">
        <v>45734</v>
      </c>
      <c r="C1489" t="s">
        <v>36</v>
      </c>
      <c r="D1489" t="s">
        <v>39</v>
      </c>
      <c r="E1489" t="s">
        <v>49</v>
      </c>
      <c r="F1489" t="s">
        <v>50</v>
      </c>
      <c r="G1489">
        <v>3</v>
      </c>
      <c r="H1489">
        <v>686.79</v>
      </c>
      <c r="I1489">
        <v>0.2</v>
      </c>
      <c r="J1489">
        <v>1648.3</v>
      </c>
      <c r="K1489" t="s">
        <v>33</v>
      </c>
      <c r="L1489" t="s">
        <v>29</v>
      </c>
      <c r="M1489" t="s">
        <v>21</v>
      </c>
      <c r="N1489" t="s">
        <v>22</v>
      </c>
      <c r="O1489">
        <f>Table1[[#All],[Quantity]]*Table1[[#All],[Unit Price (?)]]</f>
        <v>2060.37</v>
      </c>
      <c r="P1489" t="str">
        <f>TEXT(Table1[[#All],[Order Date]],"dddd")</f>
        <v>Tuesday</v>
      </c>
      <c r="Q1489" t="str">
        <f>TEXT(Table1[[#All],[Order Date]],"mmm")</f>
        <v>Mar</v>
      </c>
      <c r="R1489" t="str">
        <f>IF(Table1[[#All],[Total Price (?)]]&gt;1000,"High Value","Normal")</f>
        <v>High Value</v>
      </c>
    </row>
    <row r="1490" spans="1:18" x14ac:dyDescent="0.3">
      <c r="A1490" t="s">
        <v>1551</v>
      </c>
      <c r="B1490" s="1">
        <v>45697</v>
      </c>
      <c r="C1490" t="s">
        <v>15</v>
      </c>
      <c r="D1490" t="s">
        <v>39</v>
      </c>
      <c r="E1490" t="s">
        <v>27</v>
      </c>
      <c r="F1490" t="s">
        <v>87</v>
      </c>
      <c r="G1490">
        <v>1</v>
      </c>
      <c r="H1490">
        <v>4701.34</v>
      </c>
      <c r="I1490">
        <v>0.17</v>
      </c>
      <c r="J1490">
        <v>3902.11</v>
      </c>
      <c r="K1490" t="s">
        <v>58</v>
      </c>
      <c r="L1490" t="s">
        <v>20</v>
      </c>
      <c r="M1490" t="s">
        <v>54</v>
      </c>
      <c r="N1490" t="s">
        <v>88</v>
      </c>
      <c r="O1490">
        <f>Table1[[#All],[Quantity]]*Table1[[#All],[Unit Price (?)]]</f>
        <v>4701.34</v>
      </c>
      <c r="P1490" t="str">
        <f>TEXT(Table1[[#All],[Order Date]],"dddd")</f>
        <v>Sunday</v>
      </c>
      <c r="Q1490" t="str">
        <f>TEXT(Table1[[#All],[Order Date]],"mmm")</f>
        <v>Feb</v>
      </c>
      <c r="R1490" t="str">
        <f>IF(Table1[[#All],[Total Price (?)]]&gt;1000,"High Value","Normal")</f>
        <v>High Value</v>
      </c>
    </row>
    <row r="1491" spans="1:18" x14ac:dyDescent="0.3">
      <c r="A1491" t="s">
        <v>1552</v>
      </c>
      <c r="B1491" s="1">
        <v>45839</v>
      </c>
      <c r="C1491" t="s">
        <v>15</v>
      </c>
      <c r="D1491" t="s">
        <v>39</v>
      </c>
      <c r="E1491" t="s">
        <v>61</v>
      </c>
      <c r="F1491" t="s">
        <v>66</v>
      </c>
      <c r="G1491">
        <v>5</v>
      </c>
      <c r="H1491">
        <v>1882.55</v>
      </c>
      <c r="I1491">
        <v>0.12</v>
      </c>
      <c r="J1491">
        <v>8283.2199999999993</v>
      </c>
      <c r="K1491" t="s">
        <v>41</v>
      </c>
      <c r="L1491" t="s">
        <v>20</v>
      </c>
      <c r="M1491" t="s">
        <v>21</v>
      </c>
      <c r="N1491" t="s">
        <v>22</v>
      </c>
      <c r="O1491">
        <f>Table1[[#All],[Quantity]]*Table1[[#All],[Unit Price (?)]]</f>
        <v>9412.75</v>
      </c>
      <c r="P1491" t="str">
        <f>TEXT(Table1[[#All],[Order Date]],"dddd")</f>
        <v>Tuesday</v>
      </c>
      <c r="Q1491" t="str">
        <f>TEXT(Table1[[#All],[Order Date]],"mmm")</f>
        <v>Jul</v>
      </c>
      <c r="R1491" t="str">
        <f>IF(Table1[[#All],[Total Price (?)]]&gt;1000,"High Value","Normal")</f>
        <v>High Value</v>
      </c>
    </row>
    <row r="1492" spans="1:18" x14ac:dyDescent="0.3">
      <c r="A1492" t="s">
        <v>1553</v>
      </c>
      <c r="B1492" s="1">
        <v>45776</v>
      </c>
      <c r="C1492" t="s">
        <v>15</v>
      </c>
      <c r="D1492" t="s">
        <v>16</v>
      </c>
      <c r="E1492" t="s">
        <v>17</v>
      </c>
      <c r="F1492" t="s">
        <v>32</v>
      </c>
      <c r="G1492">
        <v>1</v>
      </c>
      <c r="H1492">
        <v>4360.57</v>
      </c>
      <c r="I1492">
        <v>0.23</v>
      </c>
      <c r="J1492">
        <v>3357.64</v>
      </c>
      <c r="K1492" t="s">
        <v>19</v>
      </c>
      <c r="L1492" t="s">
        <v>29</v>
      </c>
      <c r="M1492" t="s">
        <v>21</v>
      </c>
      <c r="N1492" t="s">
        <v>22</v>
      </c>
      <c r="O1492">
        <f>Table1[[#All],[Quantity]]*Table1[[#All],[Unit Price (?)]]</f>
        <v>4360.57</v>
      </c>
      <c r="P1492" t="str">
        <f>TEXT(Table1[[#All],[Order Date]],"dddd")</f>
        <v>Tuesday</v>
      </c>
      <c r="Q1492" t="str">
        <f>TEXT(Table1[[#All],[Order Date]],"mmm")</f>
        <v>Apr</v>
      </c>
      <c r="R1492" t="str">
        <f>IF(Table1[[#All],[Total Price (?)]]&gt;1000,"High Value","Normal")</f>
        <v>High Value</v>
      </c>
    </row>
    <row r="1493" spans="1:18" x14ac:dyDescent="0.3">
      <c r="A1493" t="s">
        <v>1554</v>
      </c>
      <c r="B1493" s="1">
        <v>45758</v>
      </c>
      <c r="C1493" t="s">
        <v>15</v>
      </c>
      <c r="D1493" t="s">
        <v>43</v>
      </c>
      <c r="E1493" t="s">
        <v>17</v>
      </c>
      <c r="F1493" t="s">
        <v>32</v>
      </c>
      <c r="G1493">
        <v>2</v>
      </c>
      <c r="H1493">
        <v>2924.42</v>
      </c>
      <c r="I1493">
        <v>0.15</v>
      </c>
      <c r="J1493">
        <v>4971.51</v>
      </c>
      <c r="K1493" t="s">
        <v>46</v>
      </c>
      <c r="L1493" t="s">
        <v>20</v>
      </c>
      <c r="M1493" t="s">
        <v>54</v>
      </c>
      <c r="N1493" t="s">
        <v>22</v>
      </c>
      <c r="O1493">
        <f>Table1[[#All],[Quantity]]*Table1[[#All],[Unit Price (?)]]</f>
        <v>5848.84</v>
      </c>
      <c r="P1493" t="str">
        <f>TEXT(Table1[[#All],[Order Date]],"dddd")</f>
        <v>Friday</v>
      </c>
      <c r="Q1493" t="str">
        <f>TEXT(Table1[[#All],[Order Date]],"mmm")</f>
        <v>Apr</v>
      </c>
      <c r="R1493" t="str">
        <f>IF(Table1[[#All],[Total Price (?)]]&gt;1000,"High Value","Normal")</f>
        <v>High Value</v>
      </c>
    </row>
    <row r="1494" spans="1:18" x14ac:dyDescent="0.3">
      <c r="A1494" t="s">
        <v>1555</v>
      </c>
      <c r="B1494" s="1">
        <v>45804</v>
      </c>
      <c r="C1494" t="s">
        <v>36</v>
      </c>
      <c r="D1494" t="s">
        <v>16</v>
      </c>
      <c r="E1494" t="s">
        <v>99</v>
      </c>
      <c r="F1494" t="s">
        <v>120</v>
      </c>
      <c r="G1494">
        <v>5</v>
      </c>
      <c r="H1494">
        <v>1556.31</v>
      </c>
      <c r="I1494">
        <v>0.14000000000000001</v>
      </c>
      <c r="J1494">
        <v>6692.13</v>
      </c>
      <c r="K1494" t="s">
        <v>33</v>
      </c>
      <c r="L1494" t="s">
        <v>29</v>
      </c>
      <c r="M1494" t="s">
        <v>30</v>
      </c>
      <c r="N1494" t="s">
        <v>37</v>
      </c>
      <c r="O1494">
        <f>Table1[[#All],[Quantity]]*Table1[[#All],[Unit Price (?)]]</f>
        <v>7781.5499999999993</v>
      </c>
      <c r="P1494" t="str">
        <f>TEXT(Table1[[#All],[Order Date]],"dddd")</f>
        <v>Tuesday</v>
      </c>
      <c r="Q1494" t="str">
        <f>TEXT(Table1[[#All],[Order Date]],"mmm")</f>
        <v>May</v>
      </c>
      <c r="R1494" t="str">
        <f>IF(Table1[[#All],[Total Price (?)]]&gt;1000,"High Value","Normal")</f>
        <v>High Value</v>
      </c>
    </row>
    <row r="1495" spans="1:18" x14ac:dyDescent="0.3">
      <c r="A1495" t="s">
        <v>1556</v>
      </c>
      <c r="B1495" s="1">
        <v>45830</v>
      </c>
      <c r="C1495" t="s">
        <v>48</v>
      </c>
      <c r="D1495" t="s">
        <v>16</v>
      </c>
      <c r="E1495" t="s">
        <v>17</v>
      </c>
      <c r="F1495" t="s">
        <v>32</v>
      </c>
      <c r="G1495">
        <v>3</v>
      </c>
      <c r="H1495">
        <v>1418.34</v>
      </c>
      <c r="I1495">
        <v>0.01</v>
      </c>
      <c r="J1495">
        <v>4212.47</v>
      </c>
      <c r="K1495" t="s">
        <v>58</v>
      </c>
      <c r="L1495" t="s">
        <v>29</v>
      </c>
      <c r="M1495" t="s">
        <v>54</v>
      </c>
      <c r="N1495" t="s">
        <v>37</v>
      </c>
      <c r="O1495">
        <f>Table1[[#All],[Quantity]]*Table1[[#All],[Unit Price (?)]]</f>
        <v>4255.0199999999995</v>
      </c>
      <c r="P1495" t="str">
        <f>TEXT(Table1[[#All],[Order Date]],"dddd")</f>
        <v>Sunday</v>
      </c>
      <c r="Q1495" t="str">
        <f>TEXT(Table1[[#All],[Order Date]],"mmm")</f>
        <v>Jun</v>
      </c>
      <c r="R1495" t="str">
        <f>IF(Table1[[#All],[Total Price (?)]]&gt;1000,"High Value","Normal")</f>
        <v>High Value</v>
      </c>
    </row>
    <row r="1496" spans="1:18" x14ac:dyDescent="0.3">
      <c r="A1496" t="s">
        <v>1557</v>
      </c>
      <c r="B1496" s="1">
        <v>45686</v>
      </c>
      <c r="C1496" t="s">
        <v>24</v>
      </c>
      <c r="D1496" t="s">
        <v>39</v>
      </c>
      <c r="E1496" t="s">
        <v>27</v>
      </c>
      <c r="F1496" t="s">
        <v>79</v>
      </c>
      <c r="G1496">
        <v>4</v>
      </c>
      <c r="H1496">
        <v>4066.55</v>
      </c>
      <c r="I1496">
        <v>0.1</v>
      </c>
      <c r="J1496">
        <v>14639.58</v>
      </c>
      <c r="K1496" t="s">
        <v>41</v>
      </c>
      <c r="L1496" t="s">
        <v>20</v>
      </c>
      <c r="M1496" t="s">
        <v>54</v>
      </c>
      <c r="N1496" t="s">
        <v>22</v>
      </c>
      <c r="O1496">
        <f>Table1[[#All],[Quantity]]*Table1[[#All],[Unit Price (?)]]</f>
        <v>16266.2</v>
      </c>
      <c r="P1496" t="str">
        <f>TEXT(Table1[[#All],[Order Date]],"dddd")</f>
        <v>Wednesday</v>
      </c>
      <c r="Q1496" t="str">
        <f>TEXT(Table1[[#All],[Order Date]],"mmm")</f>
        <v>Jan</v>
      </c>
      <c r="R1496" t="str">
        <f>IF(Table1[[#All],[Total Price (?)]]&gt;1000,"High Value","Normal")</f>
        <v>High Value</v>
      </c>
    </row>
    <row r="1497" spans="1:18" x14ac:dyDescent="0.3">
      <c r="A1497" t="s">
        <v>1558</v>
      </c>
      <c r="B1497" s="1">
        <v>45827</v>
      </c>
      <c r="C1497" t="s">
        <v>24</v>
      </c>
      <c r="D1497" t="s">
        <v>16</v>
      </c>
      <c r="E1497" t="s">
        <v>27</v>
      </c>
      <c r="F1497" t="s">
        <v>68</v>
      </c>
      <c r="G1497">
        <v>2</v>
      </c>
      <c r="H1497">
        <v>3277.58</v>
      </c>
      <c r="I1497">
        <v>0.14000000000000001</v>
      </c>
      <c r="J1497">
        <v>5637.44</v>
      </c>
      <c r="K1497" t="s">
        <v>46</v>
      </c>
      <c r="L1497" t="s">
        <v>20</v>
      </c>
      <c r="M1497" t="s">
        <v>54</v>
      </c>
      <c r="N1497" t="s">
        <v>22</v>
      </c>
      <c r="O1497">
        <f>Table1[[#All],[Quantity]]*Table1[[#All],[Unit Price (?)]]</f>
        <v>6555.16</v>
      </c>
      <c r="P1497" t="str">
        <f>TEXT(Table1[[#All],[Order Date]],"dddd")</f>
        <v>Thursday</v>
      </c>
      <c r="Q1497" t="str">
        <f>TEXT(Table1[[#All],[Order Date]],"mmm")</f>
        <v>Jun</v>
      </c>
      <c r="R1497" t="str">
        <f>IF(Table1[[#All],[Total Price (?)]]&gt;1000,"High Value","Normal")</f>
        <v>High Value</v>
      </c>
    </row>
    <row r="1498" spans="1:18" x14ac:dyDescent="0.3">
      <c r="A1498" t="s">
        <v>1559</v>
      </c>
      <c r="B1498" s="1">
        <v>45673</v>
      </c>
      <c r="C1498" t="s">
        <v>36</v>
      </c>
      <c r="D1498" t="s">
        <v>43</v>
      </c>
      <c r="E1498" t="s">
        <v>61</v>
      </c>
      <c r="F1498" t="s">
        <v>75</v>
      </c>
      <c r="G1498">
        <v>1</v>
      </c>
      <c r="H1498">
        <v>3438.91</v>
      </c>
      <c r="I1498">
        <v>0.22</v>
      </c>
      <c r="J1498">
        <v>2682.35</v>
      </c>
      <c r="K1498" t="s">
        <v>19</v>
      </c>
      <c r="L1498" t="s">
        <v>34</v>
      </c>
      <c r="M1498" t="s">
        <v>21</v>
      </c>
      <c r="N1498" t="s">
        <v>22</v>
      </c>
      <c r="O1498">
        <f>Table1[[#All],[Quantity]]*Table1[[#All],[Unit Price (?)]]</f>
        <v>3438.91</v>
      </c>
      <c r="P1498" t="str">
        <f>TEXT(Table1[[#All],[Order Date]],"dddd")</f>
        <v>Thursday</v>
      </c>
      <c r="Q1498" t="str">
        <f>TEXT(Table1[[#All],[Order Date]],"mmm")</f>
        <v>Jan</v>
      </c>
      <c r="R1498" t="str">
        <f>IF(Table1[[#All],[Total Price (?)]]&gt;1000,"High Value","Normal")</f>
        <v>High Value</v>
      </c>
    </row>
    <row r="1499" spans="1:18" x14ac:dyDescent="0.3">
      <c r="A1499" t="s">
        <v>1560</v>
      </c>
      <c r="B1499" s="1">
        <v>45713</v>
      </c>
      <c r="C1499" t="s">
        <v>48</v>
      </c>
      <c r="D1499" t="s">
        <v>43</v>
      </c>
      <c r="E1499" t="s">
        <v>61</v>
      </c>
      <c r="F1499" t="s">
        <v>62</v>
      </c>
      <c r="G1499">
        <v>4</v>
      </c>
      <c r="H1499">
        <v>1043.1099999999999</v>
      </c>
      <c r="I1499">
        <v>0.13</v>
      </c>
      <c r="J1499">
        <v>3630.02</v>
      </c>
      <c r="K1499" t="s">
        <v>19</v>
      </c>
      <c r="L1499" t="s">
        <v>29</v>
      </c>
      <c r="M1499" t="s">
        <v>30</v>
      </c>
      <c r="N1499" t="s">
        <v>22</v>
      </c>
      <c r="O1499">
        <f>Table1[[#All],[Quantity]]*Table1[[#All],[Unit Price (?)]]</f>
        <v>4172.4399999999996</v>
      </c>
      <c r="P1499" t="str">
        <f>TEXT(Table1[[#All],[Order Date]],"dddd")</f>
        <v>Tuesday</v>
      </c>
      <c r="Q1499" t="str">
        <f>TEXT(Table1[[#All],[Order Date]],"mmm")</f>
        <v>Feb</v>
      </c>
      <c r="R1499" t="str">
        <f>IF(Table1[[#All],[Total Price (?)]]&gt;1000,"High Value","Normal")</f>
        <v>High Value</v>
      </c>
    </row>
    <row r="1500" spans="1:18" x14ac:dyDescent="0.3">
      <c r="A1500" t="s">
        <v>1561</v>
      </c>
      <c r="B1500" s="1">
        <v>45810</v>
      </c>
      <c r="C1500" t="s">
        <v>36</v>
      </c>
      <c r="D1500" t="s">
        <v>25</v>
      </c>
      <c r="E1500" t="s">
        <v>27</v>
      </c>
      <c r="F1500" t="s">
        <v>87</v>
      </c>
      <c r="G1500">
        <v>2</v>
      </c>
      <c r="H1500">
        <v>3120.29</v>
      </c>
      <c r="I1500">
        <v>0.22</v>
      </c>
      <c r="J1500">
        <v>4867.6499999999996</v>
      </c>
      <c r="K1500" t="s">
        <v>46</v>
      </c>
      <c r="L1500" t="s">
        <v>34</v>
      </c>
      <c r="M1500" t="s">
        <v>21</v>
      </c>
      <c r="N1500" t="s">
        <v>22</v>
      </c>
      <c r="O1500">
        <f>Table1[[#All],[Quantity]]*Table1[[#All],[Unit Price (?)]]</f>
        <v>6240.58</v>
      </c>
      <c r="P1500" t="str">
        <f>TEXT(Table1[[#All],[Order Date]],"dddd")</f>
        <v>Monday</v>
      </c>
      <c r="Q1500" t="str">
        <f>TEXT(Table1[[#All],[Order Date]],"mmm")</f>
        <v>Jun</v>
      </c>
      <c r="R1500" t="str">
        <f>IF(Table1[[#All],[Total Price (?)]]&gt;1000,"High Value","Normal")</f>
        <v>High Value</v>
      </c>
    </row>
    <row r="1501" spans="1:18" x14ac:dyDescent="0.3">
      <c r="A1501" t="s">
        <v>1562</v>
      </c>
      <c r="B1501" s="1">
        <v>45813</v>
      </c>
      <c r="C1501" t="s">
        <v>24</v>
      </c>
      <c r="D1501" t="s">
        <v>43</v>
      </c>
      <c r="E1501" t="s">
        <v>27</v>
      </c>
      <c r="F1501" t="s">
        <v>87</v>
      </c>
      <c r="G1501">
        <v>5</v>
      </c>
      <c r="H1501">
        <v>1036.71</v>
      </c>
      <c r="I1501">
        <v>0.06</v>
      </c>
      <c r="J1501">
        <v>4872.54</v>
      </c>
      <c r="K1501" t="s">
        <v>58</v>
      </c>
      <c r="L1501" t="s">
        <v>34</v>
      </c>
      <c r="M1501" t="s">
        <v>54</v>
      </c>
      <c r="N1501" t="s">
        <v>88</v>
      </c>
      <c r="O1501">
        <f>Table1[[#All],[Quantity]]*Table1[[#All],[Unit Price (?)]]</f>
        <v>5183.55</v>
      </c>
      <c r="P1501" t="str">
        <f>TEXT(Table1[[#All],[Order Date]],"dddd")</f>
        <v>Thursday</v>
      </c>
      <c r="Q1501" t="str">
        <f>TEXT(Table1[[#All],[Order Date]],"mmm")</f>
        <v>Jun</v>
      </c>
      <c r="R1501" t="str">
        <f>IF(Table1[[#All],[Total Price (?)]]&gt;1000,"High Value","Normal")</f>
        <v>High Value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5B2F-C945-4592-9138-23F1FF89468A}">
  <dimension ref="A1:T28"/>
  <sheetViews>
    <sheetView workbookViewId="0">
      <selection activeCell="D20" sqref="D20:E20"/>
    </sheetView>
  </sheetViews>
  <sheetFormatPr defaultRowHeight="14.4" x14ac:dyDescent="0.3"/>
  <cols>
    <col min="1" max="1" width="12.44140625" bestFit="1" customWidth="1"/>
    <col min="2" max="2" width="21.44140625" bestFit="1" customWidth="1"/>
    <col min="3" max="3" width="15.6640625" customWidth="1"/>
    <col min="4" max="4" width="12.44140625" bestFit="1" customWidth="1"/>
    <col min="5" max="5" width="21.5546875" bestFit="1" customWidth="1"/>
    <col min="15" max="15" width="12.44140625" bestFit="1" customWidth="1"/>
    <col min="16" max="16" width="18.5546875" bestFit="1" customWidth="1"/>
    <col min="18" max="18" width="13.77734375" bestFit="1" customWidth="1"/>
    <col min="19" max="19" width="15.33203125" bestFit="1" customWidth="1"/>
  </cols>
  <sheetData>
    <row r="1" spans="1:20" x14ac:dyDescent="0.3">
      <c r="A1" s="13" t="s">
        <v>1567</v>
      </c>
      <c r="B1" s="13"/>
      <c r="C1" s="3"/>
      <c r="D1" s="13" t="s">
        <v>1569</v>
      </c>
      <c r="E1" s="14"/>
      <c r="F1" s="14"/>
      <c r="G1" s="14"/>
      <c r="H1" s="14"/>
      <c r="I1" s="14"/>
      <c r="J1" s="14"/>
      <c r="K1" s="14"/>
      <c r="L1" s="14"/>
      <c r="M1" s="14"/>
      <c r="O1" s="13" t="s">
        <v>1574</v>
      </c>
      <c r="P1" s="13"/>
      <c r="Q1" s="13"/>
      <c r="R1" s="13"/>
      <c r="S1" s="13"/>
      <c r="T1" s="13"/>
    </row>
    <row r="2" spans="1:20" x14ac:dyDescent="0.3">
      <c r="A2" s="3"/>
    </row>
    <row r="3" spans="1:20" x14ac:dyDescent="0.3">
      <c r="A3" s="4" t="s">
        <v>1568</v>
      </c>
      <c r="B3" s="4" t="s">
        <v>1570</v>
      </c>
      <c r="C3" s="2"/>
      <c r="D3" s="6" t="s">
        <v>1571</v>
      </c>
      <c r="E3" t="s">
        <v>1573</v>
      </c>
      <c r="O3" s="6" t="s">
        <v>1571</v>
      </c>
      <c r="P3" t="s">
        <v>1573</v>
      </c>
      <c r="R3" s="4" t="s">
        <v>1575</v>
      </c>
      <c r="S3" s="4" t="s">
        <v>1576</v>
      </c>
      <c r="T3" s="4" t="s">
        <v>1577</v>
      </c>
    </row>
    <row r="4" spans="1:20" x14ac:dyDescent="0.3">
      <c r="A4" s="5">
        <f>SUM(Table1[[#All],[Gross Revenue]])</f>
        <v>11390182.199999979</v>
      </c>
      <c r="B4" s="5">
        <f>SUM(Raw_Data!J1,Raw_Data!J:J)</f>
        <v>9980221.2800000198</v>
      </c>
      <c r="D4" s="7" t="s">
        <v>99</v>
      </c>
      <c r="E4">
        <v>2189602.0399999986</v>
      </c>
      <c r="O4" s="7" t="s">
        <v>50</v>
      </c>
      <c r="P4">
        <v>645482.6100000001</v>
      </c>
      <c r="R4" s="5" t="str">
        <f>IF(O4&gt;0,O4,"")</f>
        <v>Biography</v>
      </c>
      <c r="S4" s="5">
        <v>645482.6100000001</v>
      </c>
      <c r="T4" s="5">
        <f>S4/GETPIVOTDATA("Total Price (?)",$O$3)*100</f>
        <v>6.4676182209859796</v>
      </c>
    </row>
    <row r="5" spans="1:20" x14ac:dyDescent="0.3">
      <c r="D5" s="7" t="s">
        <v>17</v>
      </c>
      <c r="E5">
        <v>2058812.6999999995</v>
      </c>
      <c r="O5" s="7" t="s">
        <v>100</v>
      </c>
      <c r="P5">
        <v>613757.52999999968</v>
      </c>
      <c r="R5" s="5" t="str">
        <f t="shared" ref="R5:R13" si="0">IF(O5&gt;0,O5,"")</f>
        <v>Sofa</v>
      </c>
      <c r="S5" s="5">
        <v>613757.52999999968</v>
      </c>
      <c r="T5" s="5">
        <f t="shared" ref="T5:T13" si="1">S5/GETPIVOTDATA("Total Price (?)",$O$3)*100</f>
        <v>6.1497386959740812</v>
      </c>
    </row>
    <row r="6" spans="1:20" x14ac:dyDescent="0.3">
      <c r="D6" s="7" t="s">
        <v>27</v>
      </c>
      <c r="E6">
        <v>1975775.7900000007</v>
      </c>
      <c r="O6" s="7" t="s">
        <v>111</v>
      </c>
      <c r="P6">
        <v>608090.68000000017</v>
      </c>
      <c r="R6" s="5" t="str">
        <f t="shared" si="0"/>
        <v>Curtain</v>
      </c>
      <c r="S6" s="5">
        <v>608090.68000000017</v>
      </c>
      <c r="T6" s="5">
        <f t="shared" si="1"/>
        <v>6.0929578908094131</v>
      </c>
    </row>
    <row r="7" spans="1:20" x14ac:dyDescent="0.3">
      <c r="D7" s="7" t="s">
        <v>49</v>
      </c>
      <c r="E7">
        <v>1954015.7199999997</v>
      </c>
      <c r="O7" s="7" t="s">
        <v>32</v>
      </c>
      <c r="P7">
        <v>602699.4800000001</v>
      </c>
      <c r="R7" s="5" t="str">
        <f t="shared" si="0"/>
        <v>Headphones</v>
      </c>
      <c r="S7" s="5">
        <v>602699.4800000001</v>
      </c>
      <c r="T7" s="5">
        <f t="shared" si="1"/>
        <v>6.0389390484536447</v>
      </c>
    </row>
    <row r="8" spans="1:20" x14ac:dyDescent="0.3">
      <c r="D8" s="7" t="s">
        <v>61</v>
      </c>
      <c r="E8">
        <v>1802015.0299999991</v>
      </c>
      <c r="O8" s="7" t="s">
        <v>73</v>
      </c>
      <c r="P8">
        <v>534772.50000000012</v>
      </c>
      <c r="R8" s="5" t="str">
        <f t="shared" si="0"/>
        <v>Textbook</v>
      </c>
      <c r="S8" s="5">
        <v>534772.50000000012</v>
      </c>
      <c r="T8" s="5">
        <f t="shared" si="1"/>
        <v>5.3583230771813124</v>
      </c>
    </row>
    <row r="9" spans="1:20" x14ac:dyDescent="0.3">
      <c r="D9" s="7" t="s">
        <v>1572</v>
      </c>
      <c r="E9">
        <v>9980221.2799999975</v>
      </c>
      <c r="O9" s="7" t="s">
        <v>120</v>
      </c>
      <c r="P9">
        <v>527932.66</v>
      </c>
      <c r="R9" s="5" t="str">
        <f t="shared" si="0"/>
        <v>Lamp</v>
      </c>
      <c r="S9" s="5">
        <v>527932.66</v>
      </c>
      <c r="T9" s="5">
        <f t="shared" si="1"/>
        <v>5.28978912579782</v>
      </c>
    </row>
    <row r="10" spans="1:20" x14ac:dyDescent="0.3">
      <c r="O10" s="7" t="s">
        <v>28</v>
      </c>
      <c r="P10">
        <v>519384.56999999983</v>
      </c>
      <c r="R10" s="5" t="str">
        <f t="shared" si="0"/>
        <v>Milk</v>
      </c>
      <c r="S10" s="5">
        <v>519384.56999999983</v>
      </c>
      <c r="T10" s="5">
        <f t="shared" si="1"/>
        <v>5.2041388204570938</v>
      </c>
    </row>
    <row r="11" spans="1:20" x14ac:dyDescent="0.3">
      <c r="O11" s="7" t="s">
        <v>87</v>
      </c>
      <c r="P11">
        <v>499641.51999999996</v>
      </c>
      <c r="R11" s="5" t="str">
        <f t="shared" si="0"/>
        <v>Biscuits</v>
      </c>
      <c r="S11" s="5">
        <v>499641.51999999996</v>
      </c>
      <c r="T11" s="5">
        <f t="shared" si="1"/>
        <v>5.006317054324871</v>
      </c>
    </row>
    <row r="12" spans="1:20" x14ac:dyDescent="0.3">
      <c r="O12" s="7" t="s">
        <v>62</v>
      </c>
      <c r="P12">
        <v>495967.56999999989</v>
      </c>
      <c r="R12" s="5" t="str">
        <f t="shared" si="0"/>
        <v>T-shirt</v>
      </c>
      <c r="S12" s="5">
        <v>495967.56999999989</v>
      </c>
      <c r="T12" s="5">
        <f t="shared" si="1"/>
        <v>4.969504744287593</v>
      </c>
    </row>
    <row r="13" spans="1:20" x14ac:dyDescent="0.3">
      <c r="O13" s="7" t="s">
        <v>44</v>
      </c>
      <c r="P13">
        <v>489792.31999999995</v>
      </c>
      <c r="R13" s="5" t="str">
        <f t="shared" si="0"/>
        <v>Laptop</v>
      </c>
      <c r="S13" s="5">
        <v>489792.31999999995</v>
      </c>
      <c r="T13" s="5">
        <f t="shared" si="1"/>
        <v>4.9076298636937636</v>
      </c>
    </row>
    <row r="14" spans="1:20" x14ac:dyDescent="0.3">
      <c r="O14" s="7" t="s">
        <v>79</v>
      </c>
      <c r="P14">
        <v>486593.21999999991</v>
      </c>
    </row>
    <row r="15" spans="1:20" x14ac:dyDescent="0.3">
      <c r="O15" s="7" t="s">
        <v>40</v>
      </c>
      <c r="P15">
        <v>485699.04999999981</v>
      </c>
    </row>
    <row r="16" spans="1:20" x14ac:dyDescent="0.3">
      <c r="O16" s="7" t="s">
        <v>66</v>
      </c>
      <c r="P16">
        <v>483346.09999999992</v>
      </c>
    </row>
    <row r="17" spans="1:16" x14ac:dyDescent="0.3">
      <c r="O17" s="7" t="s">
        <v>18</v>
      </c>
      <c r="P17">
        <v>480621.85000000003</v>
      </c>
    </row>
    <row r="18" spans="1:16" x14ac:dyDescent="0.3">
      <c r="O18" s="7" t="s">
        <v>68</v>
      </c>
      <c r="P18">
        <v>470156.47999999986</v>
      </c>
    </row>
    <row r="19" spans="1:16" x14ac:dyDescent="0.3">
      <c r="O19" s="7" t="s">
        <v>75</v>
      </c>
      <c r="P19">
        <v>465228.24999999988</v>
      </c>
    </row>
    <row r="20" spans="1:16" x14ac:dyDescent="0.3">
      <c r="A20" s="13" t="s">
        <v>1578</v>
      </c>
      <c r="B20" s="13"/>
      <c r="D20" s="13" t="s">
        <v>1580</v>
      </c>
      <c r="E20" s="13"/>
      <c r="O20" s="7" t="s">
        <v>115</v>
      </c>
      <c r="P20">
        <v>439821.17000000004</v>
      </c>
    </row>
    <row r="21" spans="1:16" x14ac:dyDescent="0.3">
      <c r="O21" s="7" t="s">
        <v>53</v>
      </c>
      <c r="P21">
        <v>393538.92</v>
      </c>
    </row>
    <row r="22" spans="1:16" x14ac:dyDescent="0.3">
      <c r="A22" s="6" t="s">
        <v>1571</v>
      </c>
      <c r="B22" t="s">
        <v>1579</v>
      </c>
      <c r="D22" s="6" t="s">
        <v>1571</v>
      </c>
      <c r="E22" t="s">
        <v>1581</v>
      </c>
      <c r="O22" s="7" t="s">
        <v>56</v>
      </c>
      <c r="P22">
        <v>380221.68999999994</v>
      </c>
    </row>
    <row r="23" spans="1:16" x14ac:dyDescent="0.3">
      <c r="A23" s="7" t="s">
        <v>29</v>
      </c>
      <c r="B23">
        <v>7014.593770491806</v>
      </c>
      <c r="D23" s="7" t="s">
        <v>49</v>
      </c>
      <c r="E23">
        <v>0.12511111111111106</v>
      </c>
      <c r="O23" s="7" t="s">
        <v>92</v>
      </c>
      <c r="P23">
        <v>357473.11</v>
      </c>
    </row>
    <row r="24" spans="1:16" x14ac:dyDescent="0.3">
      <c r="A24" s="7" t="s">
        <v>34</v>
      </c>
      <c r="B24">
        <v>6557.4564173228364</v>
      </c>
      <c r="D24" s="7" t="s">
        <v>61</v>
      </c>
      <c r="E24">
        <v>0.12645522388059702</v>
      </c>
      <c r="O24" s="7" t="s">
        <v>1572</v>
      </c>
      <c r="P24">
        <v>9980221.2799999993</v>
      </c>
    </row>
    <row r="25" spans="1:16" x14ac:dyDescent="0.3">
      <c r="A25" s="7" t="s">
        <v>20</v>
      </c>
      <c r="B25">
        <v>6400.6183730158691</v>
      </c>
      <c r="D25" s="7" t="s">
        <v>17</v>
      </c>
      <c r="E25">
        <v>0.12193650793650793</v>
      </c>
    </row>
    <row r="26" spans="1:16" x14ac:dyDescent="0.3">
      <c r="A26" s="7" t="s">
        <v>1572</v>
      </c>
      <c r="B26">
        <v>6653.4808533333462</v>
      </c>
      <c r="D26" s="7" t="s">
        <v>27</v>
      </c>
      <c r="E26">
        <v>0.12799342105263162</v>
      </c>
    </row>
    <row r="27" spans="1:16" x14ac:dyDescent="0.3">
      <c r="D27" s="7" t="s">
        <v>99</v>
      </c>
      <c r="E27">
        <v>0.12721476510067115</v>
      </c>
    </row>
    <row r="28" spans="1:16" x14ac:dyDescent="0.3">
      <c r="D28" s="7" t="s">
        <v>1572</v>
      </c>
      <c r="E28">
        <v>0.1256866666666665</v>
      </c>
    </row>
  </sheetData>
  <mergeCells count="5">
    <mergeCell ref="A1:B1"/>
    <mergeCell ref="D1:M1"/>
    <mergeCell ref="O1:T1"/>
    <mergeCell ref="A20:B20"/>
    <mergeCell ref="D20:E20"/>
  </mergeCell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9A82-114A-4FA2-BAF3-F6D4C318F2AF}">
  <dimension ref="A1:O34"/>
  <sheetViews>
    <sheetView workbookViewId="0">
      <selection activeCell="D14" sqref="D14:D33"/>
      <pivotSelection pane="bottomRight" showHeader="1" axis="axisRow" activeRow="13" activeCol="3" previousRow="13" previousCol="3" click="1" r:id="rId3">
        <pivotArea dataOnly="0" labelOnly="1" fieldPosition="0">
          <references count="1">
            <reference field="5" count="0"/>
          </references>
        </pivotArea>
      </pivotSelection>
    </sheetView>
  </sheetViews>
  <sheetFormatPr defaultRowHeight="14.4" x14ac:dyDescent="0.3"/>
  <cols>
    <col min="1" max="1" width="24" customWidth="1"/>
    <col min="3" max="4" width="15.109375" bestFit="1" customWidth="1"/>
    <col min="5" max="5" width="15.5546875" bestFit="1" customWidth="1"/>
    <col min="6" max="6" width="8.5546875" bestFit="1" customWidth="1"/>
    <col min="7" max="9" width="10.5546875" bestFit="1" customWidth="1"/>
    <col min="10" max="10" width="15.109375" bestFit="1" customWidth="1"/>
    <col min="11" max="11" width="15.5546875" bestFit="1" customWidth="1"/>
    <col min="12" max="12" width="9" bestFit="1" customWidth="1"/>
    <col min="13" max="14" width="8.5546875" bestFit="1" customWidth="1"/>
    <col min="15" max="15" width="10.5546875" bestFit="1" customWidth="1"/>
  </cols>
  <sheetData>
    <row r="1" spans="1:15" x14ac:dyDescent="0.3">
      <c r="A1" s="2" t="s">
        <v>1582</v>
      </c>
      <c r="C1" s="13" t="s">
        <v>1584</v>
      </c>
      <c r="D1" s="13"/>
      <c r="E1" s="13"/>
      <c r="F1" s="13"/>
      <c r="G1" s="13"/>
      <c r="H1" s="13"/>
      <c r="J1" s="13" t="s">
        <v>1587</v>
      </c>
      <c r="K1" s="13"/>
      <c r="L1" s="13"/>
      <c r="M1" s="13"/>
      <c r="N1" s="13"/>
      <c r="O1" s="13"/>
    </row>
    <row r="2" spans="1:15" x14ac:dyDescent="0.3">
      <c r="A2" s="2"/>
    </row>
    <row r="3" spans="1:15" x14ac:dyDescent="0.3">
      <c r="A3" s="4" t="s">
        <v>1583</v>
      </c>
      <c r="C3" s="6" t="s">
        <v>1586</v>
      </c>
      <c r="D3" s="6" t="s">
        <v>1585</v>
      </c>
      <c r="J3" s="6" t="s">
        <v>1586</v>
      </c>
      <c r="K3" s="6" t="s">
        <v>1585</v>
      </c>
    </row>
    <row r="4" spans="1:15" x14ac:dyDescent="0.3">
      <c r="A4" s="8">
        <f>COUNTIF(Table1[[#All],[Delivery Status]],"Delivered")/COUNTA(Table1[[#All],[Delivery Status]])</f>
        <v>0.75682878081279148</v>
      </c>
      <c r="C4" s="6" t="s">
        <v>1571</v>
      </c>
      <c r="D4" t="s">
        <v>88</v>
      </c>
      <c r="E4" t="s">
        <v>22</v>
      </c>
      <c r="F4" t="s">
        <v>59</v>
      </c>
      <c r="G4" t="s">
        <v>37</v>
      </c>
      <c r="H4" t="s">
        <v>1572</v>
      </c>
      <c r="J4" s="6" t="s">
        <v>1571</v>
      </c>
      <c r="K4" t="s">
        <v>88</v>
      </c>
      <c r="L4" t="s">
        <v>22</v>
      </c>
      <c r="M4" t="s">
        <v>59</v>
      </c>
      <c r="N4" t="s">
        <v>37</v>
      </c>
      <c r="O4" t="s">
        <v>1572</v>
      </c>
    </row>
    <row r="5" spans="1:15" x14ac:dyDescent="0.3">
      <c r="C5" s="7" t="s">
        <v>29</v>
      </c>
      <c r="D5">
        <v>36</v>
      </c>
      <c r="E5">
        <v>381</v>
      </c>
      <c r="F5">
        <v>18</v>
      </c>
      <c r="G5">
        <v>53</v>
      </c>
      <c r="H5">
        <v>488</v>
      </c>
      <c r="J5" s="7" t="s">
        <v>30</v>
      </c>
      <c r="K5">
        <v>41</v>
      </c>
      <c r="L5">
        <v>394</v>
      </c>
      <c r="M5">
        <v>29</v>
      </c>
      <c r="N5">
        <v>50</v>
      </c>
      <c r="O5">
        <v>514</v>
      </c>
    </row>
    <row r="6" spans="1:15" x14ac:dyDescent="0.3">
      <c r="C6" s="7" t="s">
        <v>34</v>
      </c>
      <c r="D6">
        <v>47</v>
      </c>
      <c r="E6">
        <v>378</v>
      </c>
      <c r="F6">
        <v>35</v>
      </c>
      <c r="G6">
        <v>48</v>
      </c>
      <c r="H6">
        <v>508</v>
      </c>
      <c r="J6" s="7" t="s">
        <v>21</v>
      </c>
      <c r="K6">
        <v>45</v>
      </c>
      <c r="L6">
        <v>383</v>
      </c>
      <c r="M6">
        <v>23</v>
      </c>
      <c r="N6">
        <v>52</v>
      </c>
      <c r="O6">
        <v>503</v>
      </c>
    </row>
    <row r="7" spans="1:15" x14ac:dyDescent="0.3">
      <c r="C7" s="7" t="s">
        <v>20</v>
      </c>
      <c r="D7">
        <v>47</v>
      </c>
      <c r="E7">
        <v>377</v>
      </c>
      <c r="F7">
        <v>31</v>
      </c>
      <c r="G7">
        <v>49</v>
      </c>
      <c r="H7">
        <v>504</v>
      </c>
      <c r="J7" s="7" t="s">
        <v>54</v>
      </c>
      <c r="K7">
        <v>44</v>
      </c>
      <c r="L7">
        <v>359</v>
      </c>
      <c r="M7">
        <v>32</v>
      </c>
      <c r="N7">
        <v>48</v>
      </c>
      <c r="O7">
        <v>483</v>
      </c>
    </row>
    <row r="8" spans="1:15" x14ac:dyDescent="0.3">
      <c r="C8" s="7" t="s">
        <v>1572</v>
      </c>
      <c r="D8">
        <v>130</v>
      </c>
      <c r="E8">
        <v>1136</v>
      </c>
      <c r="F8">
        <v>84</v>
      </c>
      <c r="G8">
        <v>150</v>
      </c>
      <c r="H8">
        <v>1500</v>
      </c>
      <c r="J8" s="7" t="s">
        <v>1572</v>
      </c>
      <c r="K8">
        <v>130</v>
      </c>
      <c r="L8">
        <v>1136</v>
      </c>
      <c r="M8">
        <v>84</v>
      </c>
      <c r="N8">
        <v>150</v>
      </c>
      <c r="O8">
        <v>1500</v>
      </c>
    </row>
    <row r="10" spans="1:15" x14ac:dyDescent="0.3">
      <c r="A10" s="13" t="s">
        <v>1588</v>
      </c>
      <c r="B10" s="13"/>
      <c r="D10" s="13" t="s">
        <v>1591</v>
      </c>
      <c r="E10" s="13"/>
      <c r="F10" s="13"/>
      <c r="G10" s="13"/>
    </row>
    <row r="12" spans="1:15" x14ac:dyDescent="0.3">
      <c r="A12" s="4" t="s">
        <v>1589</v>
      </c>
      <c r="B12" s="4" t="s">
        <v>1590</v>
      </c>
      <c r="D12" s="6" t="s">
        <v>1586</v>
      </c>
      <c r="E12" s="6" t="s">
        <v>1585</v>
      </c>
    </row>
    <row r="13" spans="1:15" x14ac:dyDescent="0.3">
      <c r="A13" s="9">
        <f>AVERAGE(Table1[[#All],[Total Price (?)]])</f>
        <v>6653.4808533333462</v>
      </c>
      <c r="B13" s="5">
        <f>SUM(Table1[[#All],[Total Price (?)]])</f>
        <v>9980221.2800000198</v>
      </c>
      <c r="D13" s="6" t="s">
        <v>1571</v>
      </c>
      <c r="E13" t="s">
        <v>88</v>
      </c>
      <c r="F13" t="s">
        <v>37</v>
      </c>
      <c r="G13" t="s">
        <v>1572</v>
      </c>
    </row>
    <row r="14" spans="1:15" x14ac:dyDescent="0.3">
      <c r="D14" s="7" t="s">
        <v>50</v>
      </c>
      <c r="E14">
        <v>7</v>
      </c>
      <c r="F14">
        <v>12</v>
      </c>
      <c r="G14">
        <v>19</v>
      </c>
    </row>
    <row r="15" spans="1:15" x14ac:dyDescent="0.3">
      <c r="D15" s="7" t="s">
        <v>87</v>
      </c>
      <c r="E15">
        <v>9</v>
      </c>
      <c r="F15">
        <v>5</v>
      </c>
      <c r="G15">
        <v>14</v>
      </c>
    </row>
    <row r="16" spans="1:15" x14ac:dyDescent="0.3">
      <c r="D16" s="7" t="s">
        <v>53</v>
      </c>
      <c r="E16">
        <v>3</v>
      </c>
      <c r="F16">
        <v>11</v>
      </c>
      <c r="G16">
        <v>14</v>
      </c>
    </row>
    <row r="17" spans="4:7" x14ac:dyDescent="0.3">
      <c r="D17" s="7" t="s">
        <v>111</v>
      </c>
      <c r="E17">
        <v>13</v>
      </c>
      <c r="F17">
        <v>2</v>
      </c>
      <c r="G17">
        <v>15</v>
      </c>
    </row>
    <row r="18" spans="4:7" x14ac:dyDescent="0.3">
      <c r="D18" s="7" t="s">
        <v>66</v>
      </c>
      <c r="E18">
        <v>10</v>
      </c>
      <c r="F18">
        <v>5</v>
      </c>
      <c r="G18">
        <v>15</v>
      </c>
    </row>
    <row r="19" spans="4:7" x14ac:dyDescent="0.3">
      <c r="D19" s="7" t="s">
        <v>32</v>
      </c>
      <c r="E19">
        <v>7</v>
      </c>
      <c r="F19">
        <v>9</v>
      </c>
      <c r="G19">
        <v>16</v>
      </c>
    </row>
    <row r="20" spans="4:7" x14ac:dyDescent="0.3">
      <c r="D20" s="7" t="s">
        <v>92</v>
      </c>
      <c r="E20">
        <v>6</v>
      </c>
      <c r="F20">
        <v>6</v>
      </c>
      <c r="G20">
        <v>12</v>
      </c>
    </row>
    <row r="21" spans="4:7" x14ac:dyDescent="0.3">
      <c r="D21" s="7" t="s">
        <v>75</v>
      </c>
      <c r="E21">
        <v>9</v>
      </c>
      <c r="F21">
        <v>8</v>
      </c>
      <c r="G21">
        <v>17</v>
      </c>
    </row>
    <row r="22" spans="4:7" x14ac:dyDescent="0.3">
      <c r="D22" s="7" t="s">
        <v>120</v>
      </c>
      <c r="E22">
        <v>5</v>
      </c>
      <c r="F22">
        <v>13</v>
      </c>
      <c r="G22">
        <v>18</v>
      </c>
    </row>
    <row r="23" spans="4:7" x14ac:dyDescent="0.3">
      <c r="D23" s="7" t="s">
        <v>44</v>
      </c>
      <c r="E23">
        <v>4</v>
      </c>
      <c r="F23">
        <v>9</v>
      </c>
      <c r="G23">
        <v>13</v>
      </c>
    </row>
    <row r="24" spans="4:7" x14ac:dyDescent="0.3">
      <c r="D24" s="7" t="s">
        <v>28</v>
      </c>
      <c r="E24">
        <v>5</v>
      </c>
      <c r="F24">
        <v>5</v>
      </c>
      <c r="G24">
        <v>10</v>
      </c>
    </row>
    <row r="25" spans="4:7" x14ac:dyDescent="0.3">
      <c r="D25" s="7" t="s">
        <v>56</v>
      </c>
      <c r="E25">
        <v>3</v>
      </c>
      <c r="F25">
        <v>8</v>
      </c>
      <c r="G25">
        <v>11</v>
      </c>
    </row>
    <row r="26" spans="4:7" x14ac:dyDescent="0.3">
      <c r="D26" s="7" t="s">
        <v>68</v>
      </c>
      <c r="E26">
        <v>7</v>
      </c>
      <c r="F26">
        <v>12</v>
      </c>
      <c r="G26">
        <v>19</v>
      </c>
    </row>
    <row r="27" spans="4:7" x14ac:dyDescent="0.3">
      <c r="D27" s="7" t="s">
        <v>79</v>
      </c>
      <c r="E27">
        <v>4</v>
      </c>
      <c r="F27">
        <v>8</v>
      </c>
      <c r="G27">
        <v>12</v>
      </c>
    </row>
    <row r="28" spans="4:7" x14ac:dyDescent="0.3">
      <c r="D28" s="7" t="s">
        <v>18</v>
      </c>
      <c r="E28">
        <v>5</v>
      </c>
      <c r="F28">
        <v>5</v>
      </c>
      <c r="G28">
        <v>10</v>
      </c>
    </row>
    <row r="29" spans="4:7" x14ac:dyDescent="0.3">
      <c r="D29" s="7" t="s">
        <v>40</v>
      </c>
      <c r="E29">
        <v>10</v>
      </c>
      <c r="F29">
        <v>4</v>
      </c>
      <c r="G29">
        <v>14</v>
      </c>
    </row>
    <row r="30" spans="4:7" x14ac:dyDescent="0.3">
      <c r="D30" s="7" t="s">
        <v>100</v>
      </c>
      <c r="E30">
        <v>6</v>
      </c>
      <c r="F30">
        <v>5</v>
      </c>
      <c r="G30">
        <v>11</v>
      </c>
    </row>
    <row r="31" spans="4:7" x14ac:dyDescent="0.3">
      <c r="D31" s="7" t="s">
        <v>115</v>
      </c>
      <c r="E31">
        <v>5</v>
      </c>
      <c r="F31">
        <v>4</v>
      </c>
      <c r="G31">
        <v>9</v>
      </c>
    </row>
    <row r="32" spans="4:7" x14ac:dyDescent="0.3">
      <c r="D32" s="7" t="s">
        <v>73</v>
      </c>
      <c r="E32">
        <v>9</v>
      </c>
      <c r="F32">
        <v>6</v>
      </c>
      <c r="G32">
        <v>15</v>
      </c>
    </row>
    <row r="33" spans="4:7" x14ac:dyDescent="0.3">
      <c r="D33" s="7" t="s">
        <v>62</v>
      </c>
      <c r="E33">
        <v>3</v>
      </c>
      <c r="F33">
        <v>13</v>
      </c>
      <c r="G33">
        <v>16</v>
      </c>
    </row>
    <row r="34" spans="4:7" x14ac:dyDescent="0.3">
      <c r="D34" s="7" t="s">
        <v>1572</v>
      </c>
      <c r="E34">
        <v>130</v>
      </c>
      <c r="F34">
        <v>150</v>
      </c>
      <c r="G34">
        <v>280</v>
      </c>
    </row>
  </sheetData>
  <mergeCells count="4">
    <mergeCell ref="C1:H1"/>
    <mergeCell ref="J1:O1"/>
    <mergeCell ref="A10:B10"/>
    <mergeCell ref="D10:G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61D98-51DE-4702-87C0-BD039333368A}">
  <dimension ref="A1:V40"/>
  <sheetViews>
    <sheetView workbookViewId="0">
      <selection activeCell="T13" sqref="T13"/>
    </sheetView>
  </sheetViews>
  <sheetFormatPr defaultRowHeight="14.4" x14ac:dyDescent="0.3"/>
  <cols>
    <col min="1" max="1" width="18.5546875" bestFit="1" customWidth="1"/>
    <col min="2" max="2" width="15.5546875" bestFit="1" customWidth="1"/>
    <col min="3" max="3" width="11" bestFit="1" customWidth="1"/>
    <col min="4" max="4" width="10.33203125" bestFit="1" customWidth="1"/>
    <col min="5" max="5" width="11" bestFit="1" customWidth="1"/>
    <col min="6" max="6" width="11.21875" bestFit="1" customWidth="1"/>
    <col min="7" max="7" width="11" bestFit="1" customWidth="1"/>
    <col min="9" max="9" width="12.44140625" bestFit="1" customWidth="1"/>
    <col min="10" max="10" width="18.5546875" bestFit="1" customWidth="1"/>
    <col min="16" max="16" width="12.88671875" bestFit="1" customWidth="1"/>
    <col min="17" max="17" width="19.21875" bestFit="1" customWidth="1"/>
    <col min="20" max="20" width="12.44140625" bestFit="1" customWidth="1"/>
    <col min="21" max="21" width="15.109375" bestFit="1" customWidth="1"/>
    <col min="22" max="22" width="10" customWidth="1"/>
  </cols>
  <sheetData>
    <row r="1" spans="1:22" x14ac:dyDescent="0.3">
      <c r="A1" s="13" t="s">
        <v>1592</v>
      </c>
      <c r="B1" s="13"/>
      <c r="C1" s="13"/>
      <c r="D1" s="13"/>
      <c r="E1" s="13"/>
      <c r="F1" s="13"/>
      <c r="G1" s="13"/>
      <c r="I1" s="2" t="s">
        <v>1600</v>
      </c>
      <c r="P1" s="2" t="s">
        <v>1608</v>
      </c>
      <c r="T1" s="2" t="s">
        <v>1611</v>
      </c>
    </row>
    <row r="3" spans="1:22" x14ac:dyDescent="0.3">
      <c r="A3" s="6" t="s">
        <v>1573</v>
      </c>
      <c r="B3" s="6" t="s">
        <v>1585</v>
      </c>
      <c r="I3" s="6" t="s">
        <v>1571</v>
      </c>
      <c r="J3" t="s">
        <v>1573</v>
      </c>
      <c r="P3" s="11" t="s">
        <v>1609</v>
      </c>
      <c r="Q3" s="4" t="s">
        <v>1576</v>
      </c>
      <c r="R3" s="4" t="s">
        <v>1610</v>
      </c>
      <c r="T3" s="6" t="s">
        <v>1571</v>
      </c>
      <c r="U3" t="s">
        <v>1586</v>
      </c>
      <c r="V3" s="4" t="s">
        <v>1614</v>
      </c>
    </row>
    <row r="4" spans="1:22" x14ac:dyDescent="0.3">
      <c r="A4" s="6" t="s">
        <v>1571</v>
      </c>
      <c r="B4" t="s">
        <v>49</v>
      </c>
      <c r="C4" t="s">
        <v>61</v>
      </c>
      <c r="D4" t="s">
        <v>17</v>
      </c>
      <c r="E4" t="s">
        <v>27</v>
      </c>
      <c r="F4" t="s">
        <v>99</v>
      </c>
      <c r="G4" t="s">
        <v>1572</v>
      </c>
      <c r="I4" s="7" t="s">
        <v>1601</v>
      </c>
      <c r="J4">
        <v>1468421.4099999997</v>
      </c>
      <c r="P4" s="12" t="s">
        <v>1593</v>
      </c>
      <c r="Q4" s="5">
        <v>1540404.5200000014</v>
      </c>
      <c r="R4" s="5"/>
      <c r="T4" s="7" t="s">
        <v>1612</v>
      </c>
      <c r="U4">
        <v>1365</v>
      </c>
      <c r="V4" s="8">
        <f>GETPIVOTDATA("Order ID",$T$3,"High Value Flag","High Value")/GETPIVOTDATA("Order ID",$T$3)</f>
        <v>0.91</v>
      </c>
    </row>
    <row r="5" spans="1:22" x14ac:dyDescent="0.3">
      <c r="A5" s="7" t="s">
        <v>1593</v>
      </c>
      <c r="B5">
        <v>292785.18</v>
      </c>
      <c r="C5">
        <v>315402.47000000003</v>
      </c>
      <c r="D5">
        <v>218833.46999999994</v>
      </c>
      <c r="E5">
        <v>380665.35</v>
      </c>
      <c r="F5">
        <v>332718.04999999993</v>
      </c>
      <c r="G5">
        <v>1540404.52</v>
      </c>
      <c r="I5" s="7" t="s">
        <v>1602</v>
      </c>
      <c r="J5">
        <v>1357162.6799999995</v>
      </c>
      <c r="P5" s="12" t="s">
        <v>1594</v>
      </c>
      <c r="Q5" s="5">
        <v>1579255.9499999995</v>
      </c>
      <c r="R5" s="8">
        <f>(Q5-Q4)/Q4</f>
        <v>2.5221576212979456E-2</v>
      </c>
      <c r="T5" s="7" t="s">
        <v>1613</v>
      </c>
      <c r="U5">
        <v>135</v>
      </c>
    </row>
    <row r="6" spans="1:22" x14ac:dyDescent="0.3">
      <c r="A6" s="7" t="s">
        <v>1594</v>
      </c>
      <c r="B6">
        <v>320998.04999999993</v>
      </c>
      <c r="C6">
        <v>254475.39</v>
      </c>
      <c r="D6">
        <v>407673.97999999992</v>
      </c>
      <c r="E6">
        <v>220962.41999999998</v>
      </c>
      <c r="F6">
        <v>375146.11000000004</v>
      </c>
      <c r="G6">
        <v>1579255.95</v>
      </c>
      <c r="I6" s="7" t="s">
        <v>1603</v>
      </c>
      <c r="J6">
        <v>1282647.49</v>
      </c>
      <c r="P6" s="12" t="s">
        <v>1595</v>
      </c>
      <c r="Q6" s="5">
        <v>1669195.1999999988</v>
      </c>
      <c r="R6" s="8">
        <f t="shared" ref="R6:R10" si="0">(Q6-Q5)/Q5</f>
        <v>5.6950394899572376E-2</v>
      </c>
      <c r="T6" s="7" t="s">
        <v>1572</v>
      </c>
      <c r="U6">
        <v>1500</v>
      </c>
    </row>
    <row r="7" spans="1:22" x14ac:dyDescent="0.3">
      <c r="A7" s="7" t="s">
        <v>1595</v>
      </c>
      <c r="B7">
        <v>328622.55</v>
      </c>
      <c r="C7">
        <v>214208.82000000004</v>
      </c>
      <c r="D7">
        <v>284808.58</v>
      </c>
      <c r="E7">
        <v>445343.8</v>
      </c>
      <c r="F7">
        <v>396211.45000000007</v>
      </c>
      <c r="G7">
        <v>1669195.2000000002</v>
      </c>
      <c r="I7" s="7" t="s">
        <v>1604</v>
      </c>
      <c r="J7">
        <v>1494970.7200000007</v>
      </c>
      <c r="P7" s="12" t="s">
        <v>1596</v>
      </c>
      <c r="Q7" s="5">
        <v>1703105.219999999</v>
      </c>
      <c r="R7" s="8">
        <f t="shared" si="0"/>
        <v>2.0315191416797912E-2</v>
      </c>
    </row>
    <row r="8" spans="1:22" x14ac:dyDescent="0.3">
      <c r="A8" s="7" t="s">
        <v>1596</v>
      </c>
      <c r="B8">
        <v>366265.84</v>
      </c>
      <c r="C8">
        <v>295296.64999999997</v>
      </c>
      <c r="D8">
        <v>437403.49999999983</v>
      </c>
      <c r="E8">
        <v>236798.94</v>
      </c>
      <c r="F8">
        <v>367340.29000000004</v>
      </c>
      <c r="G8">
        <v>1703105.2199999997</v>
      </c>
      <c r="I8" s="7" t="s">
        <v>1605</v>
      </c>
      <c r="J8">
        <v>1417296.1499999997</v>
      </c>
      <c r="P8" s="12" t="s">
        <v>1597</v>
      </c>
      <c r="Q8" s="5">
        <v>1731527.2300000002</v>
      </c>
      <c r="R8" s="8">
        <f t="shared" si="0"/>
        <v>1.668834647808853E-2</v>
      </c>
    </row>
    <row r="9" spans="1:22" x14ac:dyDescent="0.3">
      <c r="A9" s="7" t="s">
        <v>1597</v>
      </c>
      <c r="B9">
        <v>320205.10000000003</v>
      </c>
      <c r="C9">
        <v>388807.3299999999</v>
      </c>
      <c r="D9">
        <v>348770.53999999992</v>
      </c>
      <c r="E9">
        <v>328485.89</v>
      </c>
      <c r="F9">
        <v>345258.37000000011</v>
      </c>
      <c r="G9">
        <v>1731527.23</v>
      </c>
      <c r="I9" s="7" t="s">
        <v>1606</v>
      </c>
      <c r="J9">
        <v>1437661.6499999994</v>
      </c>
      <c r="P9" s="12" t="s">
        <v>1598</v>
      </c>
      <c r="Q9" s="5">
        <v>1510910.2199999988</v>
      </c>
      <c r="R9" s="8">
        <f t="shared" si="0"/>
        <v>-0.12741180512650752</v>
      </c>
    </row>
    <row r="10" spans="1:22" x14ac:dyDescent="0.3">
      <c r="A10" s="7" t="s">
        <v>1598</v>
      </c>
      <c r="B10">
        <v>290754.57999999996</v>
      </c>
      <c r="C10">
        <v>265956.05</v>
      </c>
      <c r="D10">
        <v>326963.80999999994</v>
      </c>
      <c r="E10">
        <v>316107.93999999994</v>
      </c>
      <c r="F10">
        <v>311127.84000000003</v>
      </c>
      <c r="G10">
        <v>1510910.22</v>
      </c>
      <c r="I10" s="7" t="s">
        <v>1607</v>
      </c>
      <c r="J10">
        <v>1522061.1799999992</v>
      </c>
      <c r="P10" s="12" t="s">
        <v>1599</v>
      </c>
      <c r="Q10" s="5">
        <v>245822.94000000006</v>
      </c>
      <c r="R10" s="8">
        <f t="shared" si="0"/>
        <v>-0.83730142483250913</v>
      </c>
    </row>
    <row r="11" spans="1:22" x14ac:dyDescent="0.3">
      <c r="A11" s="7" t="s">
        <v>1599</v>
      </c>
      <c r="B11">
        <v>34384.42</v>
      </c>
      <c r="C11">
        <v>67868.319999999992</v>
      </c>
      <c r="D11">
        <v>34358.82</v>
      </c>
      <c r="E11">
        <v>47411.450000000004</v>
      </c>
      <c r="F11">
        <v>61799.93</v>
      </c>
      <c r="G11">
        <v>245822.94</v>
      </c>
      <c r="I11" s="7" t="s">
        <v>1572</v>
      </c>
      <c r="J11">
        <v>9980221.2799999975</v>
      </c>
    </row>
    <row r="12" spans="1:22" x14ac:dyDescent="0.3">
      <c r="A12" s="7" t="s">
        <v>1572</v>
      </c>
      <c r="B12">
        <v>1954015.7200000002</v>
      </c>
      <c r="C12">
        <v>1802015.03</v>
      </c>
      <c r="D12">
        <v>2058812.6999999995</v>
      </c>
      <c r="E12">
        <v>1975775.7899999998</v>
      </c>
      <c r="F12">
        <v>2189602.04</v>
      </c>
      <c r="G12">
        <v>9980221.2799999993</v>
      </c>
      <c r="P12" s="2" t="s">
        <v>1615</v>
      </c>
    </row>
    <row r="13" spans="1:22" x14ac:dyDescent="0.3">
      <c r="P13" s="7"/>
    </row>
    <row r="14" spans="1:22" x14ac:dyDescent="0.3">
      <c r="P14" s="6" t="s">
        <v>1571</v>
      </c>
      <c r="Q14" t="s">
        <v>1616</v>
      </c>
    </row>
    <row r="15" spans="1:22" x14ac:dyDescent="0.3">
      <c r="P15" s="7" t="s">
        <v>61</v>
      </c>
      <c r="Q15">
        <v>3.0858208955223883</v>
      </c>
    </row>
    <row r="16" spans="1:22" x14ac:dyDescent="0.3">
      <c r="P16" s="10" t="s">
        <v>39</v>
      </c>
      <c r="Q16">
        <v>3.1698113207547172</v>
      </c>
    </row>
    <row r="17" spans="16:17" x14ac:dyDescent="0.3">
      <c r="P17" s="10" t="s">
        <v>25</v>
      </c>
      <c r="Q17">
        <v>2.796875</v>
      </c>
    </row>
    <row r="18" spans="16:17" x14ac:dyDescent="0.3">
      <c r="P18" s="10" t="s">
        <v>43</v>
      </c>
      <c r="Q18">
        <v>3.4166666666666665</v>
      </c>
    </row>
    <row r="19" spans="16:17" x14ac:dyDescent="0.3">
      <c r="P19" s="10" t="s">
        <v>16</v>
      </c>
      <c r="Q19">
        <v>2.962025316455696</v>
      </c>
    </row>
    <row r="20" spans="16:17" x14ac:dyDescent="0.3">
      <c r="P20" s="7" t="s">
        <v>99</v>
      </c>
      <c r="Q20">
        <v>3.0771812080536911</v>
      </c>
    </row>
    <row r="21" spans="16:17" x14ac:dyDescent="0.3">
      <c r="P21" s="10" t="s">
        <v>39</v>
      </c>
      <c r="Q21">
        <v>3.1774193548387095</v>
      </c>
    </row>
    <row r="22" spans="16:17" x14ac:dyDescent="0.3">
      <c r="P22" s="10" t="s">
        <v>25</v>
      </c>
      <c r="Q22">
        <v>3.0735294117647061</v>
      </c>
    </row>
    <row r="23" spans="16:17" x14ac:dyDescent="0.3">
      <c r="P23" s="10" t="s">
        <v>43</v>
      </c>
      <c r="Q23">
        <v>2.9775280898876404</v>
      </c>
    </row>
    <row r="24" spans="16:17" x14ac:dyDescent="0.3">
      <c r="P24" s="10" t="s">
        <v>16</v>
      </c>
      <c r="Q24">
        <v>3.1139240506329116</v>
      </c>
    </row>
    <row r="25" spans="16:17" x14ac:dyDescent="0.3">
      <c r="P25" s="7" t="s">
        <v>49</v>
      </c>
      <c r="Q25">
        <v>3.0063492063492063</v>
      </c>
    </row>
    <row r="26" spans="16:17" x14ac:dyDescent="0.3">
      <c r="P26" s="10" t="s">
        <v>39</v>
      </c>
      <c r="Q26">
        <v>2.8533333333333335</v>
      </c>
    </row>
    <row r="27" spans="16:17" x14ac:dyDescent="0.3">
      <c r="P27" s="10" t="s">
        <v>25</v>
      </c>
      <c r="Q27">
        <v>2.9264705882352939</v>
      </c>
    </row>
    <row r="28" spans="16:17" x14ac:dyDescent="0.3">
      <c r="P28" s="10" t="s">
        <v>43</v>
      </c>
      <c r="Q28">
        <v>3.2117647058823531</v>
      </c>
    </row>
    <row r="29" spans="16:17" x14ac:dyDescent="0.3">
      <c r="P29" s="10" t="s">
        <v>16</v>
      </c>
      <c r="Q29">
        <v>3</v>
      </c>
    </row>
    <row r="30" spans="16:17" x14ac:dyDescent="0.3">
      <c r="P30" s="7" t="s">
        <v>17</v>
      </c>
      <c r="Q30">
        <v>2.9777777777777779</v>
      </c>
    </row>
    <row r="31" spans="16:17" x14ac:dyDescent="0.3">
      <c r="P31" s="10" t="s">
        <v>39</v>
      </c>
      <c r="Q31">
        <v>3.0365853658536586</v>
      </c>
    </row>
    <row r="32" spans="16:17" x14ac:dyDescent="0.3">
      <c r="P32" s="10" t="s">
        <v>25</v>
      </c>
      <c r="Q32">
        <v>3</v>
      </c>
    </row>
    <row r="33" spans="16:17" x14ac:dyDescent="0.3">
      <c r="P33" s="10" t="s">
        <v>43</v>
      </c>
      <c r="Q33">
        <v>3.0422535211267605</v>
      </c>
    </row>
    <row r="34" spans="16:17" x14ac:dyDescent="0.3">
      <c r="P34" s="10" t="s">
        <v>16</v>
      </c>
      <c r="Q34">
        <v>2.831168831168831</v>
      </c>
    </row>
    <row r="35" spans="16:17" x14ac:dyDescent="0.3">
      <c r="P35" s="7" t="s">
        <v>27</v>
      </c>
      <c r="Q35">
        <v>2.9736842105263159</v>
      </c>
    </row>
    <row r="36" spans="16:17" x14ac:dyDescent="0.3">
      <c r="P36" s="10" t="s">
        <v>39</v>
      </c>
      <c r="Q36">
        <v>3.1044776119402986</v>
      </c>
    </row>
    <row r="37" spans="16:17" x14ac:dyDescent="0.3">
      <c r="P37" s="10" t="s">
        <v>25</v>
      </c>
      <c r="Q37">
        <v>2.7014925373134329</v>
      </c>
    </row>
    <row r="38" spans="16:17" x14ac:dyDescent="0.3">
      <c r="P38" s="10" t="s">
        <v>43</v>
      </c>
      <c r="Q38">
        <v>3.0808080808080809</v>
      </c>
    </row>
    <row r="39" spans="16:17" x14ac:dyDescent="0.3">
      <c r="P39" s="10" t="s">
        <v>16</v>
      </c>
      <c r="Q39">
        <v>2.9577464788732395</v>
      </c>
    </row>
    <row r="40" spans="16:17" x14ac:dyDescent="0.3">
      <c r="P40" s="7" t="s">
        <v>1572</v>
      </c>
      <c r="Q40">
        <v>3.0219999999999998</v>
      </c>
    </row>
  </sheetData>
  <mergeCells count="1">
    <mergeCell ref="A1:G1"/>
  </mergeCells>
  <conditionalFormatting sqref="R3:R10">
    <cfRule type="cellIs" dxfId="0" priority="1" operator="lessThan">
      <formula>-0.39</formula>
    </cfRule>
  </conditionalFormatting>
  <pageMargins left="0.7" right="0.7" top="0.75" bottom="0.75" header="0.3" footer="0.3"/>
  <pageSetup paperSize="9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E-Commerce</vt:lpstr>
      <vt:lpstr>Raw_Data</vt:lpstr>
      <vt:lpstr>Revenue_Analysis</vt:lpstr>
      <vt:lpstr>Fulfillment_Analysis</vt:lpstr>
      <vt:lpstr>Trends_&amp;_Customers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</dc:creator>
  <cp:lastModifiedBy>Dixit Pandya</cp:lastModifiedBy>
  <dcterms:created xsi:type="dcterms:W3CDTF">2025-07-18T10:47:01Z</dcterms:created>
  <dcterms:modified xsi:type="dcterms:W3CDTF">2026-02-13T05:04:19Z</dcterms:modified>
</cp:coreProperties>
</file>