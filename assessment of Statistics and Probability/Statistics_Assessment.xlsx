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rajp\Downloads\"/>
    </mc:Choice>
  </mc:AlternateContent>
  <xr:revisionPtr revIDLastSave="0" documentId="13_ncr:1_{D2220150-3BAA-4BB9-A248-30F6678280DC}" xr6:coauthVersionLast="47" xr6:coauthVersionMax="47" xr10:uidLastSave="{00000000-0000-0000-0000-000000000000}"/>
  <bookViews>
    <workbookView xWindow="-108" yWindow="-108" windowWidth="23256" windowHeight="12456" xr2:uid="{0377F0DD-8D39-4E8A-B7E5-50E2980E7F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0" i="1" l="1"/>
  <c r="H22" i="1"/>
  <c r="G22" i="1"/>
  <c r="I21" i="1"/>
  <c r="I20" i="1"/>
  <c r="I22" i="1" l="1"/>
  <c r="M20" i="1" s="1"/>
  <c r="L21" i="1"/>
  <c r="H5" i="1"/>
  <c r="F5" i="1"/>
  <c r="G5" i="1" s="1"/>
  <c r="M21" i="1" l="1"/>
  <c r="M22" i="1" s="1"/>
  <c r="N21" i="1"/>
  <c r="L22" i="1"/>
  <c r="N20" i="1"/>
  <c r="N22" i="1" l="1"/>
</calcChain>
</file>

<file path=xl/sharedStrings.xml><?xml version="1.0" encoding="utf-8"?>
<sst xmlns="http://schemas.openxmlformats.org/spreadsheetml/2006/main" count="37" uniqueCount="22">
  <si>
    <t>Question 1. There is an assumption that there is no significant difference between boys and girls with respect to intelligence. Tests are conducted on two groups and the following are the observations</t>
  </si>
  <si>
    <t>Mean</t>
  </si>
  <si>
    <t>Standard Deviation</t>
  </si>
  <si>
    <t>Size</t>
  </si>
  <si>
    <t>Girls</t>
  </si>
  <si>
    <t>Boys</t>
  </si>
  <si>
    <t>Validate the claim with 5% LoS (Level of Significance).</t>
  </si>
  <si>
    <t>Question 2. Analyze the below data and tell whether you can conclude that smoking causes cancer or not?</t>
  </si>
  <si>
    <t>Category</t>
  </si>
  <si>
    <t>Diagnosed as Cancer</t>
  </si>
  <si>
    <t>Without Cancer</t>
  </si>
  <si>
    <t>Total</t>
  </si>
  <si>
    <t>Smokers</t>
  </si>
  <si>
    <t>Non-Smokers</t>
  </si>
  <si>
    <t>Standard Error</t>
  </si>
  <si>
    <t>Z Value</t>
  </si>
  <si>
    <t>Z Critical</t>
  </si>
  <si>
    <t>z-value</t>
  </si>
  <si>
    <t>z-critical</t>
  </si>
  <si>
    <t>&gt;</t>
  </si>
  <si>
    <r>
      <t>H₀:</t>
    </r>
    <r>
      <rPr>
        <sz val="11"/>
        <color theme="1"/>
        <rFont val="Calibri"/>
        <family val="2"/>
        <scheme val="minor"/>
      </rPr>
      <t xml:space="preserve"> Smoking and cancer are independent</t>
    </r>
  </si>
  <si>
    <r>
      <t>H₁:</t>
    </r>
    <r>
      <rPr>
        <sz val="11"/>
        <color theme="1"/>
        <rFont val="Calibri"/>
        <family val="2"/>
        <scheme val="minor"/>
      </rPr>
      <t xml:space="preserve"> Smoking and cancer are associated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</si>
</sst>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1" xfId="0" applyFont="1" applyBorder="1"/>
    <xf numFmtId="0" fontId="1" fillId="0" borderId="0" xfId="0" applyFont="1"/>
    <xf numFmtId="164" fontId="0" fillId="0" borderId="1" xfId="0" applyNumberFormat="1" applyBorder="1"/>
    <xf numFmtId="2" fontId="0" fillId="0" borderId="1" xfId="0" applyNumberFormat="1" applyBorder="1"/>
    <xf numFmtId="1" fontId="0" fillId="0" borderId="0" xfId="0" applyNumberFormat="1"/>
    <xf numFmtId="1" fontId="0" fillId="0" borderId="1" xfId="0" applyNumberFormat="1" applyBorder="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B8BBB-B2A4-4767-A3E2-E3D353107EFE}">
  <dimension ref="A2:S25"/>
  <sheetViews>
    <sheetView tabSelected="1" topLeftCell="A2" workbookViewId="0">
      <selection activeCell="L21" sqref="L21"/>
    </sheetView>
  </sheetViews>
  <sheetFormatPr defaultRowHeight="14.4" x14ac:dyDescent="0.3"/>
  <cols>
    <col min="1" max="1" width="11.88671875" customWidth="1"/>
    <col min="2" max="2" width="17.6640625" customWidth="1"/>
    <col min="3" max="3" width="18.33203125" customWidth="1"/>
    <col min="4" max="4" width="8.88671875" customWidth="1"/>
    <col min="6" max="6" width="13" customWidth="1"/>
    <col min="7" max="7" width="18.44140625" bestFit="1" customWidth="1"/>
    <col min="8" max="8" width="14.21875" bestFit="1" customWidth="1"/>
    <col min="11" max="11" width="12" bestFit="1" customWidth="1"/>
    <col min="12" max="12" width="18.44140625" bestFit="1" customWidth="1"/>
    <col min="13" max="13" width="14.21875" bestFit="1" customWidth="1"/>
  </cols>
  <sheetData>
    <row r="2" spans="1:19" x14ac:dyDescent="0.3">
      <c r="A2" s="8" t="s">
        <v>0</v>
      </c>
      <c r="B2" s="8"/>
      <c r="C2" s="8"/>
      <c r="D2" s="8"/>
      <c r="E2" s="8"/>
      <c r="F2" s="8"/>
      <c r="G2" s="8"/>
      <c r="H2" s="8"/>
      <c r="I2" s="8"/>
      <c r="J2" s="8"/>
      <c r="K2" s="8"/>
      <c r="L2" s="8"/>
      <c r="M2" s="8"/>
      <c r="N2" s="8"/>
      <c r="O2" s="8"/>
      <c r="P2" s="8"/>
      <c r="Q2" s="8"/>
      <c r="R2" s="8"/>
      <c r="S2" s="8"/>
    </row>
    <row r="4" spans="1:19" x14ac:dyDescent="0.3">
      <c r="A4" s="1"/>
      <c r="B4" s="2" t="s">
        <v>1</v>
      </c>
      <c r="C4" s="2" t="s">
        <v>2</v>
      </c>
      <c r="D4" s="2" t="s">
        <v>3</v>
      </c>
      <c r="F4" s="2" t="s">
        <v>14</v>
      </c>
      <c r="G4" s="2" t="s">
        <v>15</v>
      </c>
      <c r="H4" s="2" t="s">
        <v>16</v>
      </c>
    </row>
    <row r="5" spans="1:19" x14ac:dyDescent="0.3">
      <c r="A5" s="1"/>
      <c r="B5" s="1"/>
      <c r="C5" s="1"/>
      <c r="D5" s="1"/>
      <c r="F5" s="4">
        <f>SQRT((C6^2/D6)+(C7^2/D7))</f>
        <v>0.99749686716300023</v>
      </c>
      <c r="G5" s="5">
        <f>(B6-B7)/F5</f>
        <v>7.0175658996391963</v>
      </c>
      <c r="H5" s="5">
        <f>_xlfn.NORM.S.INV(1-0.05/2)</f>
        <v>1.9599639845400536</v>
      </c>
    </row>
    <row r="6" spans="1:19" x14ac:dyDescent="0.3">
      <c r="A6" s="1" t="s">
        <v>4</v>
      </c>
      <c r="B6" s="1">
        <v>89</v>
      </c>
      <c r="C6" s="1">
        <v>4</v>
      </c>
      <c r="D6" s="1">
        <v>50</v>
      </c>
    </row>
    <row r="7" spans="1:19" x14ac:dyDescent="0.3">
      <c r="A7" s="1" t="s">
        <v>5</v>
      </c>
      <c r="B7" s="1">
        <v>82</v>
      </c>
      <c r="C7" s="1">
        <v>9</v>
      </c>
      <c r="D7" s="1">
        <v>120</v>
      </c>
    </row>
    <row r="8" spans="1:19" x14ac:dyDescent="0.3">
      <c r="F8" t="s">
        <v>17</v>
      </c>
      <c r="H8" t="s">
        <v>18</v>
      </c>
    </row>
    <row r="9" spans="1:19" x14ac:dyDescent="0.3">
      <c r="B9" s="3" t="s">
        <v>6</v>
      </c>
      <c r="C9" s="3"/>
      <c r="D9" s="3"/>
      <c r="E9" s="3"/>
      <c r="F9">
        <v>7.02</v>
      </c>
      <c r="G9" t="s">
        <v>19</v>
      </c>
      <c r="H9">
        <v>1.96</v>
      </c>
    </row>
    <row r="11" spans="1:19" x14ac:dyDescent="0.3">
      <c r="A11" s="3"/>
      <c r="F11" s="3"/>
    </row>
    <row r="12" spans="1:19" x14ac:dyDescent="0.3">
      <c r="A12" s="3"/>
    </row>
    <row r="16" spans="1:19" x14ac:dyDescent="0.3">
      <c r="B16" s="3" t="s">
        <v>7</v>
      </c>
      <c r="C16" s="3"/>
      <c r="D16" s="3"/>
      <c r="E16" s="3"/>
      <c r="F16" s="3"/>
      <c r="G16" s="3"/>
      <c r="H16" s="3"/>
      <c r="I16" s="3"/>
      <c r="J16" s="3"/>
    </row>
    <row r="18" spans="1:14" x14ac:dyDescent="0.3">
      <c r="A18" s="2" t="s">
        <v>8</v>
      </c>
      <c r="B18" s="2" t="s">
        <v>9</v>
      </c>
      <c r="C18" s="2" t="s">
        <v>10</v>
      </c>
      <c r="D18" s="2" t="s">
        <v>11</v>
      </c>
      <c r="F18" s="2" t="s">
        <v>8</v>
      </c>
      <c r="G18" s="2" t="s">
        <v>9</v>
      </c>
      <c r="H18" s="2" t="s">
        <v>10</v>
      </c>
      <c r="I18" s="2" t="s">
        <v>11</v>
      </c>
      <c r="K18" s="2" t="s">
        <v>8</v>
      </c>
      <c r="L18" s="2" t="s">
        <v>9</v>
      </c>
      <c r="M18" s="2" t="s">
        <v>10</v>
      </c>
      <c r="N18" s="2" t="s">
        <v>11</v>
      </c>
    </row>
    <row r="19" spans="1:14" x14ac:dyDescent="0.3">
      <c r="A19" s="1"/>
      <c r="B19" s="1"/>
      <c r="C19" s="1"/>
      <c r="D19" s="1"/>
      <c r="F19" s="1"/>
      <c r="G19" s="1"/>
      <c r="H19" s="1"/>
      <c r="I19" s="1"/>
      <c r="K19" s="1"/>
      <c r="L19" s="1"/>
      <c r="M19" s="1"/>
      <c r="N19" s="1"/>
    </row>
    <row r="20" spans="1:14" x14ac:dyDescent="0.3">
      <c r="A20" s="1" t="s">
        <v>12</v>
      </c>
      <c r="B20" s="1">
        <v>220</v>
      </c>
      <c r="C20" s="1">
        <v>230</v>
      </c>
      <c r="D20" s="1">
        <v>550</v>
      </c>
      <c r="F20" s="1" t="s">
        <v>12</v>
      </c>
      <c r="G20" s="1">
        <v>220</v>
      </c>
      <c r="H20" s="1">
        <v>230</v>
      </c>
      <c r="I20" s="1">
        <f>SUM(G20:H20)</f>
        <v>450</v>
      </c>
      <c r="K20" s="1" t="s">
        <v>12</v>
      </c>
      <c r="L20" s="1">
        <f>$I20*G22/$I$22</f>
        <v>178.125</v>
      </c>
      <c r="M20" s="1">
        <f>I20*H22/I22</f>
        <v>271.875</v>
      </c>
      <c r="N20" s="1">
        <f>SUM(L20:M20)</f>
        <v>450</v>
      </c>
    </row>
    <row r="21" spans="1:14" x14ac:dyDescent="0.3">
      <c r="A21" s="1" t="s">
        <v>13</v>
      </c>
      <c r="B21" s="1">
        <v>350</v>
      </c>
      <c r="C21" s="1">
        <v>640</v>
      </c>
      <c r="D21" s="1">
        <v>990</v>
      </c>
      <c r="F21" s="1" t="s">
        <v>13</v>
      </c>
      <c r="G21" s="1">
        <v>350</v>
      </c>
      <c r="H21" s="1">
        <v>640</v>
      </c>
      <c r="I21" s="1">
        <f>SUM(G21:H21)</f>
        <v>990</v>
      </c>
      <c r="K21" s="1" t="s">
        <v>13</v>
      </c>
      <c r="L21" s="1">
        <f>I21*G22/I22</f>
        <v>391.875</v>
      </c>
      <c r="M21" s="1">
        <f>I21*H22/I22</f>
        <v>598.125</v>
      </c>
      <c r="N21" s="1">
        <f>SUM(L21:M21)</f>
        <v>990</v>
      </c>
    </row>
    <row r="22" spans="1:14" x14ac:dyDescent="0.3">
      <c r="A22" s="1" t="s">
        <v>11</v>
      </c>
      <c r="B22" s="1">
        <v>680</v>
      </c>
      <c r="C22" s="1">
        <v>910</v>
      </c>
      <c r="D22" s="1">
        <v>1590</v>
      </c>
      <c r="F22" s="1" t="s">
        <v>11</v>
      </c>
      <c r="G22" s="7">
        <f>SUM(G20:G21)</f>
        <v>570</v>
      </c>
      <c r="H22" s="7">
        <f>SUM(H20:H21)</f>
        <v>870</v>
      </c>
      <c r="I22" s="7">
        <f>SUM(I20:I21)</f>
        <v>1440</v>
      </c>
      <c r="K22" s="1" t="s">
        <v>11</v>
      </c>
      <c r="L22" s="1">
        <f>SUM(L20:L21)</f>
        <v>570</v>
      </c>
      <c r="M22" s="1">
        <f>SUM(M20:M21)</f>
        <v>870</v>
      </c>
      <c r="N22" s="1">
        <f>SUM(L22:M22)</f>
        <v>1440</v>
      </c>
    </row>
    <row r="24" spans="1:14" x14ac:dyDescent="0.3">
      <c r="A24" s="3" t="s">
        <v>20</v>
      </c>
      <c r="H24" s="6"/>
    </row>
    <row r="25" spans="1:14" x14ac:dyDescent="0.3">
      <c r="A25" s="3"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Dixit Pandya</dc:creator>
  <cp:lastModifiedBy>vraj patel</cp:lastModifiedBy>
  <dcterms:created xsi:type="dcterms:W3CDTF">2026-02-09T05:57:24Z</dcterms:created>
  <dcterms:modified xsi:type="dcterms:W3CDTF">2026-04-10T12:16:57Z</dcterms:modified>
</cp:coreProperties>
</file>