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b1c2e5b32a5628/Documents/"/>
    </mc:Choice>
  </mc:AlternateContent>
  <xr:revisionPtr revIDLastSave="0" documentId="8_{D3133A04-9190-4791-AFCD-C494F3EE0A0C}" xr6:coauthVersionLast="47" xr6:coauthVersionMax="47" xr10:uidLastSave="{00000000-0000-0000-0000-000000000000}"/>
  <bookViews>
    <workbookView xWindow="-108" yWindow="-108" windowWidth="23256" windowHeight="12456" xr2:uid="{6301333D-58E7-4F0F-84BA-EF3EA119E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H5" i="1"/>
</calcChain>
</file>

<file path=xl/sharedStrings.xml><?xml version="1.0" encoding="utf-8"?>
<sst xmlns="http://schemas.openxmlformats.org/spreadsheetml/2006/main" count="79" uniqueCount="46">
  <si>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</si>
  <si>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</si>
  <si>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</si>
  <si>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</si>
  <si>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</si>
  <si>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</si>
  <si>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</si>
  <si>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</si>
  <si>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</si>
  <si>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</si>
  <si>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</si>
  <si>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</si>
  <si>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</si>
  <si>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Amout</t>
  </si>
  <si>
    <t>2007 figures</t>
  </si>
  <si>
    <t>2008 figures</t>
  </si>
  <si>
    <t>2009 figures</t>
  </si>
  <si>
    <t>Variance</t>
  </si>
  <si>
    <t>Q - 1</t>
  </si>
  <si>
    <t>Q - 2</t>
  </si>
  <si>
    <t>Ref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</si>
  <si>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</si>
  <si>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</si>
  <si>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</si>
  <si>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</si>
  <si>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</si>
  <si>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</si>
  <si>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</si>
  <si>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</si>
  <si>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</si>
  <si>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</si>
  <si>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</si>
  <si>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</si>
  <si>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</si>
  <si>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</si>
  <si>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</si>
  <si>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</si>
  <si>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</si>
  <si>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</si>
  <si>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</si>
  <si>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</si>
  <si>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</si>
  <si>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height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</si>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</sst>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E1EE7E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3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1E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C605-D2CA-4C26-A9C9-56C5E368ACEA}">
  <dimension ref="A1:R16"/>
  <sheetViews>
    <sheetView tabSelected="1" workbookViewId="0">
      <selection activeCell="N19" sqref="N19"/>
    </sheetView>
  </sheetViews>
  <sheetFormatPr defaultRowHeight="14.4" x14ac:dyDescent="0.3"/>
  <sheetData>
    <row r="1" spans="1:18" x14ac:dyDescent="0.3">
      <c r="A1" s="6" t="s">
        <v>18</v>
      </c>
      <c r="K1" s="6" t="s">
        <v>19</v>
      </c>
    </row>
    <row r="3" spans="1:18" x14ac:dyDescent="0.3">
      <c r="A3" s="7" t="s">
        <v>14</v>
      </c>
      <c r="B3" s="7"/>
      <c r="C3" s="7" t="s">
        <v>15</v>
      </c>
      <c r="D3" s="7"/>
      <c r="E3" s="7" t="s">
        <v>16</v>
      </c>
      <c r="F3" s="7"/>
      <c r="H3" s="5" t="s">
        <v>17</v>
      </c>
      <c r="K3" s="7" t="s">
        <v>43</v>
      </c>
      <c r="L3" s="7"/>
      <c r="M3" s="7" t="s">
        <v>44</v>
      </c>
      <c r="N3" s="7"/>
      <c r="O3" s="7" t="s">
        <v>45</v>
      </c>
      <c r="P3" s="7"/>
      <c r="R3" s="5" t="s">
        <v>17</v>
      </c>
    </row>
    <row r="4" spans="1:18" x14ac:dyDescent="0.3">
      <c r="A4" s="8" t="s">
        <v>12</v>
      </c>
      <c r="B4" s="8" t="s">
        <v>13</v>
      </c>
      <c r="C4" s="8" t="s">
        <v>12</v>
      </c>
      <c r="D4" s="8" t="s">
        <v>13</v>
      </c>
      <c r="E4" s="8" t="s">
        <v>12</v>
      </c>
      <c r="F4" s="8" t="s">
        <v>13</v>
      </c>
      <c r="H4" s="5"/>
      <c r="K4" s="10" t="s">
        <v>20</v>
      </c>
      <c r="L4" s="10" t="s">
        <v>42</v>
      </c>
      <c r="M4" s="10" t="s">
        <v>20</v>
      </c>
      <c r="N4" s="10" t="s">
        <v>42</v>
      </c>
      <c r="O4" s="10" t="s">
        <v>20</v>
      </c>
      <c r="P4" s="10" t="s">
        <v>42</v>
      </c>
      <c r="R4" s="5"/>
    </row>
    <row r="5" spans="1:18" x14ac:dyDescent="0.3">
      <c r="A5" s="3" t="s">
        <v>0</v>
      </c>
      <c r="B5" s="2">
        <v>15000</v>
      </c>
      <c r="C5" s="3" t="s">
        <v>0</v>
      </c>
      <c r="D5" s="2">
        <v>17500</v>
      </c>
      <c r="E5" s="4" t="s">
        <v>0</v>
      </c>
      <c r="F5" s="2">
        <v>13000</v>
      </c>
      <c r="H5" s="1">
        <f>_xlfn.VAR.P(B5:B16, D5:D16, F5:F16)</f>
        <v>6170524.6913580243</v>
      </c>
      <c r="K5" s="11" t="s">
        <v>21</v>
      </c>
      <c r="L5" s="9">
        <v>176</v>
      </c>
      <c r="M5" s="11" t="s">
        <v>22</v>
      </c>
      <c r="N5" s="9">
        <v>179</v>
      </c>
      <c r="O5" s="11" t="s">
        <v>23</v>
      </c>
      <c r="P5" s="9">
        <v>179</v>
      </c>
      <c r="R5" s="1">
        <f>_xlfn.VAR.S(L5:L11,N5:N11,P5:P11)</f>
        <v>9.2619047619047628</v>
      </c>
    </row>
    <row r="6" spans="1:18" x14ac:dyDescent="0.3">
      <c r="A6" s="3" t="s">
        <v>1</v>
      </c>
      <c r="B6" s="2">
        <v>14500</v>
      </c>
      <c r="C6" s="3" t="s">
        <v>1</v>
      </c>
      <c r="D6" s="2">
        <v>12000</v>
      </c>
      <c r="E6" s="4" t="s">
        <v>1</v>
      </c>
      <c r="F6" s="2">
        <v>15000</v>
      </c>
      <c r="K6" s="11" t="s">
        <v>24</v>
      </c>
      <c r="L6" s="9">
        <v>174</v>
      </c>
      <c r="M6" s="11" t="s">
        <v>25</v>
      </c>
      <c r="N6" s="9">
        <v>173</v>
      </c>
      <c r="O6" s="11" t="s">
        <v>26</v>
      </c>
      <c r="P6" s="9">
        <v>178</v>
      </c>
    </row>
    <row r="7" spans="1:18" x14ac:dyDescent="0.3">
      <c r="A7" s="3" t="s">
        <v>2</v>
      </c>
      <c r="B7" s="2">
        <v>14500</v>
      </c>
      <c r="C7" s="3" t="s">
        <v>2</v>
      </c>
      <c r="D7" s="2">
        <v>16000</v>
      </c>
      <c r="E7" s="4" t="s">
        <v>2</v>
      </c>
      <c r="F7" s="2">
        <v>14000</v>
      </c>
      <c r="K7" s="11" t="s">
        <v>27</v>
      </c>
      <c r="L7" s="9">
        <v>181</v>
      </c>
      <c r="M7" s="11" t="s">
        <v>28</v>
      </c>
      <c r="N7" s="9">
        <v>184</v>
      </c>
      <c r="O7" s="11" t="s">
        <v>29</v>
      </c>
      <c r="P7" s="9">
        <v>176</v>
      </c>
    </row>
    <row r="8" spans="1:18" x14ac:dyDescent="0.3">
      <c r="A8" s="3" t="s">
        <v>3</v>
      </c>
      <c r="B8" s="2">
        <v>14000</v>
      </c>
      <c r="C8" s="3" t="s">
        <v>3</v>
      </c>
      <c r="D8" s="2">
        <v>19000</v>
      </c>
      <c r="E8" s="4" t="s">
        <v>3</v>
      </c>
      <c r="F8" s="2">
        <v>16500</v>
      </c>
      <c r="K8" s="11" t="s">
        <v>30</v>
      </c>
      <c r="L8" s="9">
        <v>178</v>
      </c>
      <c r="M8" s="11" t="s">
        <v>31</v>
      </c>
      <c r="N8" s="9">
        <v>175</v>
      </c>
      <c r="O8" s="11" t="s">
        <v>32</v>
      </c>
      <c r="P8" s="9">
        <v>181</v>
      </c>
    </row>
    <row r="9" spans="1:18" x14ac:dyDescent="0.3">
      <c r="A9" s="3" t="s">
        <v>4</v>
      </c>
      <c r="B9" s="2">
        <v>16000</v>
      </c>
      <c r="C9" s="3" t="s">
        <v>4</v>
      </c>
      <c r="D9" s="2">
        <v>17000</v>
      </c>
      <c r="E9" s="4" t="s">
        <v>4</v>
      </c>
      <c r="F9" s="2">
        <v>20000</v>
      </c>
      <c r="K9" s="11" t="s">
        <v>33</v>
      </c>
      <c r="L9" s="9">
        <v>183</v>
      </c>
      <c r="M9" s="11" t="s">
        <v>34</v>
      </c>
      <c r="N9" s="9">
        <v>172</v>
      </c>
      <c r="O9" s="11" t="s">
        <v>35</v>
      </c>
      <c r="P9" s="9">
        <v>177</v>
      </c>
    </row>
    <row r="10" spans="1:18" x14ac:dyDescent="0.3">
      <c r="A10" s="3" t="s">
        <v>5</v>
      </c>
      <c r="B10" s="2">
        <v>9500</v>
      </c>
      <c r="C10" s="3" t="s">
        <v>5</v>
      </c>
      <c r="D10" s="2">
        <v>10500</v>
      </c>
      <c r="E10" s="4" t="s">
        <v>5</v>
      </c>
      <c r="F10" s="2">
        <v>12500</v>
      </c>
      <c r="K10" s="11" t="s">
        <v>36</v>
      </c>
      <c r="L10" s="9">
        <v>176</v>
      </c>
      <c r="M10" s="11" t="s">
        <v>37</v>
      </c>
      <c r="N10" s="9">
        <v>176</v>
      </c>
      <c r="O10" s="11" t="s">
        <v>38</v>
      </c>
      <c r="P10" s="9">
        <v>179</v>
      </c>
    </row>
    <row r="11" spans="1:18" x14ac:dyDescent="0.3">
      <c r="A11" s="3" t="s">
        <v>6</v>
      </c>
      <c r="B11" s="2">
        <v>13500</v>
      </c>
      <c r="C11" s="3" t="s">
        <v>6</v>
      </c>
      <c r="D11" s="2">
        <v>11000</v>
      </c>
      <c r="E11" s="4" t="s">
        <v>6</v>
      </c>
      <c r="F11" s="2">
        <v>14000</v>
      </c>
      <c r="K11" s="11" t="s">
        <v>39</v>
      </c>
      <c r="L11" s="9">
        <v>177</v>
      </c>
      <c r="M11" s="11" t="s">
        <v>40</v>
      </c>
      <c r="N11" s="9">
        <v>177</v>
      </c>
      <c r="O11" s="11" t="s">
        <v>41</v>
      </c>
      <c r="P11" s="9">
        <v>176</v>
      </c>
    </row>
    <row r="12" spans="1:18" x14ac:dyDescent="0.3">
      <c r="A12" s="3" t="s">
        <v>7</v>
      </c>
      <c r="B12" s="2">
        <v>17000</v>
      </c>
      <c r="C12" s="3" t="s">
        <v>7</v>
      </c>
      <c r="D12" s="2">
        <v>12500</v>
      </c>
      <c r="E12" s="4" t="s">
        <v>7</v>
      </c>
      <c r="F12" s="2">
        <v>18500</v>
      </c>
    </row>
    <row r="13" spans="1:18" x14ac:dyDescent="0.3">
      <c r="A13" s="3" t="s">
        <v>8</v>
      </c>
      <c r="B13" s="2">
        <v>11000</v>
      </c>
      <c r="C13" s="3" t="s">
        <v>8</v>
      </c>
      <c r="D13" s="2">
        <v>13000</v>
      </c>
      <c r="E13" s="4" t="s">
        <v>8</v>
      </c>
      <c r="F13" s="2">
        <v>14500</v>
      </c>
    </row>
    <row r="14" spans="1:18" x14ac:dyDescent="0.3">
      <c r="A14" s="3" t="s">
        <v>9</v>
      </c>
      <c r="B14" s="2">
        <v>15000</v>
      </c>
      <c r="C14" s="3" t="s">
        <v>9</v>
      </c>
      <c r="D14" s="2">
        <v>15500</v>
      </c>
      <c r="E14" s="4" t="s">
        <v>9</v>
      </c>
      <c r="F14" s="2">
        <v>13000</v>
      </c>
    </row>
    <row r="15" spans="1:18" x14ac:dyDescent="0.3">
      <c r="A15" s="3" t="s">
        <v>10</v>
      </c>
      <c r="B15" s="2">
        <v>17500</v>
      </c>
      <c r="C15" s="3" t="s">
        <v>10</v>
      </c>
      <c r="D15" s="2">
        <v>15000</v>
      </c>
      <c r="E15" s="4" t="s">
        <v>10</v>
      </c>
      <c r="F15" s="2">
        <v>13000</v>
      </c>
    </row>
    <row r="16" spans="1:18" x14ac:dyDescent="0.3">
      <c r="A16" s="3" t="s">
        <v>11</v>
      </c>
      <c r="B16" s="2">
        <v>18000</v>
      </c>
      <c r="C16" s="3" t="s">
        <v>11</v>
      </c>
      <c r="D16" s="2">
        <v>17500</v>
      </c>
      <c r="E16" s="4" t="s">
        <v>11</v>
      </c>
      <c r="F16" s="2">
        <v>17000</v>
      </c>
    </row>
  </sheetData>
  <mergeCells count="8">
    <mergeCell ref="O3:P3"/>
    <mergeCell ref="R3:R4"/>
    <mergeCell ref="A3:B3"/>
    <mergeCell ref="C3:D3"/>
    <mergeCell ref="E3:F3"/>
    <mergeCell ref="H3:H4"/>
    <mergeCell ref="K3:L3"/>
    <mergeCell ref="M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patel</dc:creator>
  <cp:lastModifiedBy>vraj patel</cp:lastModifiedBy>
  <dcterms:created xsi:type="dcterms:W3CDTF">2026-03-18T07:44:14Z</dcterms:created>
  <dcterms:modified xsi:type="dcterms:W3CDTF">2026-03-18T08:24:57Z</dcterms:modified>
</cp:coreProperties>
</file>